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hane\Downloads\"/>
    </mc:Choice>
  </mc:AlternateContent>
  <xr:revisionPtr revIDLastSave="0" documentId="8_{E7F81786-885B-47EB-87FD-B10348D5910E}" xr6:coauthVersionLast="47" xr6:coauthVersionMax="47" xr10:uidLastSave="{00000000-0000-0000-0000-000000000000}"/>
  <bookViews>
    <workbookView xWindow="-120" yWindow="-120" windowWidth="29040" windowHeight="15720" xr2:uid="{BC0D4402-AAEC-4D67-8F3D-7AEE40F71045}"/>
  </bookViews>
  <sheets>
    <sheet name="Solar System" sheetId="22" r:id="rId1"/>
    <sheet name="Color Key" sheetId="2" r:id="rId2"/>
    <sheet name="Orbital Plotter" sheetId="16" r:id="rId3"/>
    <sheet name="Sorting Data" sheetId="3" r:id="rId4"/>
  </sheets>
  <definedNames>
    <definedName name="Plot_display_choices">OFFSET('Orbital Plotter'!$AA$2,0,0,COUNTA('Orbital Plotter'!$AA:$AA),1)</definedName>
    <definedName name="_xlnm.Print_Titles" localSheetId="0">'Solar System'!$1:$1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2" i="16" l="1" a="1"/>
  <c r="AA2" i="16" s="1"/>
  <c r="E2" i="16"/>
  <c r="D2" i="16"/>
  <c r="K3" i="16"/>
  <c r="K4" i="16" s="1"/>
  <c r="K5" i="16" s="1"/>
  <c r="K6" i="16" s="1"/>
  <c r="K7" i="16" s="1"/>
  <c r="K8" i="16" s="1"/>
  <c r="K9" i="16" s="1"/>
  <c r="K10" i="16" s="1"/>
  <c r="K11" i="16" s="1"/>
  <c r="K12" i="16" s="1"/>
  <c r="K13" i="16" s="1"/>
  <c r="K14" i="16" s="1"/>
  <c r="K15" i="16" s="1"/>
  <c r="K16" i="16" s="1"/>
  <c r="K17" i="16" s="1"/>
  <c r="K18" i="16" s="1"/>
  <c r="K19" i="16" s="1"/>
  <c r="K20" i="16" s="1"/>
  <c r="K21" i="16" s="1"/>
  <c r="K22" i="16" s="1"/>
  <c r="K23" i="16" s="1"/>
  <c r="K24" i="16" s="1"/>
  <c r="K25" i="16" s="1"/>
  <c r="K26" i="16" s="1"/>
  <c r="K27" i="16" s="1"/>
  <c r="K28" i="16" s="1"/>
  <c r="K29" i="16" s="1"/>
  <c r="K30" i="16" s="1"/>
  <c r="K31" i="16" s="1"/>
  <c r="K32" i="16" s="1"/>
  <c r="K33" i="16" s="1"/>
  <c r="K34" i="16" s="1"/>
  <c r="K35" i="16" s="1"/>
  <c r="K36" i="16" s="1"/>
  <c r="K37" i="16" s="1"/>
  <c r="K38" i="16" s="1"/>
  <c r="K39" i="16" s="1"/>
  <c r="K40" i="16" s="1"/>
  <c r="K41" i="16" s="1"/>
  <c r="K42" i="16" s="1"/>
  <c r="K43" i="16" s="1"/>
  <c r="K44" i="16" s="1"/>
  <c r="K45" i="16" s="1"/>
  <c r="K46" i="16" s="1"/>
  <c r="K47" i="16" s="1"/>
  <c r="K48" i="16" s="1"/>
  <c r="K49" i="16" s="1"/>
  <c r="K50" i="16" s="1"/>
  <c r="K51" i="16" s="1"/>
  <c r="K52" i="16" s="1"/>
  <c r="K53" i="16" s="1"/>
  <c r="K54" i="16" s="1"/>
  <c r="K55" i="16" s="1"/>
  <c r="K56" i="16" s="1"/>
  <c r="K57" i="16" s="1"/>
  <c r="K58" i="16" s="1"/>
  <c r="K59" i="16" s="1"/>
  <c r="K60" i="16" s="1"/>
  <c r="K61" i="16" s="1"/>
  <c r="K62" i="16" s="1"/>
  <c r="K63" i="16" s="1"/>
  <c r="K64" i="16" s="1"/>
  <c r="K65" i="16" s="1"/>
  <c r="K66" i="16" s="1"/>
  <c r="K67" i="16" s="1"/>
  <c r="K68" i="16" s="1"/>
  <c r="K69" i="16" s="1"/>
  <c r="K70" i="16" s="1"/>
  <c r="K71" i="16" s="1"/>
  <c r="K72" i="16" s="1"/>
  <c r="K73" i="16" s="1"/>
  <c r="K74" i="16" s="1"/>
  <c r="K75" i="16" s="1"/>
  <c r="K76" i="16" s="1"/>
  <c r="K77" i="16" s="1"/>
  <c r="K78" i="16" s="1"/>
  <c r="K79" i="16" s="1"/>
  <c r="K80" i="16" s="1"/>
  <c r="K81" i="16" s="1"/>
  <c r="K82" i="16" s="1"/>
  <c r="K83" i="16" s="1"/>
  <c r="K84" i="16" s="1"/>
  <c r="K85" i="16" s="1"/>
  <c r="K86" i="16" s="1"/>
  <c r="K87" i="16" s="1"/>
  <c r="K88" i="16" s="1"/>
  <c r="K89" i="16" s="1"/>
  <c r="K90" i="16" s="1"/>
  <c r="K91" i="16" s="1"/>
  <c r="K92" i="16" s="1"/>
  <c r="K93" i="16" s="1"/>
  <c r="K94" i="16" s="1"/>
  <c r="K95" i="16" s="1"/>
  <c r="K96" i="16" s="1"/>
  <c r="K97" i="16" s="1"/>
  <c r="K98" i="16" s="1"/>
  <c r="K99" i="16" s="1"/>
  <c r="K100" i="16" s="1"/>
  <c r="K101" i="16" s="1"/>
  <c r="K102" i="16" s="1"/>
  <c r="K103" i="16" s="1"/>
  <c r="K104" i="16" s="1"/>
  <c r="K105" i="16" s="1"/>
  <c r="K106" i="16" s="1"/>
  <c r="K107" i="16" s="1"/>
  <c r="K108" i="16" s="1"/>
  <c r="K109" i="16" s="1"/>
  <c r="K110" i="16" s="1"/>
  <c r="K111" i="16" s="1"/>
  <c r="K112" i="16" s="1"/>
  <c r="K113" i="16" s="1"/>
  <c r="K114" i="16" s="1"/>
  <c r="K115" i="16" s="1"/>
  <c r="K116" i="16" s="1"/>
  <c r="K117" i="16" s="1"/>
  <c r="K118" i="16" s="1"/>
  <c r="K119" i="16" s="1"/>
  <c r="K120" i="16" s="1"/>
  <c r="K121" i="16" s="1"/>
  <c r="K122" i="16" s="1"/>
  <c r="K123" i="16" s="1"/>
  <c r="K124" i="16" s="1"/>
  <c r="K125" i="16" s="1"/>
  <c r="K126" i="16" s="1"/>
  <c r="K127" i="16" s="1"/>
  <c r="K128" i="16" s="1"/>
  <c r="K129" i="16" s="1"/>
  <c r="K130" i="16" s="1"/>
  <c r="K131" i="16" s="1"/>
  <c r="K132" i="16" s="1"/>
  <c r="K133" i="16" s="1"/>
  <c r="K134" i="16" s="1"/>
  <c r="K135" i="16" s="1"/>
  <c r="K136" i="16" s="1"/>
  <c r="K137" i="16" s="1"/>
  <c r="K138" i="16" s="1"/>
  <c r="K139" i="16" s="1"/>
  <c r="K140" i="16" s="1"/>
  <c r="K141" i="16" s="1"/>
  <c r="K142" i="16" s="1"/>
  <c r="K143" i="16" s="1"/>
  <c r="K144" i="16" s="1"/>
  <c r="K145" i="16" s="1"/>
  <c r="K146" i="16" s="1"/>
  <c r="K147" i="16" s="1"/>
  <c r="K148" i="16" s="1"/>
  <c r="K149" i="16" s="1"/>
  <c r="K150" i="16" s="1"/>
  <c r="K151" i="16" s="1"/>
  <c r="K152" i="16" s="1"/>
  <c r="K153" i="16" s="1"/>
  <c r="K154" i="16" s="1"/>
  <c r="K155" i="16" s="1"/>
  <c r="K156" i="16" s="1"/>
  <c r="K157" i="16" s="1"/>
  <c r="K158" i="16" s="1"/>
  <c r="K159" i="16" s="1"/>
  <c r="K160" i="16" s="1"/>
  <c r="K161" i="16" s="1"/>
  <c r="K162" i="16" s="1"/>
  <c r="K163" i="16" s="1"/>
  <c r="K164" i="16" s="1"/>
  <c r="K165" i="16" s="1"/>
  <c r="K166" i="16" s="1"/>
  <c r="K167" i="16" s="1"/>
  <c r="K168" i="16" s="1"/>
  <c r="K169" i="16" s="1"/>
  <c r="K170" i="16" s="1"/>
  <c r="K171" i="16" s="1"/>
  <c r="K172" i="16" s="1"/>
  <c r="K173" i="16" s="1"/>
  <c r="K174" i="16" s="1"/>
  <c r="K175" i="16" s="1"/>
  <c r="K176" i="16" s="1"/>
  <c r="K177" i="16" s="1"/>
  <c r="K178" i="16" s="1"/>
  <c r="K179" i="16" s="1"/>
  <c r="K180" i="16" s="1"/>
  <c r="K181" i="16" s="1"/>
  <c r="K182" i="16" s="1"/>
  <c r="K183" i="16" s="1"/>
  <c r="K184" i="16" s="1"/>
  <c r="K185" i="16" s="1"/>
  <c r="K186" i="16" s="1"/>
  <c r="K187" i="16" s="1"/>
  <c r="K188" i="16" s="1"/>
  <c r="K189" i="16" s="1"/>
  <c r="K190" i="16" s="1"/>
  <c r="K191" i="16" s="1"/>
  <c r="K192" i="16" s="1"/>
  <c r="K193" i="16" s="1"/>
  <c r="K194" i="16" s="1"/>
  <c r="K195" i="16" s="1"/>
  <c r="K196" i="16" s="1"/>
  <c r="K197" i="16" s="1"/>
  <c r="K198" i="16" s="1"/>
  <c r="K199" i="16" s="1"/>
  <c r="K200" i="16" s="1"/>
  <c r="K201" i="16" s="1"/>
  <c r="K202" i="16" s="1"/>
  <c r="K203" i="16" s="1"/>
  <c r="K204" i="16" s="1"/>
  <c r="K205" i="16" s="1"/>
  <c r="K206" i="16" s="1"/>
  <c r="K207" i="16" s="1"/>
  <c r="K208" i="16" s="1"/>
  <c r="K209" i="16" s="1"/>
  <c r="K210" i="16" s="1"/>
  <c r="K211" i="16" s="1"/>
  <c r="K212" i="16" s="1"/>
  <c r="K213" i="16" s="1"/>
  <c r="K214" i="16" s="1"/>
  <c r="K215" i="16" s="1"/>
  <c r="K216" i="16" s="1"/>
  <c r="K217" i="16" s="1"/>
  <c r="K218" i="16" s="1"/>
  <c r="K219" i="16" s="1"/>
  <c r="K220" i="16" s="1"/>
  <c r="K221" i="16" s="1"/>
  <c r="K222" i="16" s="1"/>
  <c r="K223" i="16" s="1"/>
  <c r="K224" i="16" s="1"/>
  <c r="K225" i="16" s="1"/>
  <c r="K226" i="16" s="1"/>
  <c r="K227" i="16" s="1"/>
  <c r="K228" i="16" s="1"/>
  <c r="K229" i="16" s="1"/>
  <c r="K230" i="16" s="1"/>
  <c r="K231" i="16" s="1"/>
  <c r="K232" i="16" s="1"/>
  <c r="K233" i="16" s="1"/>
  <c r="K234" i="16" s="1"/>
  <c r="K235" i="16" s="1"/>
  <c r="K236" i="16" s="1"/>
  <c r="K237" i="16" s="1"/>
  <c r="K238" i="16" s="1"/>
  <c r="K239" i="16" s="1"/>
  <c r="K240" i="16" s="1"/>
  <c r="K241" i="16" s="1"/>
  <c r="K242" i="16" s="1"/>
  <c r="K243" i="16" s="1"/>
  <c r="K244" i="16" s="1"/>
  <c r="K245" i="16" s="1"/>
  <c r="K246" i="16" s="1"/>
  <c r="K247" i="16" s="1"/>
  <c r="K248" i="16" s="1"/>
  <c r="K249" i="16" s="1"/>
  <c r="K250" i="16" s="1"/>
  <c r="K251" i="16" s="1"/>
  <c r="K252" i="16" s="1"/>
  <c r="K253" i="16" s="1"/>
  <c r="K254" i="16" s="1"/>
  <c r="K255" i="16" s="1"/>
  <c r="K256" i="16" s="1"/>
  <c r="K257" i="16" s="1"/>
  <c r="K258" i="16" s="1"/>
  <c r="K259" i="16" s="1"/>
  <c r="K260" i="16" s="1"/>
  <c r="K261" i="16" s="1"/>
  <c r="K262" i="16" s="1"/>
  <c r="K263" i="16" s="1"/>
  <c r="K264" i="16" s="1"/>
  <c r="K265" i="16" s="1"/>
  <c r="K266" i="16" s="1"/>
  <c r="K267" i="16" s="1"/>
  <c r="K268" i="16" s="1"/>
  <c r="K269" i="16" s="1"/>
  <c r="K270" i="16" s="1"/>
  <c r="K271" i="16" s="1"/>
  <c r="K272" i="16" s="1"/>
  <c r="K273" i="16" s="1"/>
  <c r="K274" i="16" s="1"/>
  <c r="K275" i="16" s="1"/>
  <c r="K276" i="16" s="1"/>
  <c r="K277" i="16" s="1"/>
  <c r="K278" i="16" s="1"/>
  <c r="K279" i="16" s="1"/>
  <c r="K280" i="16" s="1"/>
  <c r="K281" i="16" s="1"/>
  <c r="K282" i="16" s="1"/>
  <c r="K283" i="16" s="1"/>
  <c r="K284" i="16" s="1"/>
  <c r="K285" i="16" s="1"/>
  <c r="K286" i="16" s="1"/>
  <c r="K287" i="16" s="1"/>
  <c r="K288" i="16" s="1"/>
  <c r="K289" i="16" s="1"/>
  <c r="K290" i="16" s="1"/>
  <c r="K291" i="16" s="1"/>
  <c r="K292" i="16" s="1"/>
  <c r="K293" i="16" s="1"/>
  <c r="K294" i="16" s="1"/>
  <c r="K295" i="16" s="1"/>
  <c r="K296" i="16" s="1"/>
  <c r="K297" i="16" s="1"/>
  <c r="K298" i="16" s="1"/>
  <c r="K299" i="16" s="1"/>
  <c r="K300" i="16" s="1"/>
  <c r="K301" i="16" s="1"/>
  <c r="K302" i="16" s="1"/>
  <c r="K303" i="16" s="1"/>
  <c r="K304" i="16" s="1"/>
  <c r="K305" i="16" s="1"/>
  <c r="K306" i="16" s="1"/>
  <c r="K307" i="16" s="1"/>
  <c r="K308" i="16" s="1"/>
  <c r="K309" i="16" s="1"/>
  <c r="K310" i="16" s="1"/>
  <c r="K311" i="16" s="1"/>
  <c r="K312" i="16" s="1"/>
  <c r="K313" i="16" s="1"/>
  <c r="K314" i="16" s="1"/>
  <c r="K315" i="16" s="1"/>
  <c r="K316" i="16" s="1"/>
  <c r="K317" i="16" s="1"/>
  <c r="K318" i="16" s="1"/>
  <c r="K319" i="16" s="1"/>
  <c r="K320" i="16" s="1"/>
  <c r="K321" i="16" s="1"/>
  <c r="K322" i="16" s="1"/>
  <c r="K323" i="16" s="1"/>
  <c r="K324" i="16" s="1"/>
  <c r="K325" i="16" s="1"/>
  <c r="K326" i="16" s="1"/>
  <c r="K327" i="16" s="1"/>
  <c r="K328" i="16" s="1"/>
  <c r="K329" i="16" s="1"/>
  <c r="K330" i="16" s="1"/>
  <c r="K331" i="16" s="1"/>
  <c r="K332" i="16" s="1"/>
  <c r="K333" i="16" s="1"/>
  <c r="K334" i="16" s="1"/>
  <c r="K335" i="16" s="1"/>
  <c r="K336" i="16" s="1"/>
  <c r="K337" i="16" s="1"/>
  <c r="K338" i="16" s="1"/>
  <c r="K339" i="16" s="1"/>
  <c r="K340" i="16" s="1"/>
  <c r="K341" i="16" s="1"/>
  <c r="K342" i="16" s="1"/>
  <c r="K343" i="16" s="1"/>
  <c r="K344" i="16" s="1"/>
  <c r="K345" i="16" s="1"/>
  <c r="K346" i="16" s="1"/>
  <c r="K347" i="16" s="1"/>
  <c r="K348" i="16" s="1"/>
  <c r="K349" i="16" s="1"/>
  <c r="K350" i="16" s="1"/>
  <c r="K351" i="16" s="1"/>
  <c r="K352" i="16" s="1"/>
  <c r="K353" i="16" s="1"/>
  <c r="K354" i="16" s="1"/>
  <c r="K355" i="16" s="1"/>
  <c r="K356" i="16" s="1"/>
  <c r="K357" i="16" s="1"/>
  <c r="K358" i="16" s="1"/>
  <c r="K359" i="16" s="1"/>
  <c r="K360" i="16" s="1"/>
  <c r="K361" i="16" s="1"/>
  <c r="K362" i="16" s="1"/>
  <c r="H2" i="16" l="1"/>
  <c r="M14" i="16"/>
  <c r="L145" i="16"/>
  <c r="L225" i="16"/>
  <c r="M335" i="16"/>
  <c r="M42" i="16"/>
  <c r="L194" i="16"/>
  <c r="L28" i="16"/>
  <c r="M251" i="16"/>
  <c r="M107" i="16"/>
  <c r="L319" i="16"/>
  <c r="L110" i="16"/>
  <c r="M303" i="16"/>
  <c r="M31" i="16"/>
  <c r="L292" i="16"/>
  <c r="L139" i="16"/>
  <c r="M3" i="16"/>
  <c r="M249" i="16"/>
  <c r="M30" i="16"/>
  <c r="L291" i="16"/>
  <c r="L161" i="16"/>
  <c r="L78" i="16"/>
  <c r="M361" i="16"/>
  <c r="M241" i="16"/>
  <c r="M218" i="16"/>
  <c r="M188" i="16"/>
  <c r="M158" i="16"/>
  <c r="M128" i="16"/>
  <c r="M96" i="16"/>
  <c r="M63" i="16"/>
  <c r="M29" i="16"/>
  <c r="L350" i="16"/>
  <c r="L142" i="16"/>
  <c r="M252" i="16"/>
  <c r="L224" i="16"/>
  <c r="M334" i="16"/>
  <c r="M138" i="16"/>
  <c r="L193" i="16"/>
  <c r="M220" i="16"/>
  <c r="L339" i="16"/>
  <c r="L49" i="16"/>
  <c r="M129" i="16"/>
  <c r="L338" i="16"/>
  <c r="L191" i="16"/>
  <c r="L18" i="16"/>
  <c r="L316" i="16"/>
  <c r="L220" i="16"/>
  <c r="L190" i="16"/>
  <c r="L160" i="16"/>
  <c r="L130" i="16"/>
  <c r="L107" i="16"/>
  <c r="L77" i="16"/>
  <c r="L47" i="16"/>
  <c r="L17" i="16"/>
  <c r="M353" i="16"/>
  <c r="M330" i="16"/>
  <c r="M300" i="16"/>
  <c r="M270" i="16"/>
  <c r="M240" i="16"/>
  <c r="M217" i="16"/>
  <c r="M187" i="16"/>
  <c r="M157" i="16"/>
  <c r="M127" i="16"/>
  <c r="M95" i="16"/>
  <c r="M62" i="16"/>
  <c r="M28" i="16"/>
  <c r="L324" i="16"/>
  <c r="L321" i="16"/>
  <c r="L82" i="16"/>
  <c r="M76" i="16"/>
  <c r="L299" i="16"/>
  <c r="L111" i="16"/>
  <c r="M250" i="16"/>
  <c r="L172" i="16"/>
  <c r="M305" i="16"/>
  <c r="M108" i="16"/>
  <c r="L346" i="16"/>
  <c r="L171" i="16"/>
  <c r="L51" i="16"/>
  <c r="M281" i="16"/>
  <c r="M75" i="16"/>
  <c r="L272" i="16"/>
  <c r="L50" i="16"/>
  <c r="M273" i="16"/>
  <c r="M74" i="16"/>
  <c r="L318" i="16"/>
  <c r="L192" i="16"/>
  <c r="L109" i="16"/>
  <c r="M332" i="16"/>
  <c r="M219" i="16"/>
  <c r="M105" i="16"/>
  <c r="L317" i="16"/>
  <c r="L221" i="16"/>
  <c r="L48" i="16"/>
  <c r="M271" i="16"/>
  <c r="L337" i="16"/>
  <c r="L290" i="16"/>
  <c r="L336" i="16"/>
  <c r="L268" i="16"/>
  <c r="L189" i="16"/>
  <c r="L99" i="16"/>
  <c r="L46" i="16"/>
  <c r="M352" i="16"/>
  <c r="M269" i="16"/>
  <c r="M209" i="16"/>
  <c r="M156" i="16"/>
  <c r="M94" i="16"/>
  <c r="M61" i="16"/>
  <c r="L335" i="16"/>
  <c r="L288" i="16"/>
  <c r="L240" i="16"/>
  <c r="L211" i="16"/>
  <c r="L188" i="16"/>
  <c r="L158" i="16"/>
  <c r="L128" i="16"/>
  <c r="L98" i="16"/>
  <c r="L75" i="16"/>
  <c r="L45" i="16"/>
  <c r="L15" i="16"/>
  <c r="M351" i="16"/>
  <c r="M321" i="16"/>
  <c r="M298" i="16"/>
  <c r="M268" i="16"/>
  <c r="M238" i="16"/>
  <c r="M208" i="16"/>
  <c r="M185" i="16"/>
  <c r="M155" i="16"/>
  <c r="M125" i="16"/>
  <c r="M93" i="16"/>
  <c r="M60" i="16"/>
  <c r="M26" i="16"/>
  <c r="L234" i="16"/>
  <c r="L300" i="16"/>
  <c r="M6" i="16"/>
  <c r="M169" i="16"/>
  <c r="L141" i="16"/>
  <c r="M304" i="16"/>
  <c r="M41" i="16"/>
  <c r="L340" i="16"/>
  <c r="L247" i="16"/>
  <c r="L80" i="16"/>
  <c r="M4" i="16"/>
  <c r="M137" i="16"/>
  <c r="L222" i="16"/>
  <c r="L79" i="16"/>
  <c r="M302" i="16"/>
  <c r="M73" i="16"/>
  <c r="L270" i="16"/>
  <c r="L131" i="16"/>
  <c r="M301" i="16"/>
  <c r="L2" i="16"/>
  <c r="L242" i="16"/>
  <c r="L362" i="16"/>
  <c r="L289" i="16"/>
  <c r="L219" i="16"/>
  <c r="L129" i="16"/>
  <c r="L76" i="16"/>
  <c r="L16" i="16"/>
  <c r="M329" i="16"/>
  <c r="M239" i="16"/>
  <c r="M186" i="16"/>
  <c r="M126" i="16"/>
  <c r="M27" i="16"/>
  <c r="L356" i="16"/>
  <c r="L314" i="16"/>
  <c r="L267" i="16"/>
  <c r="L355" i="16"/>
  <c r="L334" i="16"/>
  <c r="L308" i="16"/>
  <c r="L287" i="16"/>
  <c r="L260" i="16"/>
  <c r="L239" i="16"/>
  <c r="L210" i="16"/>
  <c r="L187" i="16"/>
  <c r="L157" i="16"/>
  <c r="L127" i="16"/>
  <c r="L97" i="16"/>
  <c r="L67" i="16"/>
  <c r="L44" i="16"/>
  <c r="L14" i="16"/>
  <c r="M350" i="16"/>
  <c r="M320" i="16"/>
  <c r="M297" i="16"/>
  <c r="M267" i="16"/>
  <c r="M237" i="16"/>
  <c r="M207" i="16"/>
  <c r="M177" i="16"/>
  <c r="M154" i="16"/>
  <c r="M124" i="16"/>
  <c r="M92" i="16"/>
  <c r="M59" i="16"/>
  <c r="M25" i="16"/>
  <c r="L255" i="16"/>
  <c r="L274" i="16"/>
  <c r="L29" i="16"/>
  <c r="M222" i="16"/>
  <c r="L251" i="16"/>
  <c r="M5" i="16"/>
  <c r="M161" i="16"/>
  <c r="L163" i="16"/>
  <c r="M333" i="16"/>
  <c r="M106" i="16"/>
  <c r="L244" i="16"/>
  <c r="L19" i="16"/>
  <c r="M159" i="16"/>
  <c r="L243" i="16"/>
  <c r="L108" i="16"/>
  <c r="M331" i="16"/>
  <c r="L269" i="16"/>
  <c r="L315" i="16"/>
  <c r="L241" i="16"/>
  <c r="L159" i="16"/>
  <c r="M299" i="16"/>
  <c r="L354" i="16"/>
  <c r="L333" i="16"/>
  <c r="L307" i="16"/>
  <c r="L286" i="16"/>
  <c r="L259" i="16"/>
  <c r="L238" i="16"/>
  <c r="L209" i="16"/>
  <c r="L179" i="16"/>
  <c r="L156" i="16"/>
  <c r="L126" i="16"/>
  <c r="L96" i="16"/>
  <c r="L66" i="16"/>
  <c r="L43" i="16"/>
  <c r="L13" i="16"/>
  <c r="M349" i="16"/>
  <c r="M319" i="16"/>
  <c r="M289" i="16"/>
  <c r="M266" i="16"/>
  <c r="M236" i="16"/>
  <c r="M206" i="16"/>
  <c r="M176" i="16"/>
  <c r="M153" i="16"/>
  <c r="M123" i="16"/>
  <c r="M91" i="16"/>
  <c r="M58" i="16"/>
  <c r="M15" i="16"/>
  <c r="L175" i="16"/>
  <c r="L347" i="16"/>
  <c r="L195" i="16"/>
  <c r="L59" i="16"/>
  <c r="M282" i="16"/>
  <c r="L273" i="16"/>
  <c r="M221" i="16"/>
  <c r="L298" i="16"/>
  <c r="L27" i="16"/>
  <c r="M160" i="16"/>
  <c r="L162" i="16"/>
  <c r="M272" i="16"/>
  <c r="L353" i="16"/>
  <c r="L306" i="16"/>
  <c r="L237" i="16"/>
  <c r="L155" i="16"/>
  <c r="L65" i="16"/>
  <c r="L12" i="16"/>
  <c r="M348" i="16"/>
  <c r="M318" i="16"/>
  <c r="M288" i="16"/>
  <c r="M235" i="16"/>
  <c r="M205" i="16"/>
  <c r="M175" i="16"/>
  <c r="M145" i="16"/>
  <c r="M122" i="16"/>
  <c r="M90" i="16"/>
  <c r="M57" i="16"/>
  <c r="M16" i="16"/>
  <c r="M32" i="16"/>
  <c r="M48" i="16"/>
  <c r="M64" i="16"/>
  <c r="M17" i="16"/>
  <c r="M33" i="16"/>
  <c r="M49" i="16"/>
  <c r="M65" i="16"/>
  <c r="M81" i="16"/>
  <c r="M97" i="16"/>
  <c r="M113" i="16"/>
  <c r="M18" i="16"/>
  <c r="M34" i="16"/>
  <c r="M50" i="16"/>
  <c r="M66" i="16"/>
  <c r="M82" i="16"/>
  <c r="M98" i="16"/>
  <c r="M114" i="16"/>
  <c r="M130" i="16"/>
  <c r="M146" i="16"/>
  <c r="M162" i="16"/>
  <c r="M178" i="16"/>
  <c r="M194" i="16"/>
  <c r="M210" i="16"/>
  <c r="M226" i="16"/>
  <c r="M242" i="16"/>
  <c r="M258" i="16"/>
  <c r="M274" i="16"/>
  <c r="M290" i="16"/>
  <c r="M306" i="16"/>
  <c r="M322" i="16"/>
  <c r="M338" i="16"/>
  <c r="M354" i="16"/>
  <c r="L4" i="16"/>
  <c r="L20" i="16"/>
  <c r="L36" i="16"/>
  <c r="L52" i="16"/>
  <c r="L68" i="16"/>
  <c r="L84" i="16"/>
  <c r="L100" i="16"/>
  <c r="L116" i="16"/>
  <c r="L132" i="16"/>
  <c r="L148" i="16"/>
  <c r="L164" i="16"/>
  <c r="L180" i="16"/>
  <c r="L196" i="16"/>
  <c r="L212" i="16"/>
  <c r="L228" i="16"/>
  <c r="M19" i="16"/>
  <c r="M35" i="16"/>
  <c r="M51" i="16"/>
  <c r="M67" i="16"/>
  <c r="M83" i="16"/>
  <c r="M99" i="16"/>
  <c r="M115" i="16"/>
  <c r="M131" i="16"/>
  <c r="M147" i="16"/>
  <c r="M163" i="16"/>
  <c r="M179" i="16"/>
  <c r="M195" i="16"/>
  <c r="M211" i="16"/>
  <c r="M227" i="16"/>
  <c r="M243" i="16"/>
  <c r="M259" i="16"/>
  <c r="M275" i="16"/>
  <c r="M291" i="16"/>
  <c r="M307" i="16"/>
  <c r="M323" i="16"/>
  <c r="M339" i="16"/>
  <c r="M355" i="16"/>
  <c r="L5" i="16"/>
  <c r="L21" i="16"/>
  <c r="L37" i="16"/>
  <c r="L53" i="16"/>
  <c r="L69" i="16"/>
  <c r="L85" i="16"/>
  <c r="L101" i="16"/>
  <c r="L117" i="16"/>
  <c r="L133" i="16"/>
  <c r="L149" i="16"/>
  <c r="L165" i="16"/>
  <c r="L181" i="16"/>
  <c r="L197" i="16"/>
  <c r="L213" i="16"/>
  <c r="L229" i="16"/>
  <c r="L245" i="16"/>
  <c r="L261" i="16"/>
  <c r="L277" i="16"/>
  <c r="L293" i="16"/>
  <c r="L309" i="16"/>
  <c r="L325" i="16"/>
  <c r="L341" i="16"/>
  <c r="L357" i="16"/>
  <c r="L279" i="16"/>
  <c r="L311" i="16"/>
  <c r="L359" i="16"/>
  <c r="L266" i="16"/>
  <c r="M20" i="16"/>
  <c r="M36" i="16"/>
  <c r="M52" i="16"/>
  <c r="M68" i="16"/>
  <c r="M84" i="16"/>
  <c r="M100" i="16"/>
  <c r="M116" i="16"/>
  <c r="M132" i="16"/>
  <c r="M148" i="16"/>
  <c r="M164" i="16"/>
  <c r="M180" i="16"/>
  <c r="M196" i="16"/>
  <c r="M212" i="16"/>
  <c r="M228" i="16"/>
  <c r="M244" i="16"/>
  <c r="M260" i="16"/>
  <c r="M276" i="16"/>
  <c r="M292" i="16"/>
  <c r="M308" i="16"/>
  <c r="M324" i="16"/>
  <c r="M340" i="16"/>
  <c r="M356" i="16"/>
  <c r="L6" i="16"/>
  <c r="L22" i="16"/>
  <c r="L38" i="16"/>
  <c r="L54" i="16"/>
  <c r="L70" i="16"/>
  <c r="L86" i="16"/>
  <c r="L102" i="16"/>
  <c r="L118" i="16"/>
  <c r="L134" i="16"/>
  <c r="L150" i="16"/>
  <c r="L166" i="16"/>
  <c r="L182" i="16"/>
  <c r="L198" i="16"/>
  <c r="L214" i="16"/>
  <c r="L230" i="16"/>
  <c r="L246" i="16"/>
  <c r="L262" i="16"/>
  <c r="L278" i="16"/>
  <c r="L294" i="16"/>
  <c r="L310" i="16"/>
  <c r="L326" i="16"/>
  <c r="L342" i="16"/>
  <c r="L358" i="16"/>
  <c r="M21" i="16"/>
  <c r="M37" i="16"/>
  <c r="M53" i="16"/>
  <c r="M69" i="16"/>
  <c r="M85" i="16"/>
  <c r="M101" i="16"/>
  <c r="M117" i="16"/>
  <c r="M133" i="16"/>
  <c r="M165" i="16"/>
  <c r="M181" i="16"/>
  <c r="M197" i="16"/>
  <c r="M213" i="16"/>
  <c r="M229" i="16"/>
  <c r="M245" i="16"/>
  <c r="M261" i="16"/>
  <c r="M277" i="16"/>
  <c r="M293" i="16"/>
  <c r="M309" i="16"/>
  <c r="M325" i="16"/>
  <c r="M341" i="16"/>
  <c r="M357" i="16"/>
  <c r="L7" i="16"/>
  <c r="L23" i="16"/>
  <c r="L39" i="16"/>
  <c r="L55" i="16"/>
  <c r="L71" i="16"/>
  <c r="L87" i="16"/>
  <c r="L103" i="16"/>
  <c r="L119" i="16"/>
  <c r="L135" i="16"/>
  <c r="L151" i="16"/>
  <c r="L167" i="16"/>
  <c r="L183" i="16"/>
  <c r="L199" i="16"/>
  <c r="L215" i="16"/>
  <c r="L231" i="16"/>
  <c r="L263" i="16"/>
  <c r="L295" i="16"/>
  <c r="L327" i="16"/>
  <c r="L343" i="16"/>
  <c r="M149" i="16"/>
  <c r="M22" i="16"/>
  <c r="M38" i="16"/>
  <c r="M54" i="16"/>
  <c r="M70" i="16"/>
  <c r="M86" i="16"/>
  <c r="M102" i="16"/>
  <c r="M118" i="16"/>
  <c r="M134" i="16"/>
  <c r="M150" i="16"/>
  <c r="M166" i="16"/>
  <c r="M182" i="16"/>
  <c r="M198" i="16"/>
  <c r="M214" i="16"/>
  <c r="M230" i="16"/>
  <c r="M246" i="16"/>
  <c r="M262" i="16"/>
  <c r="M278" i="16"/>
  <c r="M294" i="16"/>
  <c r="M310" i="16"/>
  <c r="M326" i="16"/>
  <c r="M342" i="16"/>
  <c r="M358" i="16"/>
  <c r="L8" i="16"/>
  <c r="L24" i="16"/>
  <c r="L40" i="16"/>
  <c r="L56" i="16"/>
  <c r="L72" i="16"/>
  <c r="L88" i="16"/>
  <c r="L104" i="16"/>
  <c r="L120" i="16"/>
  <c r="L136" i="16"/>
  <c r="L152" i="16"/>
  <c r="L168" i="16"/>
  <c r="L184" i="16"/>
  <c r="L200" i="16"/>
  <c r="L216" i="16"/>
  <c r="L232" i="16"/>
  <c r="L248" i="16"/>
  <c r="L264" i="16"/>
  <c r="L280" i="16"/>
  <c r="L296" i="16"/>
  <c r="L312" i="16"/>
  <c r="L328" i="16"/>
  <c r="L344" i="16"/>
  <c r="L360" i="16"/>
  <c r="L361" i="16"/>
  <c r="M362" i="16"/>
  <c r="M40" i="16"/>
  <c r="M72" i="16"/>
  <c r="M104" i="16"/>
  <c r="M136" i="16"/>
  <c r="M168" i="16"/>
  <c r="M200" i="16"/>
  <c r="M232" i="16"/>
  <c r="M264" i="16"/>
  <c r="M296" i="16"/>
  <c r="M328" i="16"/>
  <c r="M360" i="16"/>
  <c r="L26" i="16"/>
  <c r="L58" i="16"/>
  <c r="L90" i="16"/>
  <c r="L106" i="16"/>
  <c r="L122" i="16"/>
  <c r="L154" i="16"/>
  <c r="L186" i="16"/>
  <c r="L218" i="16"/>
  <c r="M23" i="16"/>
  <c r="M39" i="16"/>
  <c r="M55" i="16"/>
  <c r="M71" i="16"/>
  <c r="M87" i="16"/>
  <c r="M103" i="16"/>
  <c r="M119" i="16"/>
  <c r="M135" i="16"/>
  <c r="M151" i="16"/>
  <c r="M167" i="16"/>
  <c r="M183" i="16"/>
  <c r="M199" i="16"/>
  <c r="M215" i="16"/>
  <c r="M231" i="16"/>
  <c r="M247" i="16"/>
  <c r="M263" i="16"/>
  <c r="M279" i="16"/>
  <c r="M295" i="16"/>
  <c r="M311" i="16"/>
  <c r="M327" i="16"/>
  <c r="M343" i="16"/>
  <c r="M359" i="16"/>
  <c r="L9" i="16"/>
  <c r="L25" i="16"/>
  <c r="L41" i="16"/>
  <c r="L57" i="16"/>
  <c r="L73" i="16"/>
  <c r="L89" i="16"/>
  <c r="L105" i="16"/>
  <c r="L121" i="16"/>
  <c r="L137" i="16"/>
  <c r="L153" i="16"/>
  <c r="L169" i="16"/>
  <c r="L185" i="16"/>
  <c r="L201" i="16"/>
  <c r="L217" i="16"/>
  <c r="L233" i="16"/>
  <c r="L249" i="16"/>
  <c r="L265" i="16"/>
  <c r="L281" i="16"/>
  <c r="L297" i="16"/>
  <c r="L313" i="16"/>
  <c r="L329" i="16"/>
  <c r="L345" i="16"/>
  <c r="M24" i="16"/>
  <c r="M56" i="16"/>
  <c r="M88" i="16"/>
  <c r="M120" i="16"/>
  <c r="M152" i="16"/>
  <c r="M184" i="16"/>
  <c r="M216" i="16"/>
  <c r="M248" i="16"/>
  <c r="M280" i="16"/>
  <c r="M312" i="16"/>
  <c r="M344" i="16"/>
  <c r="L10" i="16"/>
  <c r="L42" i="16"/>
  <c r="L74" i="16"/>
  <c r="L138" i="16"/>
  <c r="L170" i="16"/>
  <c r="L202" i="16"/>
  <c r="L250" i="16"/>
  <c r="L252" i="16"/>
  <c r="M139" i="16"/>
  <c r="L223" i="16"/>
  <c r="L282" i="16"/>
  <c r="L112" i="16"/>
  <c r="M192" i="16"/>
  <c r="L320" i="16"/>
  <c r="L81" i="16"/>
  <c r="M191" i="16"/>
  <c r="L140" i="16"/>
  <c r="M190" i="16"/>
  <c r="L271" i="16"/>
  <c r="M189" i="16"/>
  <c r="L332" i="16"/>
  <c r="L285" i="16"/>
  <c r="L258" i="16"/>
  <c r="L208" i="16"/>
  <c r="L178" i="16"/>
  <c r="L125" i="16"/>
  <c r="L95" i="16"/>
  <c r="L35" i="16"/>
  <c r="M265" i="16"/>
  <c r="L352" i="16"/>
  <c r="L331" i="16"/>
  <c r="L305" i="16"/>
  <c r="L284" i="16"/>
  <c r="L257" i="16"/>
  <c r="L236" i="16"/>
  <c r="L207" i="16"/>
  <c r="L177" i="16"/>
  <c r="L147" i="16"/>
  <c r="L124" i="16"/>
  <c r="L94" i="16"/>
  <c r="L64" i="16"/>
  <c r="L34" i="16"/>
  <c r="L11" i="16"/>
  <c r="M347" i="16"/>
  <c r="M317" i="16"/>
  <c r="M287" i="16"/>
  <c r="M257" i="16"/>
  <c r="M234" i="16"/>
  <c r="M204" i="16"/>
  <c r="M174" i="16"/>
  <c r="M144" i="16"/>
  <c r="M121" i="16"/>
  <c r="M89" i="16"/>
  <c r="M47" i="16"/>
  <c r="M13" i="16"/>
  <c r="L351" i="16"/>
  <c r="L330" i="16"/>
  <c r="L304" i="16"/>
  <c r="L283" i="16"/>
  <c r="L256" i="16"/>
  <c r="L235" i="16"/>
  <c r="L206" i="16"/>
  <c r="L176" i="16"/>
  <c r="L146" i="16"/>
  <c r="L123" i="16"/>
  <c r="L93" i="16"/>
  <c r="L63" i="16"/>
  <c r="L33" i="16"/>
  <c r="L3" i="16"/>
  <c r="M346" i="16"/>
  <c r="M316" i="16"/>
  <c r="M286" i="16"/>
  <c r="M256" i="16"/>
  <c r="M233" i="16"/>
  <c r="M203" i="16"/>
  <c r="M173" i="16"/>
  <c r="M143" i="16"/>
  <c r="M112" i="16"/>
  <c r="M80" i="16"/>
  <c r="M46" i="16"/>
  <c r="M12" i="16"/>
  <c r="L303" i="16"/>
  <c r="L115" i="16"/>
  <c r="M2" i="16"/>
  <c r="M315" i="16"/>
  <c r="M255" i="16"/>
  <c r="M225" i="16"/>
  <c r="M172" i="16"/>
  <c r="M142" i="16"/>
  <c r="M111" i="16"/>
  <c r="M79" i="16"/>
  <c r="M11" i="16"/>
  <c r="L205" i="16"/>
  <c r="L92" i="16"/>
  <c r="L62" i="16"/>
  <c r="L32" i="16"/>
  <c r="M345" i="16"/>
  <c r="M285" i="16"/>
  <c r="M202" i="16"/>
  <c r="M45" i="16"/>
  <c r="L349" i="16"/>
  <c r="L323" i="16"/>
  <c r="L302" i="16"/>
  <c r="L276" i="16"/>
  <c r="L254" i="16"/>
  <c r="L227" i="16"/>
  <c r="L204" i="16"/>
  <c r="L174" i="16"/>
  <c r="L144" i="16"/>
  <c r="L114" i="16"/>
  <c r="L91" i="16"/>
  <c r="L61" i="16"/>
  <c r="L31" i="16"/>
  <c r="M8" i="16"/>
  <c r="M337" i="16"/>
  <c r="M314" i="16"/>
  <c r="M284" i="16"/>
  <c r="M254" i="16"/>
  <c r="M224" i="16"/>
  <c r="M201" i="16"/>
  <c r="M171" i="16"/>
  <c r="M141" i="16"/>
  <c r="M110" i="16"/>
  <c r="M78" i="16"/>
  <c r="M44" i="16"/>
  <c r="M10" i="16"/>
  <c r="L348" i="16"/>
  <c r="L322" i="16"/>
  <c r="L301" i="16"/>
  <c r="L275" i="16"/>
  <c r="L253" i="16"/>
  <c r="L226" i="16"/>
  <c r="L203" i="16"/>
  <c r="L173" i="16"/>
  <c r="L143" i="16"/>
  <c r="L113" i="16"/>
  <c r="L83" i="16"/>
  <c r="L60" i="16"/>
  <c r="L30" i="16"/>
  <c r="M7" i="16"/>
  <c r="M336" i="16"/>
  <c r="M313" i="16"/>
  <c r="M283" i="16"/>
  <c r="M253" i="16"/>
  <c r="M223" i="16"/>
  <c r="M193" i="16"/>
  <c r="M170" i="16"/>
  <c r="M140" i="16"/>
  <c r="M109" i="16"/>
  <c r="M77" i="16"/>
  <c r="M43" i="16"/>
  <c r="M9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<sst xmlns="http://schemas.openxmlformats.org/spreadsheetml/2006/main" count="17626" uniqueCount="9610">
  <si>
    <t>*</t>
  </si>
  <si>
    <t>☿</t>
  </si>
  <si>
    <t>Mercury</t>
  </si>
  <si>
    <t>2,440 km</t>
  </si>
  <si>
    <t>0.387 AU</t>
  </si>
  <si>
    <t>7.005°</t>
  </si>
  <si>
    <t>29.124°</t>
  </si>
  <si>
    <t>48.331°</t>
  </si>
  <si>
    <t>174.796°</t>
  </si>
  <si>
    <t>♀</t>
  </si>
  <si>
    <t>Venus</t>
  </si>
  <si>
    <t>6,052 km</t>
  </si>
  <si>
    <t>0.723 AU</t>
  </si>
  <si>
    <t>3.395°</t>
  </si>
  <si>
    <t>54.884°</t>
  </si>
  <si>
    <t>76.689°</t>
  </si>
  <si>
    <t>50.115°</t>
  </si>
  <si>
    <t>NEO</t>
  </si>
  <si>
    <t>Apophis</t>
  </si>
  <si>
    <t>185 m</t>
  </si>
  <si>
    <t>0.923 AU</t>
  </si>
  <si>
    <t>3.339°</t>
  </si>
  <si>
    <t>203.96°</t>
  </si>
  <si>
    <t>142.9°</t>
  </si>
  <si>
    <t>⊕</t>
  </si>
  <si>
    <t>Earth</t>
  </si>
  <si>
    <t>6,371 km</t>
  </si>
  <si>
    <t>0°</t>
  </si>
  <si>
    <t>114.208°</t>
  </si>
  <si>
    <t>-11.261°</t>
  </si>
  <si>
    <t>358.617°</t>
  </si>
  <si>
    <t>Moon</t>
  </si>
  <si>
    <t>☾</t>
  </si>
  <si>
    <t>1,737 km</t>
  </si>
  <si>
    <t>384,399 km</t>
  </si>
  <si>
    <t>5.145°</t>
  </si>
  <si>
    <t>Bennu</t>
  </si>
  <si>
    <t>245 m</t>
  </si>
  <si>
    <t>1.126 AU</t>
  </si>
  <si>
    <t>6.035°</t>
  </si>
  <si>
    <t>66.223°</t>
  </si>
  <si>
    <t>2.061°</t>
  </si>
  <si>
    <t>101.704°</t>
  </si>
  <si>
    <t>Ryugu</t>
  </si>
  <si>
    <t>448 m</t>
  </si>
  <si>
    <t>5.884°</t>
  </si>
  <si>
    <t>211.43°</t>
  </si>
  <si>
    <t>251.62°</t>
  </si>
  <si>
    <t>3.983°</t>
  </si>
  <si>
    <t>Phæthon</t>
  </si>
  <si>
    <t>3 km</t>
  </si>
  <si>
    <t>1.271 AU</t>
  </si>
  <si>
    <t>22.260°</t>
  </si>
  <si>
    <t>322.19°</t>
  </si>
  <si>
    <t>265.22°</t>
  </si>
  <si>
    <t>313.94°</t>
  </si>
  <si>
    <t>Itokawa</t>
  </si>
  <si>
    <t>157 m</t>
  </si>
  <si>
    <t>1.324 AU</t>
  </si>
  <si>
    <t>1.621°</t>
  </si>
  <si>
    <t>162.82°</t>
  </si>
  <si>
    <t>69.081°</t>
  </si>
  <si>
    <t>288.88°</t>
  </si>
  <si>
    <t>Eros</t>
  </si>
  <si>
    <t>8 km</t>
  </si>
  <si>
    <t>1.458 AU</t>
  </si>
  <si>
    <t>10.828°</t>
  </si>
  <si>
    <t>178.82°</t>
  </si>
  <si>
    <t>304.32°</t>
  </si>
  <si>
    <t>71.28°</t>
  </si>
  <si>
    <t>126.6°</t>
  </si>
  <si>
    <t>♂</t>
  </si>
  <si>
    <t>Mars</t>
  </si>
  <si>
    <t>3,390 km</t>
  </si>
  <si>
    <t>1.524 AU</t>
  </si>
  <si>
    <t>1.85°</t>
  </si>
  <si>
    <t>286.5°</t>
  </si>
  <si>
    <t>49.579°</t>
  </si>
  <si>
    <t>19.412°</t>
  </si>
  <si>
    <t>Phobos</t>
  </si>
  <si>
    <t>11 km</t>
  </si>
  <si>
    <t>9,376 km</t>
  </si>
  <si>
    <t>26.04°</t>
  </si>
  <si>
    <t>Deimos</t>
  </si>
  <si>
    <t>6 km</t>
  </si>
  <si>
    <t>23,463 km</t>
  </si>
  <si>
    <t>1 AU</t>
  </si>
  <si>
    <t>27.58°</t>
  </si>
  <si>
    <t>Didymos</t>
  </si>
  <si>
    <t>765 m</t>
  </si>
  <si>
    <t>1.644 AU</t>
  </si>
  <si>
    <t>3.408°</t>
  </si>
  <si>
    <t>319.32°</t>
  </si>
  <si>
    <t>73.196°</t>
  </si>
  <si>
    <t>232.01°</t>
  </si>
  <si>
    <t>Dimorphos</t>
  </si>
  <si>
    <t>151 m</t>
  </si>
  <si>
    <t>169.3°</t>
  </si>
  <si>
    <t>Flora</t>
  </si>
  <si>
    <t>73 km</t>
  </si>
  <si>
    <t>2.2 AU</t>
  </si>
  <si>
    <t>1.19 AU</t>
  </si>
  <si>
    <t>5.89°</t>
  </si>
  <si>
    <t>285.4°</t>
  </si>
  <si>
    <t>110.85°</t>
  </si>
  <si>
    <t>78.2°</t>
  </si>
  <si>
    <t>Harmonia</t>
  </si>
  <si>
    <t>56 km</t>
  </si>
  <si>
    <t>ASTR</t>
  </si>
  <si>
    <t>2.268 AU</t>
  </si>
  <si>
    <t>4.256°</t>
  </si>
  <si>
    <t>268.988°</t>
  </si>
  <si>
    <t>94.287°</t>
  </si>
  <si>
    <t>249.12°</t>
  </si>
  <si>
    <t>Melpomene</t>
  </si>
  <si>
    <t>71 km</t>
  </si>
  <si>
    <t>2.295 AU</t>
  </si>
  <si>
    <t>10.132°</t>
  </si>
  <si>
    <t>228.05°</t>
  </si>
  <si>
    <t>150.34°</t>
  </si>
  <si>
    <t>113.871°</t>
  </si>
  <si>
    <t>Zelinda</t>
  </si>
  <si>
    <t>64 km</t>
  </si>
  <si>
    <t>2.297 AU</t>
  </si>
  <si>
    <t>18.125°</t>
  </si>
  <si>
    <t>214.008°</t>
  </si>
  <si>
    <t>278.46°</t>
  </si>
  <si>
    <t>51.905°</t>
  </si>
  <si>
    <t>Victoria</t>
  </si>
  <si>
    <t>58 km</t>
  </si>
  <si>
    <t>2.33 AU</t>
  </si>
  <si>
    <t>8.374°</t>
  </si>
  <si>
    <t>69.55°</t>
  </si>
  <si>
    <t>235.36°</t>
  </si>
  <si>
    <t>326.4°</t>
  </si>
  <si>
    <t>⚶</t>
  </si>
  <si>
    <t>Vesta</t>
  </si>
  <si>
    <t>263 km</t>
  </si>
  <si>
    <t>2.36 AU</t>
  </si>
  <si>
    <t>7.142°</t>
  </si>
  <si>
    <t>151.66°</t>
  </si>
  <si>
    <t>103.71°</t>
  </si>
  <si>
    <t>169.4°</t>
  </si>
  <si>
    <t>Nemausa</t>
  </si>
  <si>
    <t>75 km</t>
  </si>
  <si>
    <t>2.365 AU</t>
  </si>
  <si>
    <t>9.972°</t>
  </si>
  <si>
    <t>2.82°</t>
  </si>
  <si>
    <t>176.168°</t>
  </si>
  <si>
    <t>316.668°</t>
  </si>
  <si>
    <t>Urania</t>
  </si>
  <si>
    <t>44 km</t>
  </si>
  <si>
    <t>2.367 AU</t>
  </si>
  <si>
    <t>2.097°</t>
  </si>
  <si>
    <t>86.56°</t>
  </si>
  <si>
    <t>307.82°</t>
  </si>
  <si>
    <t>196.549°</t>
  </si>
  <si>
    <t>Athamantis</t>
  </si>
  <si>
    <t>59 km</t>
  </si>
  <si>
    <t>2.382 AU</t>
  </si>
  <si>
    <t>9.443°</t>
  </si>
  <si>
    <t>139.1°</t>
  </si>
  <si>
    <t>239.9°</t>
  </si>
  <si>
    <t>116.2°</t>
  </si>
  <si>
    <t>Iris</t>
  </si>
  <si>
    <t>100 km</t>
  </si>
  <si>
    <t>2.387 AU</t>
  </si>
  <si>
    <t>5.519°</t>
  </si>
  <si>
    <t>145.4°</t>
  </si>
  <si>
    <t>259.5°</t>
  </si>
  <si>
    <t>207.9°</t>
  </si>
  <si>
    <t>Metis</t>
  </si>
  <si>
    <t>87 km</t>
  </si>
  <si>
    <t>5.577°</t>
  </si>
  <si>
    <t>5.75°</t>
  </si>
  <si>
    <t>68.87°</t>
  </si>
  <si>
    <t>345.43°</t>
  </si>
  <si>
    <t>Ausonia</t>
  </si>
  <si>
    <t>47 km</t>
  </si>
  <si>
    <t>2.395 AU</t>
  </si>
  <si>
    <t>5.776°</t>
  </si>
  <si>
    <t>295.78°</t>
  </si>
  <si>
    <t>337.75°</t>
  </si>
  <si>
    <t>340.16°</t>
  </si>
  <si>
    <t>Nausikaa</t>
  </si>
  <si>
    <t>52 km</t>
  </si>
  <si>
    <t>2.403 AU</t>
  </si>
  <si>
    <t>6.814°</t>
  </si>
  <si>
    <t>30.067°</t>
  </si>
  <si>
    <t>343.25°</t>
  </si>
  <si>
    <t>94.342°</t>
  </si>
  <si>
    <t>Massalia</t>
  </si>
  <si>
    <t>2.409 AU</t>
  </si>
  <si>
    <t>0.709°</t>
  </si>
  <si>
    <t>256.58°</t>
  </si>
  <si>
    <t>206.11°</t>
  </si>
  <si>
    <t>12.443°</t>
  </si>
  <si>
    <t>Hebe</t>
  </si>
  <si>
    <t>98 km</t>
  </si>
  <si>
    <t>2.43 AU</t>
  </si>
  <si>
    <t>14.736°</t>
  </si>
  <si>
    <t>239.59°</t>
  </si>
  <si>
    <t>138.63°</t>
  </si>
  <si>
    <t>144°</t>
  </si>
  <si>
    <t>Beatrix</t>
  </si>
  <si>
    <t>41 km</t>
  </si>
  <si>
    <t>2.432 AU</t>
  </si>
  <si>
    <t>4.966°</t>
  </si>
  <si>
    <t>167.170°</t>
  </si>
  <si>
    <t>27.8°</t>
  </si>
  <si>
    <t>141.862°</t>
  </si>
  <si>
    <t>Lutetia</t>
  </si>
  <si>
    <t>49 km</t>
  </si>
  <si>
    <t>2.435 AU</t>
  </si>
  <si>
    <t>3.064°</t>
  </si>
  <si>
    <t>249.997°</t>
  </si>
  <si>
    <t>80.867°</t>
  </si>
  <si>
    <t>87.976°</t>
  </si>
  <si>
    <t>Fortuna</t>
  </si>
  <si>
    <t>106 km</t>
  </si>
  <si>
    <t>2.441 AU</t>
  </si>
  <si>
    <t>1.573°</t>
  </si>
  <si>
    <t>182.091°</t>
  </si>
  <si>
    <t>211.379°</t>
  </si>
  <si>
    <t>268.398°</t>
  </si>
  <si>
    <t>Isis</t>
  </si>
  <si>
    <t>51 km</t>
  </si>
  <si>
    <t>2.442 AU</t>
  </si>
  <si>
    <t>8.53°</t>
  </si>
  <si>
    <t>236.626°</t>
  </si>
  <si>
    <t>84.398°</t>
  </si>
  <si>
    <t>121.874°</t>
  </si>
  <si>
    <t>Name ⇘</t>
  </si>
  <si>
    <t>Parthenope</t>
  </si>
  <si>
    <t>2.453 AU</t>
  </si>
  <si>
    <t>4.632°</t>
  </si>
  <si>
    <t>196.071°</t>
  </si>
  <si>
    <t>125.506°</t>
  </si>
  <si>
    <t>71.503°</t>
  </si>
  <si>
    <t>Hestia</t>
  </si>
  <si>
    <t>62 km</t>
  </si>
  <si>
    <t>2.526 AU</t>
  </si>
  <si>
    <t>2.342°</t>
  </si>
  <si>
    <t>176.882°</t>
  </si>
  <si>
    <t>181.168°</t>
  </si>
  <si>
    <t>45.401°</t>
  </si>
  <si>
    <t>Julia</t>
  </si>
  <si>
    <t>70 km</t>
  </si>
  <si>
    <t>2.55 AU</t>
  </si>
  <si>
    <t>16.128°</t>
  </si>
  <si>
    <t>45.461°</t>
  </si>
  <si>
    <t>311.563°</t>
  </si>
  <si>
    <t>255.367°</t>
  </si>
  <si>
    <t>Faïna</t>
  </si>
  <si>
    <t>55 km</t>
  </si>
  <si>
    <t>2.552 AU</t>
  </si>
  <si>
    <t>15.6°</t>
  </si>
  <si>
    <t>302.26°</t>
  </si>
  <si>
    <t>78.849°</t>
  </si>
  <si>
    <t>293.41°</t>
  </si>
  <si>
    <t>Amphitrite</t>
  </si>
  <si>
    <t>102 km</t>
  </si>
  <si>
    <t>2.554 AU</t>
  </si>
  <si>
    <t>6.077°</t>
  </si>
  <si>
    <t>62.01°</t>
  </si>
  <si>
    <t>356.26°</t>
  </si>
  <si>
    <t>48.4°</t>
  </si>
  <si>
    <t>Sophrosyne</t>
  </si>
  <si>
    <t>2.563 AU</t>
  </si>
  <si>
    <t>11.602°</t>
  </si>
  <si>
    <t>84.716°</t>
  </si>
  <si>
    <t>345.986°</t>
  </si>
  <si>
    <t>229.885°</t>
  </si>
  <si>
    <t>Astraea</t>
  </si>
  <si>
    <t>63 km</t>
  </si>
  <si>
    <t>2.574 AU</t>
  </si>
  <si>
    <t>5.368°</t>
  </si>
  <si>
    <t>358.75°</t>
  </si>
  <si>
    <t>141.58°</t>
  </si>
  <si>
    <t>186.83°</t>
  </si>
  <si>
    <t>Boliviana</t>
  </si>
  <si>
    <t>12.765°</t>
  </si>
  <si>
    <t>181.663°</t>
  </si>
  <si>
    <t>230.828°</t>
  </si>
  <si>
    <t>218.927°</t>
  </si>
  <si>
    <t>Aspasia</t>
  </si>
  <si>
    <t>84 km</t>
  </si>
  <si>
    <t>2.575 AU</t>
  </si>
  <si>
    <t>11.262°</t>
  </si>
  <si>
    <t>353.72°</t>
  </si>
  <si>
    <t>242.19°</t>
  </si>
  <si>
    <t>260.362°</t>
  </si>
  <si>
    <t>Egeria</t>
  </si>
  <si>
    <t>101 km</t>
  </si>
  <si>
    <t>2.578 AU</t>
  </si>
  <si>
    <t>16.532°</t>
  </si>
  <si>
    <t>79.222°</t>
  </si>
  <si>
    <t>43.208°</t>
  </si>
  <si>
    <t>305.547°</t>
  </si>
  <si>
    <t>Thia</t>
  </si>
  <si>
    <t>2.586 AU</t>
  </si>
  <si>
    <t>11.937°</t>
  </si>
  <si>
    <t>308.65°</t>
  </si>
  <si>
    <t>255.19°</t>
  </si>
  <si>
    <t>336.81°</t>
  </si>
  <si>
    <t>Aegina</t>
  </si>
  <si>
    <t>2.591 AU</t>
  </si>
  <si>
    <t>2.109°</t>
  </si>
  <si>
    <t>73.371°</t>
  </si>
  <si>
    <t>10.806°</t>
  </si>
  <si>
    <t>183.458°</t>
  </si>
  <si>
    <t>Irene</t>
  </si>
  <si>
    <t>76 km</t>
  </si>
  <si>
    <t>2.585 AU</t>
  </si>
  <si>
    <t>9.106°</t>
  </si>
  <si>
    <t>96.473°</t>
  </si>
  <si>
    <t>86.493°</t>
  </si>
  <si>
    <t>326.489°</t>
  </si>
  <si>
    <t>Ate</t>
  </si>
  <si>
    <t>72 km</t>
  </si>
  <si>
    <t>2.593 AU</t>
  </si>
  <si>
    <t>4.932°</t>
  </si>
  <si>
    <t>166.424°</t>
  </si>
  <si>
    <t>305.757°</t>
  </si>
  <si>
    <t>190.607°</t>
  </si>
  <si>
    <t>Melete</t>
  </si>
  <si>
    <t>57 km</t>
  </si>
  <si>
    <t>2.595 AU</t>
  </si>
  <si>
    <t>8.072°</t>
  </si>
  <si>
    <t>103.648°</t>
  </si>
  <si>
    <t>193.478°</t>
  </si>
  <si>
    <t>267.781°</t>
  </si>
  <si>
    <t>Desiderata</t>
  </si>
  <si>
    <t>2.598 AU</t>
  </si>
  <si>
    <t>18.344°</t>
  </si>
  <si>
    <t>237.424°</t>
  </si>
  <si>
    <t>48.049°</t>
  </si>
  <si>
    <t>301.2°</t>
  </si>
  <si>
    <t>Aurelia</t>
  </si>
  <si>
    <t>74 km</t>
  </si>
  <si>
    <t>3.925°</t>
  </si>
  <si>
    <t>44.326°</t>
  </si>
  <si>
    <t>229.14°</t>
  </si>
  <si>
    <t>297.81°</t>
  </si>
  <si>
    <t>Panopaea</t>
  </si>
  <si>
    <t>61 km</t>
  </si>
  <si>
    <t>2.615 AU</t>
  </si>
  <si>
    <t>11.584°</t>
  </si>
  <si>
    <t>256.016°</t>
  </si>
  <si>
    <t>47.783°</t>
  </si>
  <si>
    <t>264.193°</t>
  </si>
  <si>
    <t>Prokne</t>
  </si>
  <si>
    <t>82 km</t>
  </si>
  <si>
    <t>2.616 AU</t>
  </si>
  <si>
    <t>18.509°</t>
  </si>
  <si>
    <t>163.24°</t>
  </si>
  <si>
    <t>159.32°</t>
  </si>
  <si>
    <t>42.282°</t>
  </si>
  <si>
    <t>Diana</t>
  </si>
  <si>
    <t>2.62 AU</t>
  </si>
  <si>
    <t>8.688°</t>
  </si>
  <si>
    <t>151.423°</t>
  </si>
  <si>
    <t>333.582°</t>
  </si>
  <si>
    <t>353.808°</t>
  </si>
  <si>
    <t>Thalia</t>
  </si>
  <si>
    <t>54 km</t>
  </si>
  <si>
    <t>2.628 AU</t>
  </si>
  <si>
    <t>10.145°</t>
  </si>
  <si>
    <t>59.311°</t>
  </si>
  <si>
    <t>67.228°</t>
  </si>
  <si>
    <t>328.687°</t>
  </si>
  <si>
    <t>Eva</t>
  </si>
  <si>
    <t>2.634 AU</t>
  </si>
  <si>
    <t>24.456°</t>
  </si>
  <si>
    <t>283.956°</t>
  </si>
  <si>
    <t>76.852°</t>
  </si>
  <si>
    <t>219.547°</t>
  </si>
  <si>
    <t>Fides</t>
  </si>
  <si>
    <t>2.643 AU</t>
  </si>
  <si>
    <t>3.071°</t>
  </si>
  <si>
    <t>62.327°</t>
  </si>
  <si>
    <t>7.267°</t>
  </si>
  <si>
    <t>303.436°</t>
  </si>
  <si>
    <t>Eunomia</t>
  </si>
  <si>
    <t>135 km</t>
  </si>
  <si>
    <t>2.644 AU</t>
  </si>
  <si>
    <t>11.732°</t>
  </si>
  <si>
    <t>97.577°</t>
  </si>
  <si>
    <t>293.399°</t>
  </si>
  <si>
    <t>148.829°</t>
  </si>
  <si>
    <t>Mathilde</t>
  </si>
  <si>
    <t>26 km</t>
  </si>
  <si>
    <t>2.648 AU</t>
  </si>
  <si>
    <t>6.743°</t>
  </si>
  <si>
    <t>157.396°</t>
  </si>
  <si>
    <t>179.589°</t>
  </si>
  <si>
    <t>170.584°</t>
  </si>
  <si>
    <t>Hedwig</t>
  </si>
  <si>
    <t>2.651 AU</t>
  </si>
  <si>
    <t>10.924°</t>
  </si>
  <si>
    <t>0.203°</t>
  </si>
  <si>
    <t>286.382°</t>
  </si>
  <si>
    <t>277.359°</t>
  </si>
  <si>
    <t>Io</t>
  </si>
  <si>
    <t>85 km</t>
  </si>
  <si>
    <t>2.653 AU</t>
  </si>
  <si>
    <t>11.961°</t>
  </si>
  <si>
    <t>123.11°</t>
  </si>
  <si>
    <t>203.12°</t>
  </si>
  <si>
    <t>83.678°</t>
  </si>
  <si>
    <t>Vibilia</t>
  </si>
  <si>
    <t>2.657 AU</t>
  </si>
  <si>
    <t>4.812°</t>
  </si>
  <si>
    <t>294.36°</t>
  </si>
  <si>
    <t>76.204°</t>
  </si>
  <si>
    <t>230.96°</t>
  </si>
  <si>
    <t>Asterope</t>
  </si>
  <si>
    <t>2.66 AU</t>
  </si>
  <si>
    <t>7.683°</t>
  </si>
  <si>
    <t>125.128°</t>
  </si>
  <si>
    <t>222.017°</t>
  </si>
  <si>
    <t>138.789°</t>
  </si>
  <si>
    <t>Lumen</t>
  </si>
  <si>
    <t>65 km</t>
  </si>
  <si>
    <t>2.665 AU</t>
  </si>
  <si>
    <t>11.897°</t>
  </si>
  <si>
    <t>58.108°</t>
  </si>
  <si>
    <t>318.504°</t>
  </si>
  <si>
    <t>292.477°</t>
  </si>
  <si>
    <t>⚵</t>
  </si>
  <si>
    <t>Juno</t>
  </si>
  <si>
    <t>127 km</t>
  </si>
  <si>
    <t>2.67 AU</t>
  </si>
  <si>
    <t>12.991°</t>
  </si>
  <si>
    <t>247.74°</t>
  </si>
  <si>
    <t>169.84°</t>
  </si>
  <si>
    <t>37.02°</t>
  </si>
  <si>
    <t>Klotho</t>
  </si>
  <si>
    <t>2.672 AU</t>
  </si>
  <si>
    <t>11.783°</t>
  </si>
  <si>
    <t>268.687°</t>
  </si>
  <si>
    <t>159.705°</t>
  </si>
  <si>
    <t>85.017°</t>
  </si>
  <si>
    <t>Adeona</t>
  </si>
  <si>
    <t>2.674 AU</t>
  </si>
  <si>
    <t>12.634°</t>
  </si>
  <si>
    <t>44.023°</t>
  </si>
  <si>
    <t>77.421°</t>
  </si>
  <si>
    <t>233.709°</t>
  </si>
  <si>
    <t>Bamberga</t>
  </si>
  <si>
    <t>114 km</t>
  </si>
  <si>
    <t>2.682 AU</t>
  </si>
  <si>
    <t>11.101°</t>
  </si>
  <si>
    <t>44.241°</t>
  </si>
  <si>
    <t>327.883°</t>
  </si>
  <si>
    <t>225.419°</t>
  </si>
  <si>
    <t>Cava</t>
  </si>
  <si>
    <t>2.683 AU</t>
  </si>
  <si>
    <t>9.841°</t>
  </si>
  <si>
    <t>337.156°</t>
  </si>
  <si>
    <t>90.876°</t>
  </si>
  <si>
    <t>219.54°</t>
  </si>
  <si>
    <t>Circe</t>
  </si>
  <si>
    <t>2.687 AU</t>
  </si>
  <si>
    <t>5.498°</t>
  </si>
  <si>
    <t>330.233°</t>
  </si>
  <si>
    <t>184.442°</t>
  </si>
  <si>
    <t>39.805°</t>
  </si>
  <si>
    <t>Ianthe</t>
  </si>
  <si>
    <t>53 km</t>
  </si>
  <si>
    <t>2.688 AU</t>
  </si>
  <si>
    <t>15.578°</t>
  </si>
  <si>
    <t>158.686°</t>
  </si>
  <si>
    <t>354°</t>
  </si>
  <si>
    <t>262.019°</t>
  </si>
  <si>
    <t>Concordia</t>
  </si>
  <si>
    <t>2.701 AU</t>
  </si>
  <si>
    <t>5.057°</t>
  </si>
  <si>
    <t>34.465°</t>
  </si>
  <si>
    <t>161.29°</t>
  </si>
  <si>
    <t>15.122°</t>
  </si>
  <si>
    <t>Alexandra</t>
  </si>
  <si>
    <t>77 km</t>
  </si>
  <si>
    <t>2.712 AU</t>
  </si>
  <si>
    <t>11.804°</t>
  </si>
  <si>
    <t>345.594°</t>
  </si>
  <si>
    <t>313.446°</t>
  </si>
  <si>
    <t>103.809°</t>
  </si>
  <si>
    <t>Elpis</t>
  </si>
  <si>
    <t>2.715 AU</t>
  </si>
  <si>
    <t>8.631°</t>
  </si>
  <si>
    <t>210.901°</t>
  </si>
  <si>
    <t>170.209°</t>
  </si>
  <si>
    <t>246.848°</t>
  </si>
  <si>
    <t>Lucina</t>
  </si>
  <si>
    <t>66 km</t>
  </si>
  <si>
    <t>2.718 AU</t>
  </si>
  <si>
    <t>13.095°</t>
  </si>
  <si>
    <t>146.982°</t>
  </si>
  <si>
    <t>83.969°</t>
  </si>
  <si>
    <t>198.102°</t>
  </si>
  <si>
    <t>Eugenia</t>
  </si>
  <si>
    <t>94 km</t>
  </si>
  <si>
    <t>2.72 AU</t>
  </si>
  <si>
    <t>6.61°</t>
  </si>
  <si>
    <t>85.137°</t>
  </si>
  <si>
    <t>147.939°</t>
  </si>
  <si>
    <t>45.254°</t>
  </si>
  <si>
    <t>S/2004 (45) 1</t>
  </si>
  <si>
    <t>700 km</t>
  </si>
  <si>
    <t>?</t>
  </si>
  <si>
    <t>Petit-Prince</t>
  </si>
  <si>
    <t>7 km</t>
  </si>
  <si>
    <t>1,184 km</t>
  </si>
  <si>
    <t>Chloris</t>
  </si>
  <si>
    <t>60 km</t>
  </si>
  <si>
    <t>2.724 AU</t>
  </si>
  <si>
    <t>10.963°</t>
  </si>
  <si>
    <t>172.945°</t>
  </si>
  <si>
    <t>96.94°</t>
  </si>
  <si>
    <t>125.79°</t>
  </si>
  <si>
    <t>Xanthippe</t>
  </si>
  <si>
    <t>2.727 AU</t>
  </si>
  <si>
    <t>9.782°</t>
  </si>
  <si>
    <t>338.29°</t>
  </si>
  <si>
    <t>241.83°</t>
  </si>
  <si>
    <t>34.237°</t>
  </si>
  <si>
    <t>Lamberta</t>
  </si>
  <si>
    <t>2.728 AU</t>
  </si>
  <si>
    <t>10.588°</t>
  </si>
  <si>
    <t>196.93°</t>
  </si>
  <si>
    <t>21.707°</t>
  </si>
  <si>
    <t>217.42°</t>
  </si>
  <si>
    <t>Siwa</t>
  </si>
  <si>
    <t>2.733 AU</t>
  </si>
  <si>
    <t>3.186°</t>
  </si>
  <si>
    <t>196.711°</t>
  </si>
  <si>
    <t>107.263°</t>
  </si>
  <si>
    <t>200.674°</t>
  </si>
  <si>
    <t>Pompeja</t>
  </si>
  <si>
    <t>2.737 AU</t>
  </si>
  <si>
    <t>3.178°</t>
  </si>
  <si>
    <t>57.06°</t>
  </si>
  <si>
    <t>347.916°</t>
  </si>
  <si>
    <t>47.638°</t>
  </si>
  <si>
    <t>Mandeville</t>
  </si>
  <si>
    <t>20.66°</t>
  </si>
  <si>
    <t>45.543°</t>
  </si>
  <si>
    <t>136.609°</t>
  </si>
  <si>
    <t>276.654°</t>
  </si>
  <si>
    <t>Flammario</t>
  </si>
  <si>
    <t>15.869°</t>
  </si>
  <si>
    <t>286.97°</t>
  </si>
  <si>
    <t>115.44°</t>
  </si>
  <si>
    <t>10.84°</t>
  </si>
  <si>
    <t>Dynamene</t>
  </si>
  <si>
    <t>6.896°</t>
  </si>
  <si>
    <t>85.089°</t>
  </si>
  <si>
    <t>324.57°</t>
  </si>
  <si>
    <t>10.506°</t>
  </si>
  <si>
    <t>Eunike</t>
  </si>
  <si>
    <t>79 km</t>
  </si>
  <si>
    <t>2.738 AU</t>
  </si>
  <si>
    <t>23.238°</t>
  </si>
  <si>
    <t>224.01°</t>
  </si>
  <si>
    <t>153.84°</t>
  </si>
  <si>
    <t>327.48°</t>
  </si>
  <si>
    <t>Brixia</t>
  </si>
  <si>
    <t>2.74 AU</t>
  </si>
  <si>
    <t>10.596°</t>
  </si>
  <si>
    <t>316.01°</t>
  </si>
  <si>
    <t>89.665°</t>
  </si>
  <si>
    <t>308.887°</t>
  </si>
  <si>
    <t>Hersilia</t>
  </si>
  <si>
    <t>2.741 AU</t>
  </si>
  <si>
    <t>3.779°</t>
  </si>
  <si>
    <t>145.169°</t>
  </si>
  <si>
    <t>299.705°</t>
  </si>
  <si>
    <t>348.975°</t>
  </si>
  <si>
    <t>Aquitania</t>
  </si>
  <si>
    <t>18.113°</t>
  </si>
  <si>
    <t>157.14°</t>
  </si>
  <si>
    <t>128.24°</t>
  </si>
  <si>
    <t>330.99°</t>
  </si>
  <si>
    <t>Emita</t>
  </si>
  <si>
    <t>2.742 AU</t>
  </si>
  <si>
    <t>9.84°</t>
  </si>
  <si>
    <t>349.783°</t>
  </si>
  <si>
    <t>66.753°</t>
  </si>
  <si>
    <t>141.033°</t>
  </si>
  <si>
    <t>Ino</t>
  </si>
  <si>
    <t>2.743 AU</t>
  </si>
  <si>
    <t>14.197°</t>
  </si>
  <si>
    <t>228.89°</t>
  </si>
  <si>
    <t>148.18°</t>
  </si>
  <si>
    <t>307.27°</t>
  </si>
  <si>
    <t>Eukrate</t>
  </si>
  <si>
    <t>67 km</t>
  </si>
  <si>
    <t>24.991°</t>
  </si>
  <si>
    <t>54.969°</t>
  </si>
  <si>
    <t>0.164°</t>
  </si>
  <si>
    <t>75.989°</t>
  </si>
  <si>
    <t>Atalante</t>
  </si>
  <si>
    <t>2.747 AU</t>
  </si>
  <si>
    <t>18.432°</t>
  </si>
  <si>
    <t>47.132°</t>
  </si>
  <si>
    <t>358.472°</t>
  </si>
  <si>
    <t>47.005°</t>
  </si>
  <si>
    <t>Nemesis</t>
  </si>
  <si>
    <t>2.75 AU</t>
  </si>
  <si>
    <t>6.245°</t>
  </si>
  <si>
    <r>
      <t>303.82</t>
    </r>
    <r>
      <rPr>
        <b/>
        <sz val="11"/>
        <color theme="1"/>
        <rFont val="Aptos Narrow"/>
        <family val="2"/>
        <scheme val="minor"/>
      </rPr>
      <t>°</t>
    </r>
  </si>
  <si>
    <t>76.243°</t>
  </si>
  <si>
    <t>345.49°</t>
  </si>
  <si>
    <t>Polyxo</t>
  </si>
  <si>
    <t>4.361°</t>
  </si>
  <si>
    <t>115.501°</t>
  </si>
  <si>
    <t>181.727°</t>
  </si>
  <si>
    <t>70.419°</t>
  </si>
  <si>
    <t>Minerva</t>
  </si>
  <si>
    <t>2.757 AU</t>
  </si>
  <si>
    <t>8.561°</t>
  </si>
  <si>
    <t>274.543°</t>
  </si>
  <si>
    <t>4.063°</t>
  </si>
  <si>
    <t>262.022°</t>
  </si>
  <si>
    <t>Gorgoneion</t>
  </si>
  <si>
    <t>2 km</t>
  </si>
  <si>
    <t>380 km</t>
  </si>
  <si>
    <t>Aegis</t>
  </si>
  <si>
    <t>630 km</t>
  </si>
  <si>
    <t>Liguria</t>
  </si>
  <si>
    <t>2.758 AU</t>
  </si>
  <si>
    <t>8.224°</t>
  </si>
  <si>
    <t>78.566°</t>
  </si>
  <si>
    <t>354.796°</t>
  </si>
  <si>
    <t>28.971°</t>
  </si>
  <si>
    <t>Johanna</t>
  </si>
  <si>
    <t>2.76 AU</t>
  </si>
  <si>
    <t>8.245°</t>
  </si>
  <si>
    <t>94.611°</t>
  </si>
  <si>
    <t>31.154°</t>
  </si>
  <si>
    <t>67.782°</t>
  </si>
  <si>
    <t>Daphne</t>
  </si>
  <si>
    <t>2.765 AU</t>
  </si>
  <si>
    <t>15.765°</t>
  </si>
  <si>
    <t>46.239°</t>
  </si>
  <si>
    <t>178.159°</t>
  </si>
  <si>
    <t>247.5°</t>
  </si>
  <si>
    <t>Peneius</t>
  </si>
  <si>
    <t>1 km</t>
  </si>
  <si>
    <t>443 km</t>
  </si>
  <si>
    <t>Thisbe</t>
  </si>
  <si>
    <t>109 km</t>
  </si>
  <si>
    <t>2.768 AU</t>
  </si>
  <si>
    <t>5.219°</t>
  </si>
  <si>
    <t>36.591°</t>
  </si>
  <si>
    <t>276.765°</t>
  </si>
  <si>
    <t>165.454°</t>
  </si>
  <si>
    <t xml:space="preserve">Laetitia </t>
  </si>
  <si>
    <t>90 km</t>
  </si>
  <si>
    <t>2.769 AU</t>
  </si>
  <si>
    <t>10.383°</t>
  </si>
  <si>
    <t>209.56°</t>
  </si>
  <si>
    <t>157.168°</t>
  </si>
  <si>
    <t>58.261°</t>
  </si>
  <si>
    <t>⚳</t>
  </si>
  <si>
    <t>Ceres</t>
  </si>
  <si>
    <t>470 km</t>
  </si>
  <si>
    <t>2.77 AU</t>
  </si>
  <si>
    <t>10.591°</t>
  </si>
  <si>
    <t>72.815°</t>
  </si>
  <si>
    <t>80.314°</t>
  </si>
  <si>
    <t>224.095°</t>
  </si>
  <si>
    <t>Gyptis</t>
  </si>
  <si>
    <t>80 km</t>
  </si>
  <si>
    <t>10.278°</t>
  </si>
  <si>
    <t>154.984°</t>
  </si>
  <si>
    <t>195.716°</t>
  </si>
  <si>
    <t>11.885°</t>
  </si>
  <si>
    <t>Sapientia</t>
  </si>
  <si>
    <t>48 km</t>
  </si>
  <si>
    <t>4.764°</t>
  </si>
  <si>
    <t>40.058°</t>
  </si>
  <si>
    <t>134.097°</t>
  </si>
  <si>
    <t>300.952°</t>
  </si>
  <si>
    <t>Herculina</t>
  </si>
  <si>
    <t>2.773 AU</t>
  </si>
  <si>
    <t>16.314°</t>
  </si>
  <si>
    <t>76.097°</t>
  </si>
  <si>
    <t>107.556°</t>
  </si>
  <si>
    <t>131.039°</t>
  </si>
  <si>
    <t>Gratia</t>
  </si>
  <si>
    <t>2.774 AU</t>
  </si>
  <si>
    <t>8.209°</t>
  </si>
  <si>
    <t>331.822°</t>
  </si>
  <si>
    <t>99.245°</t>
  </si>
  <si>
    <t>350.256°</t>
  </si>
  <si>
    <t>Lampetia</t>
  </si>
  <si>
    <t>2.777 AU</t>
  </si>
  <si>
    <t>14.879°</t>
  </si>
  <si>
    <t>90.824°</t>
  </si>
  <si>
    <t>212.46°</t>
  </si>
  <si>
    <t>173.245°</t>
  </si>
  <si>
    <t>Bellona</t>
  </si>
  <si>
    <t>9.43°</t>
  </si>
  <si>
    <t>344.461°</t>
  </si>
  <si>
    <t>144.33°</t>
  </si>
  <si>
    <t>121.574°</t>
  </si>
  <si>
    <t>Galatea</t>
  </si>
  <si>
    <t>2.778 AU</t>
  </si>
  <si>
    <t>4.075°</t>
  </si>
  <si>
    <t>174.519°</t>
  </si>
  <si>
    <t>197.313°</t>
  </si>
  <si>
    <t>36.838°</t>
  </si>
  <si>
    <t>Juewa</t>
  </si>
  <si>
    <t>2.781 AU</t>
  </si>
  <si>
    <t>10.913°</t>
  </si>
  <si>
    <t>165.566°</t>
  </si>
  <si>
    <t>1.834°</t>
  </si>
  <si>
    <t>60.282°</t>
  </si>
  <si>
    <t>Leto</t>
  </si>
  <si>
    <t>7.972°</t>
  </si>
  <si>
    <t>304.862°</t>
  </si>
  <si>
    <t>44.127°</t>
  </si>
  <si>
    <t>48.72°</t>
  </si>
  <si>
    <t>⚴</t>
  </si>
  <si>
    <t>Pallas</t>
  </si>
  <si>
    <t>256 km</t>
  </si>
  <si>
    <t>34.852°</t>
  </si>
  <si>
    <t>310.529°</t>
  </si>
  <si>
    <t>173.166°</t>
  </si>
  <si>
    <t>346.022°</t>
  </si>
  <si>
    <t>Kleopatra</t>
  </si>
  <si>
    <t>2.794 AU</t>
  </si>
  <si>
    <t>179.099°</t>
  </si>
  <si>
    <t>215.672°</t>
  </si>
  <si>
    <t>55.259°</t>
  </si>
  <si>
    <t>13.099°</t>
  </si>
  <si>
    <t>Cleoselene</t>
  </si>
  <si>
    <t>Alexhelios</t>
  </si>
  <si>
    <t>4 km</t>
  </si>
  <si>
    <t>775 km</t>
  </si>
  <si>
    <t>Eleonora</t>
  </si>
  <si>
    <t>83 km</t>
  </si>
  <si>
    <t>2.798 AU</t>
  </si>
  <si>
    <t>18.403°</t>
  </si>
  <si>
    <t>5.522°</t>
  </si>
  <si>
    <t>140.37°</t>
  </si>
  <si>
    <t>123.762°</t>
  </si>
  <si>
    <t>Aline</t>
  </si>
  <si>
    <t>2.804 AU</t>
  </si>
  <si>
    <t>13.399°</t>
  </si>
  <si>
    <t>150.489°</t>
  </si>
  <si>
    <t>235.904°</t>
  </si>
  <si>
    <t>53.204°</t>
  </si>
  <si>
    <t>Hispania</t>
  </si>
  <si>
    <t>2.838 AU</t>
  </si>
  <si>
    <t>15.395°</t>
  </si>
  <si>
    <t>344.626°</t>
  </si>
  <si>
    <t>347.611°</t>
  </si>
  <si>
    <t>277.552°</t>
  </si>
  <si>
    <t>Terpsichore</t>
  </si>
  <si>
    <t>2.855 AU</t>
  </si>
  <si>
    <t>7.809°</t>
  </si>
  <si>
    <t>50.234°</t>
  </si>
  <si>
    <t>1.497°</t>
  </si>
  <si>
    <t>149.581°</t>
  </si>
  <si>
    <t>Ida</t>
  </si>
  <si>
    <t>16 km</t>
  </si>
  <si>
    <t>2.861 AU</t>
  </si>
  <si>
    <t>1.132°</t>
  </si>
  <si>
    <t>110.961°</t>
  </si>
  <si>
    <t>324.016°</t>
  </si>
  <si>
    <t>38.707°</t>
  </si>
  <si>
    <t>Dactyl</t>
  </si>
  <si>
    <t>Antigone</t>
  </si>
  <si>
    <t>2.87 AU</t>
  </si>
  <si>
    <t>12.262°</t>
  </si>
  <si>
    <t>111.076°</t>
  </si>
  <si>
    <t>135.703°</t>
  </si>
  <si>
    <t>97.354°</t>
  </si>
  <si>
    <t>Aglaja</t>
  </si>
  <si>
    <t>68 km</t>
  </si>
  <si>
    <t>2.878 AU</t>
  </si>
  <si>
    <t>4.985°</t>
  </si>
  <si>
    <t>314.589°</t>
  </si>
  <si>
    <t>3.244°</t>
  </si>
  <si>
    <t>225.007°</t>
  </si>
  <si>
    <t>Papagena</t>
  </si>
  <si>
    <t>2.888 AU</t>
  </si>
  <si>
    <t>14.976°</t>
  </si>
  <si>
    <t>314.13°</t>
  </si>
  <si>
    <t>83.999°</t>
  </si>
  <si>
    <t>46.684°</t>
  </si>
  <si>
    <t>Hippo</t>
  </si>
  <si>
    <t>2.889 AU</t>
  </si>
  <si>
    <t>19.477°</t>
  </si>
  <si>
    <t>222.319°</t>
  </si>
  <si>
    <t>311.419°</t>
  </si>
  <si>
    <t>247.692°</t>
  </si>
  <si>
    <t>Siegena</t>
  </si>
  <si>
    <t>2.896 AU</t>
  </si>
  <si>
    <t>20.257°</t>
  </si>
  <si>
    <t>219.478°</t>
  </si>
  <si>
    <t>166.886°</t>
  </si>
  <si>
    <t>66.751°</t>
  </si>
  <si>
    <t>Hypatia</t>
  </si>
  <si>
    <t>2.908 AU</t>
  </si>
  <si>
    <t>12.413°</t>
  </si>
  <si>
    <t>210.75°</t>
  </si>
  <si>
    <t>183.89°</t>
  </si>
  <si>
    <t>170°</t>
  </si>
  <si>
    <t>Kalliope</t>
  </si>
  <si>
    <t>2.911 AU</t>
  </si>
  <si>
    <t>13.703°</t>
  </si>
  <si>
    <t>355.03°</t>
  </si>
  <si>
    <t>66.17°</t>
  </si>
  <si>
    <t>282.54°</t>
  </si>
  <si>
    <t>Linus</t>
  </si>
  <si>
    <t>14 km</t>
  </si>
  <si>
    <t>1,099 km</t>
  </si>
  <si>
    <t>Psyche</t>
  </si>
  <si>
    <t>112 km</t>
  </si>
  <si>
    <t>2.92 AU</t>
  </si>
  <si>
    <t>3.096°</t>
  </si>
  <si>
    <t>229.41°</t>
  </si>
  <si>
    <t>150.03°</t>
  </si>
  <si>
    <t>243.16°</t>
  </si>
  <si>
    <t>Erminia</t>
  </si>
  <si>
    <t>2.922 AU</t>
  </si>
  <si>
    <t>25.045°</t>
  </si>
  <si>
    <t>101.355°</t>
  </si>
  <si>
    <t>2.895°</t>
  </si>
  <si>
    <t>348.734°</t>
  </si>
  <si>
    <t>Dembowska</t>
  </si>
  <si>
    <t>2.924 AU</t>
  </si>
  <si>
    <t>8.246°</t>
  </si>
  <si>
    <t>346.225°</t>
  </si>
  <si>
    <t>32.351°</t>
  </si>
  <si>
    <t>306.898°</t>
  </si>
  <si>
    <t>Scheila</t>
  </si>
  <si>
    <t>2.928 AU</t>
  </si>
  <si>
    <t>14.661°</t>
  </si>
  <si>
    <t>175.16°</t>
  </si>
  <si>
    <t>70.606°</t>
  </si>
  <si>
    <t>21.266°</t>
  </si>
  <si>
    <t>Bebericia</t>
  </si>
  <si>
    <t>2.93 AU</t>
  </si>
  <si>
    <t>18.237°</t>
  </si>
  <si>
    <t>307.132°</t>
  </si>
  <si>
    <t>79.729°</t>
  </si>
  <si>
    <t>235.69°</t>
  </si>
  <si>
    <t>Hesperia</t>
  </si>
  <si>
    <t>50 km</t>
  </si>
  <si>
    <t>2.982 AU</t>
  </si>
  <si>
    <t>8.859°</t>
  </si>
  <si>
    <t>290.124°</t>
  </si>
  <si>
    <t>185.18°</t>
  </si>
  <si>
    <t>60.81°</t>
  </si>
  <si>
    <t>Nuwa</t>
  </si>
  <si>
    <t>2.984 AU</t>
  </si>
  <si>
    <t>2.194°</t>
  </si>
  <si>
    <t>151.969°</t>
  </si>
  <si>
    <t>206.492°</t>
  </si>
  <si>
    <t>92.018°</t>
  </si>
  <si>
    <t>Virtus</t>
  </si>
  <si>
    <t>43 km</t>
  </si>
  <si>
    <t>2.986 AU</t>
  </si>
  <si>
    <t>7.087°</t>
  </si>
  <si>
    <t>218.055°</t>
  </si>
  <si>
    <t>38.21°</t>
  </si>
  <si>
    <t>143.315°</t>
  </si>
  <si>
    <t>Leukothea</t>
  </si>
  <si>
    <t>2.99 AU</t>
  </si>
  <si>
    <t>7.938°</t>
  </si>
  <si>
    <t>213.962°</t>
  </si>
  <si>
    <t>353.817°</t>
  </si>
  <si>
    <t>77.469°</t>
  </si>
  <si>
    <t>Lomia</t>
  </si>
  <si>
    <t>2.992 AU</t>
  </si>
  <si>
    <t>14.902°</t>
  </si>
  <si>
    <t>52.461°</t>
  </si>
  <si>
    <t>348.79°</t>
  </si>
  <si>
    <t>317.47°</t>
  </si>
  <si>
    <t>Tanete</t>
  </si>
  <si>
    <t>3.001 AU</t>
  </si>
  <si>
    <t>28.854°</t>
  </si>
  <si>
    <t>146.061°</t>
  </si>
  <si>
    <t>63.832°</t>
  </si>
  <si>
    <t>163.71°</t>
  </si>
  <si>
    <t>Winchester</t>
  </si>
  <si>
    <t>18.165°</t>
  </si>
  <si>
    <t>275.511°</t>
  </si>
  <si>
    <t>130.081°</t>
  </si>
  <si>
    <t>59.047°</t>
  </si>
  <si>
    <t>Carlova</t>
  </si>
  <si>
    <t>3.003 AU</t>
  </si>
  <si>
    <t>11.697°</t>
  </si>
  <si>
    <t>287.862°</t>
  </si>
  <si>
    <t>132.551°</t>
  </si>
  <si>
    <t>350.473°</t>
  </si>
  <si>
    <t>Charybdis</t>
  </si>
  <si>
    <t>3.005 AU</t>
  </si>
  <si>
    <t>6.446°</t>
  </si>
  <si>
    <t>333.004°</t>
  </si>
  <si>
    <t>354.285°</t>
  </si>
  <si>
    <t>10.993°</t>
  </si>
  <si>
    <t>Marion</t>
  </si>
  <si>
    <t>3.039 AU</t>
  </si>
  <si>
    <t>17.008°</t>
  </si>
  <si>
    <t>146.177°</t>
  </si>
  <si>
    <t>312.95°</t>
  </si>
  <si>
    <t>178.097°</t>
  </si>
  <si>
    <t>Isolda</t>
  </si>
  <si>
    <t>3.042 AU</t>
  </si>
  <si>
    <t>3.886°</t>
  </si>
  <si>
    <t>173.522°</t>
  </si>
  <si>
    <t>263.644°</t>
  </si>
  <si>
    <t>260.142°</t>
  </si>
  <si>
    <t>Armida</t>
  </si>
  <si>
    <t>3.046 AU</t>
  </si>
  <si>
    <t>3.877°</t>
  </si>
  <si>
    <t>107.727°</t>
  </si>
  <si>
    <t>268.633°</t>
  </si>
  <si>
    <t>52.051°</t>
  </si>
  <si>
    <t>Germania</t>
  </si>
  <si>
    <t>3.049 AU</t>
  </si>
  <si>
    <t>5.505°</t>
  </si>
  <si>
    <t>80.636°</t>
  </si>
  <si>
    <t>270.362°</t>
  </si>
  <si>
    <t>277.959°</t>
  </si>
  <si>
    <t>Emma</t>
  </si>
  <si>
    <t>3.047 AU</t>
  </si>
  <si>
    <t>7.992°</t>
  </si>
  <si>
    <t>53.702°</t>
  </si>
  <si>
    <t>304.369°</t>
  </si>
  <si>
    <t>127.107°</t>
  </si>
  <si>
    <t>S/2003 (283) 1</t>
  </si>
  <si>
    <t>5 km</t>
  </si>
  <si>
    <t>581 km</t>
  </si>
  <si>
    <t>Aegle</t>
  </si>
  <si>
    <t>3.052 AU</t>
  </si>
  <si>
    <t>15.963°</t>
  </si>
  <si>
    <t>208.97°</t>
  </si>
  <si>
    <t>321.6°</t>
  </si>
  <si>
    <t>29.93°</t>
  </si>
  <si>
    <t>Interamnia</t>
  </si>
  <si>
    <t>166 km</t>
  </si>
  <si>
    <t>3.056 AU</t>
  </si>
  <si>
    <t>17.285°</t>
  </si>
  <si>
    <t>95.654°</t>
  </si>
  <si>
    <t>280.422°</t>
  </si>
  <si>
    <t>204.093°</t>
  </si>
  <si>
    <t>Patientia</t>
  </si>
  <si>
    <t>3.062 AU</t>
  </si>
  <si>
    <t>15.236°</t>
  </si>
  <si>
    <t>337.06°</t>
  </si>
  <si>
    <t>89.252°</t>
  </si>
  <si>
    <t>279.3°</t>
  </si>
  <si>
    <t>Arethusa</t>
  </si>
  <si>
    <t>3.065 AU</t>
  </si>
  <si>
    <t>12.996°</t>
  </si>
  <si>
    <t>154.196°</t>
  </si>
  <si>
    <t>243.038°</t>
  </si>
  <si>
    <t>250.185°</t>
  </si>
  <si>
    <t>Diotima</t>
  </si>
  <si>
    <t>88 km</t>
  </si>
  <si>
    <t>3.068 AU</t>
  </si>
  <si>
    <t>11.23°</t>
  </si>
  <si>
    <t>200.103°</t>
  </si>
  <si>
    <t>69.471°</t>
  </si>
  <si>
    <t>237.495°</t>
  </si>
  <si>
    <t>Gerlinde</t>
  </si>
  <si>
    <t>3.069 AU</t>
  </si>
  <si>
    <t>17.82°</t>
  </si>
  <si>
    <t>310.954°</t>
  </si>
  <si>
    <t>232.869°</t>
  </si>
  <si>
    <t>135.977°</t>
  </si>
  <si>
    <t>Marianna</t>
  </si>
  <si>
    <t>3.084 AU</t>
  </si>
  <si>
    <t>15.107°</t>
  </si>
  <si>
    <t>45.906°</t>
  </si>
  <si>
    <t>331.497°</t>
  </si>
  <si>
    <t>235.763°</t>
  </si>
  <si>
    <t>Adorea</t>
  </si>
  <si>
    <t>3.092 AU</t>
  </si>
  <si>
    <t>2.44°</t>
  </si>
  <si>
    <t>69.574°</t>
  </si>
  <si>
    <t>120.914°</t>
  </si>
  <si>
    <t>302.257°</t>
  </si>
  <si>
    <t>Europa</t>
  </si>
  <si>
    <t>160 km</t>
  </si>
  <si>
    <t>3.095 AU</t>
  </si>
  <si>
    <t>7.467°</t>
  </si>
  <si>
    <t>343.365°</t>
  </si>
  <si>
    <t>129.011°</t>
  </si>
  <si>
    <t>52.86°</t>
  </si>
  <si>
    <t>Pales</t>
  </si>
  <si>
    <t>3.101 AU</t>
  </si>
  <si>
    <t>3.17°</t>
  </si>
  <si>
    <t>111.146°</t>
  </si>
  <si>
    <t>285.646°</t>
  </si>
  <si>
    <t>169.53°</t>
  </si>
  <si>
    <t>Aemilia</t>
  </si>
  <si>
    <t>3.103 AU</t>
  </si>
  <si>
    <t>6.131°</t>
  </si>
  <si>
    <t>333.387°</t>
  </si>
  <si>
    <t>134.132°</t>
  </si>
  <si>
    <t>214.036°</t>
  </si>
  <si>
    <t>Ornamenta</t>
  </si>
  <si>
    <t>3.109 AU</t>
  </si>
  <si>
    <t>24.894°</t>
  </si>
  <si>
    <t>338.34°</t>
  </si>
  <si>
    <t>90.106°</t>
  </si>
  <si>
    <t>177.109°</t>
  </si>
  <si>
    <t>Doris</t>
  </si>
  <si>
    <t>108 km</t>
  </si>
  <si>
    <t>3.11 AU</t>
  </si>
  <si>
    <t>6.554°</t>
  </si>
  <si>
    <t>257.583°</t>
  </si>
  <si>
    <t>183.754°</t>
  </si>
  <si>
    <t>336.191°</t>
  </si>
  <si>
    <t>Gudrun</t>
  </si>
  <si>
    <t>3.111 AU</t>
  </si>
  <si>
    <t>16.116°</t>
  </si>
  <si>
    <t>103.924°</t>
  </si>
  <si>
    <t>352.328°</t>
  </si>
  <si>
    <t>325.246°</t>
  </si>
  <si>
    <t>Semele</t>
  </si>
  <si>
    <t>3.114 AU</t>
  </si>
  <si>
    <t>4.822°</t>
  </si>
  <si>
    <t>307.886°</t>
  </si>
  <si>
    <t>86.452°</t>
  </si>
  <si>
    <t>264.875°</t>
  </si>
  <si>
    <t>Armenia</t>
  </si>
  <si>
    <t>19.085°</t>
  </si>
  <si>
    <t>214.403°</t>
  </si>
  <si>
    <t>144.857°</t>
  </si>
  <si>
    <t>346.438°</t>
  </si>
  <si>
    <t>Medea</t>
  </si>
  <si>
    <t>3.116 AU</t>
  </si>
  <si>
    <t>4.264°</t>
  </si>
  <si>
    <t>100.91°</t>
  </si>
  <si>
    <t>313.478°</t>
  </si>
  <si>
    <t>28.128°</t>
  </si>
  <si>
    <t>Lachesis</t>
  </si>
  <si>
    <t>78 km</t>
  </si>
  <si>
    <t>3.118 AU</t>
  </si>
  <si>
    <t>6.964°</t>
  </si>
  <si>
    <t>232.822°</t>
  </si>
  <si>
    <t>341.193°</t>
  </si>
  <si>
    <t>56.21°</t>
  </si>
  <si>
    <t>Philomela</t>
  </si>
  <si>
    <t>7.255°</t>
  </si>
  <si>
    <t>195.69°</t>
  </si>
  <si>
    <t>72.384°</t>
  </si>
  <si>
    <t>276.49°</t>
  </si>
  <si>
    <t>Adelheid</t>
  </si>
  <si>
    <t>21.645°</t>
  </si>
  <si>
    <t>268.356°</t>
  </si>
  <si>
    <t>211.299°</t>
  </si>
  <si>
    <t>204.741°</t>
  </si>
  <si>
    <t>Ani</t>
  </si>
  <si>
    <t>3.122 AU</t>
  </si>
  <si>
    <t>16.381°</t>
  </si>
  <si>
    <t>201.49°</t>
  </si>
  <si>
    <t>129.81°</t>
  </si>
  <si>
    <t>33.057°</t>
  </si>
  <si>
    <t>Erato</t>
  </si>
  <si>
    <t>2.223°</t>
  </si>
  <si>
    <t>273.285°</t>
  </si>
  <si>
    <t>125.738°</t>
  </si>
  <si>
    <t>161.828°</t>
  </si>
  <si>
    <t>Josephina</t>
  </si>
  <si>
    <t>3.123 AU</t>
  </si>
  <si>
    <t>6.873°</t>
  </si>
  <si>
    <t>64.101°</t>
  </si>
  <si>
    <t>344.002°</t>
  </si>
  <si>
    <t>357.173°</t>
  </si>
  <si>
    <t>Ursula</t>
  </si>
  <si>
    <t>3.124 AU</t>
  </si>
  <si>
    <t>15.931°</t>
  </si>
  <si>
    <t>344.677°</t>
  </si>
  <si>
    <t>336.679°</t>
  </si>
  <si>
    <t>121.102°</t>
  </si>
  <si>
    <t>Meliboea</t>
  </si>
  <si>
    <t>13.428°</t>
  </si>
  <si>
    <t>107.128°</t>
  </si>
  <si>
    <t>202.458°</t>
  </si>
  <si>
    <t>225.048°</t>
  </si>
  <si>
    <t>⚕</t>
  </si>
  <si>
    <t>Hygiea</t>
  </si>
  <si>
    <t>217 km</t>
  </si>
  <si>
    <t>3.142 AU</t>
  </si>
  <si>
    <t>3.842°</t>
  </si>
  <si>
    <t>313.557°</t>
  </si>
  <si>
    <t>283.646°</t>
  </si>
  <si>
    <t>273.788°</t>
  </si>
  <si>
    <t>Bianchini</t>
  </si>
  <si>
    <t>3.149 AU</t>
  </si>
  <si>
    <t>22.81°</t>
  </si>
  <si>
    <t>132.43°</t>
  </si>
  <si>
    <t>249.146°</t>
  </si>
  <si>
    <t>191.383°</t>
  </si>
  <si>
    <t>Loreley</t>
  </si>
  <si>
    <t>3.125 AU</t>
  </si>
  <si>
    <t>11.236°</t>
  </si>
  <si>
    <t>350.85°</t>
  </si>
  <si>
    <t>302.658°</t>
  </si>
  <si>
    <t>128.932°</t>
  </si>
  <si>
    <t>Hohensteina</t>
  </si>
  <si>
    <t>3.126 AU</t>
  </si>
  <si>
    <t>14.337°</t>
  </si>
  <si>
    <t>48.469°</t>
  </si>
  <si>
    <t>177.84°</t>
  </si>
  <si>
    <t>172.396°</t>
  </si>
  <si>
    <t>Elektra</t>
  </si>
  <si>
    <t>3.127 AU</t>
  </si>
  <si>
    <t>22.782°</t>
  </si>
  <si>
    <t>237.588°</t>
  </si>
  <si>
    <t>145.009°</t>
  </si>
  <si>
    <t>87.758°</t>
  </si>
  <si>
    <t>S/2014 (130) 2</t>
  </si>
  <si>
    <t>344 km</t>
  </si>
  <si>
    <t>S/2014 (130) 1</t>
  </si>
  <si>
    <t>501 km</t>
  </si>
  <si>
    <t>S/2003 (130) 1</t>
  </si>
  <si>
    <t>1,298 km</t>
  </si>
  <si>
    <t>Freda</t>
  </si>
  <si>
    <t>3.129 AU</t>
  </si>
  <si>
    <t>25.204°</t>
  </si>
  <si>
    <t>251.951°</t>
  </si>
  <si>
    <t>55.668°</t>
  </si>
  <si>
    <t>1.093°</t>
  </si>
  <si>
    <t>Eucharis</t>
  </si>
  <si>
    <t>3.13 AU</t>
  </si>
  <si>
    <t>18.89°</t>
  </si>
  <si>
    <t>318.943°</t>
  </si>
  <si>
    <t>143.224°</t>
  </si>
  <si>
    <t>32.321°</t>
  </si>
  <si>
    <t>Ophelia</t>
  </si>
  <si>
    <t>3.133 AU</t>
  </si>
  <si>
    <t>2.546°</t>
  </si>
  <si>
    <t>56.849°</t>
  </si>
  <si>
    <t>100.52°</t>
  </si>
  <si>
    <t>11.164°</t>
  </si>
  <si>
    <t>104 km</t>
  </si>
  <si>
    <t>3.143 AU</t>
  </si>
  <si>
    <t>Themis</t>
  </si>
  <si>
    <t>0.76°</t>
  </si>
  <si>
    <t>107.989°</t>
  </si>
  <si>
    <t>35.992°</t>
  </si>
  <si>
    <t>185.968°</t>
  </si>
  <si>
    <t>Aletheia</t>
  </si>
  <si>
    <t>93 km</t>
  </si>
  <si>
    <t>3.135 AU</t>
  </si>
  <si>
    <t>10.813°</t>
  </si>
  <si>
    <t>168.07°</t>
  </si>
  <si>
    <t>86.864°</t>
  </si>
  <si>
    <t>71.26°</t>
  </si>
  <si>
    <t>Protogeneia</t>
  </si>
  <si>
    <t>1.931°</t>
  </si>
  <si>
    <t>100.692°</t>
  </si>
  <si>
    <t>248.357°</t>
  </si>
  <si>
    <t>92.905°</t>
  </si>
  <si>
    <t>Wratislavia</t>
  </si>
  <si>
    <t>3.145 AU</t>
  </si>
  <si>
    <t>11.266°</t>
  </si>
  <si>
    <t>114.819°</t>
  </si>
  <si>
    <t>253.16°</t>
  </si>
  <si>
    <t>53.487°</t>
  </si>
  <si>
    <t>Nephele</t>
  </si>
  <si>
    <t>1.828°</t>
  </si>
  <si>
    <t>216.161°</t>
  </si>
  <si>
    <t>117.229°</t>
  </si>
  <si>
    <t>230.611°</t>
  </si>
  <si>
    <t>Mnemosyne</t>
  </si>
  <si>
    <t>15.2°</t>
  </si>
  <si>
    <t>212.848°</t>
  </si>
  <si>
    <t>199.337°</t>
  </si>
  <si>
    <t>68.001°</t>
  </si>
  <si>
    <t>Bettina</t>
  </si>
  <si>
    <t>12.819°</t>
  </si>
  <si>
    <t>76.692°</t>
  </si>
  <si>
    <t>23.862°</t>
  </si>
  <si>
    <t>56.902°</t>
  </si>
  <si>
    <t>Dido</t>
  </si>
  <si>
    <t>3.15 AU</t>
  </si>
  <si>
    <t>7.17°</t>
  </si>
  <si>
    <t>248.387°</t>
  </si>
  <si>
    <t>0.683°</t>
  </si>
  <si>
    <t>311.722°</t>
  </si>
  <si>
    <t>Comacina</t>
  </si>
  <si>
    <t>3.151 AU</t>
  </si>
  <si>
    <t>13°</t>
  </si>
  <si>
    <t>12.215°</t>
  </si>
  <si>
    <t>166.898°</t>
  </si>
  <si>
    <t>282.24°</t>
  </si>
  <si>
    <t>Palma</t>
  </si>
  <si>
    <t>23.828°</t>
  </si>
  <si>
    <t>115.582°</t>
  </si>
  <si>
    <t>327.37°</t>
  </si>
  <si>
    <t>275.769°</t>
  </si>
  <si>
    <t>Klymene</t>
  </si>
  <si>
    <t>3.153 AU</t>
  </si>
  <si>
    <t>2.791°</t>
  </si>
  <si>
    <t>32.134°</t>
  </si>
  <si>
    <t>41.698°</t>
  </si>
  <si>
    <t>101.498°</t>
  </si>
  <si>
    <t>Euphrosyne</t>
  </si>
  <si>
    <t>134 km</t>
  </si>
  <si>
    <t>3.155 AU</t>
  </si>
  <si>
    <t>26.303°</t>
  </si>
  <si>
    <t>61.47°</t>
  </si>
  <si>
    <t>31.119°</t>
  </si>
  <si>
    <t>87.167°</t>
  </si>
  <si>
    <t>S/2019 (31) 1</t>
  </si>
  <si>
    <t>672 km</t>
  </si>
  <si>
    <t>1.4°</t>
  </si>
  <si>
    <t>Pulcova</t>
  </si>
  <si>
    <t>69 km</t>
  </si>
  <si>
    <t>13.089°</t>
  </si>
  <si>
    <t>189.54°</t>
  </si>
  <si>
    <t>305.76°</t>
  </si>
  <si>
    <t>348.62°</t>
  </si>
  <si>
    <t>S/2000 (762) 1</t>
  </si>
  <si>
    <t>800 km</t>
  </si>
  <si>
    <t>Tauris</t>
  </si>
  <si>
    <t>3.156 AU</t>
  </si>
  <si>
    <t>21.835°</t>
  </si>
  <si>
    <t>296.922°</t>
  </si>
  <si>
    <t>88.857°</t>
  </si>
  <si>
    <t>262.385°</t>
  </si>
  <si>
    <t>Ninina</t>
  </si>
  <si>
    <t>15.064°</t>
  </si>
  <si>
    <t>254.25°</t>
  </si>
  <si>
    <t>137.809°</t>
  </si>
  <si>
    <t>144.322°</t>
  </si>
  <si>
    <t>Edith</t>
  </si>
  <si>
    <t>42 km</t>
  </si>
  <si>
    <t>3.158 AU</t>
  </si>
  <si>
    <t>3.193°</t>
  </si>
  <si>
    <t>140.13°</t>
  </si>
  <si>
    <t>274.4°</t>
  </si>
  <si>
    <t>114.65°</t>
  </si>
  <si>
    <t>Aurora</t>
  </si>
  <si>
    <t>3.16 AU</t>
  </si>
  <si>
    <t>7.973°</t>
  </si>
  <si>
    <t>60.826°</t>
  </si>
  <si>
    <t>2.599°</t>
  </si>
  <si>
    <t>132.718°</t>
  </si>
  <si>
    <t>Princetonia</t>
  </si>
  <si>
    <t>3.161 AU</t>
  </si>
  <si>
    <t>13.337°</t>
  </si>
  <si>
    <t>195.015°</t>
  </si>
  <si>
    <t>44.223°</t>
  </si>
  <si>
    <t>25.231°</t>
  </si>
  <si>
    <t>Davida</t>
  </si>
  <si>
    <t>149 km</t>
  </si>
  <si>
    <t>3.163 AU</t>
  </si>
  <si>
    <t>15.936°</t>
  </si>
  <si>
    <t>338.694°</t>
  </si>
  <si>
    <t>107.683°</t>
  </si>
  <si>
    <t>124.997°</t>
  </si>
  <si>
    <t>Philosophia</t>
  </si>
  <si>
    <t>3.164 AU</t>
  </si>
  <si>
    <t>9.154°</t>
  </si>
  <si>
    <t>267.02°</t>
  </si>
  <si>
    <t>326.254°</t>
  </si>
  <si>
    <t>71.257°</t>
  </si>
  <si>
    <t>Kreusa</t>
  </si>
  <si>
    <t>3.169 AU</t>
  </si>
  <si>
    <t>11.518°</t>
  </si>
  <si>
    <t>71.366°</t>
  </si>
  <si>
    <t>84.233°</t>
  </si>
  <si>
    <t>197.665°</t>
  </si>
  <si>
    <t>Veritas</t>
  </si>
  <si>
    <t>3.172 AU</t>
  </si>
  <si>
    <t>9.281°</t>
  </si>
  <si>
    <t>194.39°</t>
  </si>
  <si>
    <t>178.335°</t>
  </si>
  <si>
    <t>31.094°</t>
  </si>
  <si>
    <t>Dione</t>
  </si>
  <si>
    <t>3.175 AU</t>
  </si>
  <si>
    <t>4.597°</t>
  </si>
  <si>
    <t>329.725°</t>
  </si>
  <si>
    <t>62.163°</t>
  </si>
  <si>
    <t>51.526°</t>
  </si>
  <si>
    <t>Bredichina</t>
  </si>
  <si>
    <t>3.177 AU</t>
  </si>
  <si>
    <t>14.518°</t>
  </si>
  <si>
    <t>133.61°</t>
  </si>
  <si>
    <t>89.766°</t>
  </si>
  <si>
    <t>267.56°</t>
  </si>
  <si>
    <t>Argentina</t>
  </si>
  <si>
    <t>3.181 AU</t>
  </si>
  <si>
    <t>11.596°</t>
  </si>
  <si>
    <t>209.588°</t>
  </si>
  <si>
    <t>333.476°</t>
  </si>
  <si>
    <t>153.115°</t>
  </si>
  <si>
    <t>Udina</t>
  </si>
  <si>
    <t>3.188 AU</t>
  </si>
  <si>
    <t>9.929°</t>
  </si>
  <si>
    <t>239.494°</t>
  </si>
  <si>
    <t>101.588°</t>
  </si>
  <si>
    <t>6.125°</t>
  </si>
  <si>
    <t>Iduna</t>
  </si>
  <si>
    <t>22.66°</t>
  </si>
  <si>
    <t>188.17°</t>
  </si>
  <si>
    <t>200.5°</t>
  </si>
  <si>
    <t>165.15°</t>
  </si>
  <si>
    <t>Elfriede</t>
  </si>
  <si>
    <t>3.189 AU</t>
  </si>
  <si>
    <t>17.037°</t>
  </si>
  <si>
    <t>228.138°</t>
  </si>
  <si>
    <t>111.07°</t>
  </si>
  <si>
    <t>142.019°</t>
  </si>
  <si>
    <t>Alauda</t>
  </si>
  <si>
    <t>95 km</t>
  </si>
  <si>
    <t>3.195 AU</t>
  </si>
  <si>
    <t>20.589°</t>
  </si>
  <si>
    <t>349.49°</t>
  </si>
  <si>
    <t>289.77°</t>
  </si>
  <si>
    <r>
      <t>311.58</t>
    </r>
    <r>
      <rPr>
        <b/>
        <sz val="11"/>
        <color theme="1"/>
        <rFont val="Aptos Narrow"/>
        <family val="2"/>
        <scheme val="minor"/>
      </rPr>
      <t>°</t>
    </r>
  </si>
  <si>
    <t>Pichi üñëm</t>
  </si>
  <si>
    <t>1,227 km</t>
  </si>
  <si>
    <t>Bertha</t>
  </si>
  <si>
    <t>3.2 AU</t>
  </si>
  <si>
    <t>20.972°</t>
  </si>
  <si>
    <t>159.722°</t>
  </si>
  <si>
    <t>36.744°</t>
  </si>
  <si>
    <t>125.046°</t>
  </si>
  <si>
    <t>Messalina</t>
  </si>
  <si>
    <t>3.201 AU</t>
  </si>
  <si>
    <t>11.204°</t>
  </si>
  <si>
    <t>330.686°</t>
  </si>
  <si>
    <t>333.638°</t>
  </si>
  <si>
    <t>305.368°</t>
  </si>
  <si>
    <t>Helio</t>
  </si>
  <si>
    <t>3.202 AU</t>
  </si>
  <si>
    <t>26.077°</t>
  </si>
  <si>
    <t>178.108°</t>
  </si>
  <si>
    <t>264.704°</t>
  </si>
  <si>
    <t>241.229°</t>
  </si>
  <si>
    <t>Myrrha</t>
  </si>
  <si>
    <t>3.223 AU</t>
  </si>
  <si>
    <t>12.558°</t>
  </si>
  <si>
    <t>142.93°</t>
  </si>
  <si>
    <t>125.102°</t>
  </si>
  <si>
    <t>350.739°</t>
  </si>
  <si>
    <t>Sibylla</t>
  </si>
  <si>
    <t>3.382 AU</t>
  </si>
  <si>
    <t>4.662°</t>
  </si>
  <si>
    <t>173.92°</t>
  </si>
  <si>
    <t>205.959°</t>
  </si>
  <si>
    <t>171.517°</t>
  </si>
  <si>
    <t>Stereoskopia</t>
  </si>
  <si>
    <t>3.386 AU</t>
  </si>
  <si>
    <t>4.886°</t>
  </si>
  <si>
    <t>298.527°</t>
  </si>
  <si>
    <t>79.644°</t>
  </si>
  <si>
    <t>177.298°</t>
  </si>
  <si>
    <t>Pretoria</t>
  </si>
  <si>
    <t>3.412 AU</t>
  </si>
  <si>
    <t>20.526°</t>
  </si>
  <si>
    <t>38.637°</t>
  </si>
  <si>
    <t>252.032°</t>
  </si>
  <si>
    <t>87.115°</t>
  </si>
  <si>
    <t>Bertholda</t>
  </si>
  <si>
    <t>3.416 AU</t>
  </si>
  <si>
    <t>6.687°</t>
  </si>
  <si>
    <t>236.02°</t>
  </si>
  <si>
    <t>242.661°</t>
  </si>
  <si>
    <t>220.022°</t>
  </si>
  <si>
    <t>Freia</t>
  </si>
  <si>
    <t>92 km</t>
  </si>
  <si>
    <t>3.418 AU</t>
  </si>
  <si>
    <t>2.116°</t>
  </si>
  <si>
    <t>254.07°</t>
  </si>
  <si>
    <t>204.535°</t>
  </si>
  <si>
    <t>299.268°</t>
  </si>
  <si>
    <t>Adelinda</t>
  </si>
  <si>
    <t>3.422 AU</t>
  </si>
  <si>
    <t>2.079°</t>
  </si>
  <si>
    <t>311.263°</t>
  </si>
  <si>
    <t>28.049°</t>
  </si>
  <si>
    <t>78.04°</t>
  </si>
  <si>
    <t>Cybele</t>
  </si>
  <si>
    <t>132 km</t>
  </si>
  <si>
    <t>3.428 AU</t>
  </si>
  <si>
    <t>3.563°</t>
  </si>
  <si>
    <t>102.37°</t>
  </si>
  <si>
    <t>155.63°</t>
  </si>
  <si>
    <t>168.06°</t>
  </si>
  <si>
    <t>Huberta</t>
  </si>
  <si>
    <t>3.444 AU</t>
  </si>
  <si>
    <t>6.416°</t>
  </si>
  <si>
    <t>180.996°</t>
  </si>
  <si>
    <t>165.393°</t>
  </si>
  <si>
    <t>110.638°</t>
  </si>
  <si>
    <t>Hermione</t>
  </si>
  <si>
    <t>3.448 AU</t>
  </si>
  <si>
    <t>7.598°</t>
  </si>
  <si>
    <t>298.18°</t>
  </si>
  <si>
    <t>73.127°</t>
  </si>
  <si>
    <t>157.08°</t>
  </si>
  <si>
    <t>S/2002 (121) 1</t>
  </si>
  <si>
    <t>768 km</t>
  </si>
  <si>
    <t>Sylvia</t>
  </si>
  <si>
    <t>136 km</t>
  </si>
  <si>
    <t>Remus</t>
  </si>
  <si>
    <t>Romulus</t>
  </si>
  <si>
    <t>3.48 AU</t>
  </si>
  <si>
    <t>10.856°</t>
  </si>
  <si>
    <t>266.048°</t>
  </si>
  <si>
    <t>73.33°</t>
  </si>
  <si>
    <t>53.356°</t>
  </si>
  <si>
    <t>706 km</t>
  </si>
  <si>
    <t>1,356 km</t>
  </si>
  <si>
    <t>Camilla</t>
  </si>
  <si>
    <t>3.491 AU</t>
  </si>
  <si>
    <t>10.001°</t>
  </si>
  <si>
    <t>306.77°</t>
  </si>
  <si>
    <t>172.61°</t>
  </si>
  <si>
    <t>265.91°</t>
  </si>
  <si>
    <t>Merapi</t>
  </si>
  <si>
    <t>3.498 AU</t>
  </si>
  <si>
    <t>19.425°</t>
  </si>
  <si>
    <t>295.862°</t>
  </si>
  <si>
    <t>59.239°</t>
  </si>
  <si>
    <t>302.4°</t>
  </si>
  <si>
    <t>Ulla</t>
  </si>
  <si>
    <t>3.543 AU</t>
  </si>
  <si>
    <t>18.797°</t>
  </si>
  <si>
    <t>232.64°</t>
  </si>
  <si>
    <t>146.35°</t>
  </si>
  <si>
    <t>180.34°</t>
  </si>
  <si>
    <t>Helga</t>
  </si>
  <si>
    <t>3.633 AU</t>
  </si>
  <si>
    <t>4.417°</t>
  </si>
  <si>
    <t>246.503°</t>
  </si>
  <si>
    <t>116.683°</t>
  </si>
  <si>
    <t>200.06°</t>
  </si>
  <si>
    <t>Chicago</t>
  </si>
  <si>
    <t>3.895 AU</t>
  </si>
  <si>
    <t>4.641°</t>
  </si>
  <si>
    <t>148.31°</t>
  </si>
  <si>
    <t>130.179°</t>
  </si>
  <si>
    <t>110.236°</t>
  </si>
  <si>
    <t>Rollandia</t>
  </si>
  <si>
    <t>3.902 AU</t>
  </si>
  <si>
    <t>2.759°</t>
  </si>
  <si>
    <t>19.46°</t>
  </si>
  <si>
    <t>134.71°</t>
  </si>
  <si>
    <t>352.88°</t>
  </si>
  <si>
    <t>Simeïsa</t>
  </si>
  <si>
    <t>3.947 AU</t>
  </si>
  <si>
    <t>2.259°</t>
  </si>
  <si>
    <t>177.73°</t>
  </si>
  <si>
    <t>265.46°</t>
  </si>
  <si>
    <t>324.14°</t>
  </si>
  <si>
    <t>Bononia</t>
  </si>
  <si>
    <t>3.96 AU</t>
  </si>
  <si>
    <t>12.626°</t>
  </si>
  <si>
    <t>68.364°</t>
  </si>
  <si>
    <t>18.874°</t>
  </si>
  <si>
    <t>329.195°</t>
  </si>
  <si>
    <t>Hilda</t>
  </si>
  <si>
    <t>3.978 AU</t>
  </si>
  <si>
    <t>7.825°</t>
  </si>
  <si>
    <t>38.617°</t>
  </si>
  <si>
    <t>228.16°</t>
  </si>
  <si>
    <t>51.69°</t>
  </si>
  <si>
    <t>Ismene</t>
  </si>
  <si>
    <t>3.986 AU</t>
  </si>
  <si>
    <t>6.177°</t>
  </si>
  <si>
    <t>271.47°</t>
  </si>
  <si>
    <t>175.48°</t>
  </si>
  <si>
    <t>134.92°</t>
  </si>
  <si>
    <t>Thule</t>
  </si>
  <si>
    <t>4.349 AU</t>
  </si>
  <si>
    <t>2.324°</t>
  </si>
  <si>
    <t>42.368°</t>
  </si>
  <si>
    <t>72.468°</t>
  </si>
  <si>
    <t>62.759°</t>
  </si>
  <si>
    <t>TRJN</t>
  </si>
  <si>
    <t>Deiphobus</t>
  </si>
  <si>
    <t>5.128 AU</t>
  </si>
  <si>
    <t>26.914°</t>
  </si>
  <si>
    <t>359.19°</t>
  </si>
  <si>
    <t>283.71°</t>
  </si>
  <si>
    <t>229.96°</t>
  </si>
  <si>
    <t>Antilochus</t>
  </si>
  <si>
    <t>5.13 AU</t>
  </si>
  <si>
    <t>28.512°</t>
  </si>
  <si>
    <t>187.27°</t>
  </si>
  <si>
    <t>221.38°</t>
  </si>
  <si>
    <t>256.95°</t>
  </si>
  <si>
    <t>Mentor</t>
  </si>
  <si>
    <t>5.138 AU</t>
  </si>
  <si>
    <t>24.654°</t>
  </si>
  <si>
    <t>131.49°</t>
  </si>
  <si>
    <t>179.66°</t>
  </si>
  <si>
    <t>236.39°</t>
  </si>
  <si>
    <t>Nestor</t>
  </si>
  <si>
    <t>5.17 AU</t>
  </si>
  <si>
    <t>4.521°</t>
  </si>
  <si>
    <t>342.74°</t>
  </si>
  <si>
    <t>350.78°</t>
  </si>
  <si>
    <t>308.33°</t>
  </si>
  <si>
    <t>Polymele</t>
  </si>
  <si>
    <t>5.18 AU</t>
  </si>
  <si>
    <t>12.981°</t>
  </si>
  <si>
    <t>4.772°</t>
  </si>
  <si>
    <t>50.319°</t>
  </si>
  <si>
    <t>44.314°</t>
  </si>
  <si>
    <t>S/2022 (15094) 1</t>
  </si>
  <si>
    <t>204 km</t>
  </si>
  <si>
    <t>Priamus</t>
  </si>
  <si>
    <t>5.182 AU</t>
  </si>
  <si>
    <t>8.915°</t>
  </si>
  <si>
    <t>335.46°</t>
  </si>
  <si>
    <t>301.56°</t>
  </si>
  <si>
    <t>257.84°</t>
  </si>
  <si>
    <t>Alcathous</t>
  </si>
  <si>
    <t>16.627°</t>
  </si>
  <si>
    <t>291.8°</t>
  </si>
  <si>
    <t>267.99°</t>
  </si>
  <si>
    <t>313.95°</t>
  </si>
  <si>
    <t>Diomedes</t>
  </si>
  <si>
    <t>5.198 AU</t>
  </si>
  <si>
    <t>20.485°</t>
  </si>
  <si>
    <t>130.93°</t>
  </si>
  <si>
    <t>315.8°</t>
  </si>
  <si>
    <t>234.43°</t>
  </si>
  <si>
    <t>♃</t>
  </si>
  <si>
    <t>Jupiter</t>
  </si>
  <si>
    <t>69,911 km</t>
  </si>
  <si>
    <t>5.204 AU</t>
  </si>
  <si>
    <t>1.303°</t>
  </si>
  <si>
    <t>273.867°</t>
  </si>
  <si>
    <t>100.464°</t>
  </si>
  <si>
    <t>20.02°</t>
  </si>
  <si>
    <t>22 km</t>
  </si>
  <si>
    <t>128,000 km</t>
  </si>
  <si>
    <t>Adrastea</t>
  </si>
  <si>
    <t>129,000 km</t>
  </si>
  <si>
    <t>Amalthea</t>
  </si>
  <si>
    <t>181,366 km</t>
  </si>
  <si>
    <t>Thebe</t>
  </si>
  <si>
    <t>221,890 km</t>
  </si>
  <si>
    <t>1,822 km</t>
  </si>
  <si>
    <t>421,700 km</t>
  </si>
  <si>
    <t>2.213°</t>
  </si>
  <si>
    <t>1,561 km</t>
  </si>
  <si>
    <t>670,900 km</t>
  </si>
  <si>
    <t>1.791°</t>
  </si>
  <si>
    <t>Ganymede</t>
  </si>
  <si>
    <t>2,634 km</t>
  </si>
  <si>
    <t>1,070,400 km</t>
  </si>
  <si>
    <t>2.214°</t>
  </si>
  <si>
    <t>Callisto</t>
  </si>
  <si>
    <t>2,410 km</t>
  </si>
  <si>
    <t>1,882,700 km</t>
  </si>
  <si>
    <t>2.017°</t>
  </si>
  <si>
    <t>Themisto</t>
  </si>
  <si>
    <t>7,396,130 km</t>
  </si>
  <si>
    <t>45.281°</t>
  </si>
  <si>
    <t>Leda</t>
  </si>
  <si>
    <t>11,195,980 km</t>
  </si>
  <si>
    <t>27.636°</t>
  </si>
  <si>
    <t>Ersa</t>
  </si>
  <si>
    <t>11,401,000 km</t>
  </si>
  <si>
    <t>29.1°</t>
  </si>
  <si>
    <t>11,467,500 km</t>
  </si>
  <si>
    <t>S/2018 J (♃) 2</t>
  </si>
  <si>
    <t>Himalia</t>
  </si>
  <si>
    <t>11,388,690 km</t>
  </si>
  <si>
    <t>29.404°</t>
  </si>
  <si>
    <t>29.909°</t>
  </si>
  <si>
    <t>Pandia</t>
  </si>
  <si>
    <t>11,481,000 km</t>
  </si>
  <si>
    <t>29°</t>
  </si>
  <si>
    <t>Lysithea</t>
  </si>
  <si>
    <t>21 km</t>
  </si>
  <si>
    <t>11,700,710 km</t>
  </si>
  <si>
    <t>26.293°</t>
  </si>
  <si>
    <t>Elara</t>
  </si>
  <si>
    <t>40 km</t>
  </si>
  <si>
    <t>11,703,130 km</t>
  </si>
  <si>
    <t>30.517°</t>
  </si>
  <si>
    <t>S/2011 J (♃) 3</t>
  </si>
  <si>
    <t>11,797,170 km</t>
  </si>
  <si>
    <t>28.659°</t>
  </si>
  <si>
    <t>Dia</t>
  </si>
  <si>
    <t>12,118,000 km</t>
  </si>
  <si>
    <t>28.23°</t>
  </si>
  <si>
    <t>Carpo</t>
  </si>
  <si>
    <t>17,042,300 km</t>
  </si>
  <si>
    <t>54°</t>
  </si>
  <si>
    <t>Euanthe</t>
  </si>
  <si>
    <t>20,799,000 km</t>
  </si>
  <si>
    <t>148.9°</t>
  </si>
  <si>
    <t>Harpalyke</t>
  </si>
  <si>
    <t>21,280,180 km</t>
  </si>
  <si>
    <t>148.298°</t>
  </si>
  <si>
    <t>Helike</t>
  </si>
  <si>
    <t>21,263,000 km</t>
  </si>
  <si>
    <t>154.8°</t>
  </si>
  <si>
    <t>Praxidike</t>
  </si>
  <si>
    <t>21,147,000 km</t>
  </si>
  <si>
    <t>149°</t>
  </si>
  <si>
    <t>Thyone</t>
  </si>
  <si>
    <t>20,940,000 km</t>
  </si>
  <si>
    <t>148.5°</t>
  </si>
  <si>
    <t>Ananke</t>
  </si>
  <si>
    <t>15 km</t>
  </si>
  <si>
    <t>21,042,470 km</t>
  </si>
  <si>
    <t>148.675°</t>
  </si>
  <si>
    <t>Iocaste</t>
  </si>
  <si>
    <t>21,431,650 km</t>
  </si>
  <si>
    <t>149.425°</t>
  </si>
  <si>
    <t>Hermippe</t>
  </si>
  <si>
    <t>20,665,870 km</t>
  </si>
  <si>
    <t>146.76°</t>
  </si>
  <si>
    <t>S/2017 J (♃) 9</t>
  </si>
  <si>
    <t>21,487,000 km</t>
  </si>
  <si>
    <t>152.7°</t>
  </si>
  <si>
    <t>Eurydome</t>
  </si>
  <si>
    <t>23,214,490 km</t>
  </si>
  <si>
    <t>150.289°</t>
  </si>
  <si>
    <t>Chaldene</t>
  </si>
  <si>
    <t>24,006,280 km</t>
  </si>
  <si>
    <t>164.254°</t>
  </si>
  <si>
    <t>Isonoe</t>
  </si>
  <si>
    <t>23,322,670 km</t>
  </si>
  <si>
    <t>164.459°</t>
  </si>
  <si>
    <t>Erinome</t>
  </si>
  <si>
    <t>22,354,200 km</t>
  </si>
  <si>
    <t>164.82°</t>
  </si>
  <si>
    <t>Eirene</t>
  </si>
  <si>
    <t>23,731,770 km</t>
  </si>
  <si>
    <t>162.713°</t>
  </si>
  <si>
    <t>Aitne</t>
  </si>
  <si>
    <t>23,231,000 km</t>
  </si>
  <si>
    <t>165.1°</t>
  </si>
  <si>
    <t>Eukelade</t>
  </si>
  <si>
    <t>23,661,000 km</t>
  </si>
  <si>
    <t>165.5°</t>
  </si>
  <si>
    <t>Arche</t>
  </si>
  <si>
    <t>22,931,000 km</t>
  </si>
  <si>
    <t>165°</t>
  </si>
  <si>
    <t>Taygete</t>
  </si>
  <si>
    <t>22,546,240 km</t>
  </si>
  <si>
    <t>165.952°</t>
  </si>
  <si>
    <t>Carme</t>
  </si>
  <si>
    <t>23 km</t>
  </si>
  <si>
    <t>22,579,850 km</t>
  </si>
  <si>
    <t>163.535°</t>
  </si>
  <si>
    <t>Kalyke</t>
  </si>
  <si>
    <t>24,147,770 km</t>
  </si>
  <si>
    <t>165.937°</t>
  </si>
  <si>
    <t>Hegemone</t>
  </si>
  <si>
    <t>23,947,000 km</t>
  </si>
  <si>
    <t>155.2°</t>
  </si>
  <si>
    <t>Pasiphae</t>
  </si>
  <si>
    <t>29 km</t>
  </si>
  <si>
    <t>23,208,940 km</t>
  </si>
  <si>
    <t>153.409°</t>
  </si>
  <si>
    <t>Megaclite</t>
  </si>
  <si>
    <t>23,736,190 km</t>
  </si>
  <si>
    <t>143.202°</t>
  </si>
  <si>
    <t>Sinope</t>
  </si>
  <si>
    <t>18 km</t>
  </si>
  <si>
    <t>24,371,650 km</t>
  </si>
  <si>
    <t>158.638°</t>
  </si>
  <si>
    <t>Aoede</t>
  </si>
  <si>
    <t>23,981,000 km</t>
  </si>
  <si>
    <t>158.3°</t>
  </si>
  <si>
    <t>Autonoe</t>
  </si>
  <si>
    <t>23,039,000 km</t>
  </si>
  <si>
    <t>152.9°</t>
  </si>
  <si>
    <t>Callirrhoe</t>
  </si>
  <si>
    <t>24,583,090 km</t>
  </si>
  <si>
    <t>147.998°</t>
  </si>
  <si>
    <t>Eurybates</t>
  </si>
  <si>
    <t>35 km</t>
  </si>
  <si>
    <t>5.206 AU</t>
  </si>
  <si>
    <t>8.054°</t>
  </si>
  <si>
    <t>27.481°</t>
  </si>
  <si>
    <t>43.542°</t>
  </si>
  <si>
    <t>27.507°</t>
  </si>
  <si>
    <t>Queta</t>
  </si>
  <si>
    <t>2,350 km</t>
  </si>
  <si>
    <t>155°</t>
  </si>
  <si>
    <t>Patroclus</t>
  </si>
  <si>
    <t>5.209 AU</t>
  </si>
  <si>
    <t>22.062°</t>
  </si>
  <si>
    <t>308.306°</t>
  </si>
  <si>
    <t>44.36°</t>
  </si>
  <si>
    <t>319.506°</t>
  </si>
  <si>
    <t>Menoetius</t>
  </si>
  <si>
    <t>680 km</t>
  </si>
  <si>
    <t>Achilles</t>
  </si>
  <si>
    <t>10.318°</t>
  </si>
  <si>
    <t>133.5°</t>
  </si>
  <si>
    <t>316.54°</t>
  </si>
  <si>
    <t>205.11°</t>
  </si>
  <si>
    <t>Makhaon</t>
  </si>
  <si>
    <t>5.211 AU</t>
  </si>
  <si>
    <t>12.162°</t>
  </si>
  <si>
    <t>205.34°</t>
  </si>
  <si>
    <t>287.87°</t>
  </si>
  <si>
    <t>201.39°</t>
  </si>
  <si>
    <t>Leonteus</t>
  </si>
  <si>
    <t>5.215 AU</t>
  </si>
  <si>
    <t>20.902°</t>
  </si>
  <si>
    <t>262.99°</t>
  </si>
  <si>
    <t>200.51°</t>
  </si>
  <si>
    <t>194.79°</t>
  </si>
  <si>
    <t>Äneas</t>
  </si>
  <si>
    <t>5.218 AU</t>
  </si>
  <si>
    <t>16.664°</t>
  </si>
  <si>
    <t>50.803°</t>
  </si>
  <si>
    <t>247.33°</t>
  </si>
  <si>
    <t>238.45°</t>
  </si>
  <si>
    <t>Paris</t>
  </si>
  <si>
    <t>5.222 AU</t>
  </si>
  <si>
    <t>27.866°</t>
  </si>
  <si>
    <t>149.91°</t>
  </si>
  <si>
    <t>135.9°</t>
  </si>
  <si>
    <t>245.6°</t>
  </si>
  <si>
    <t>Odysseus</t>
  </si>
  <si>
    <t>5.249 AU</t>
  </si>
  <si>
    <t>3.137°</t>
  </si>
  <si>
    <t>236.63°</t>
  </si>
  <si>
    <t>221.28°</t>
  </si>
  <si>
    <t>183.79°</t>
  </si>
  <si>
    <t>Troilus</t>
  </si>
  <si>
    <t>5.251 AU</t>
  </si>
  <si>
    <t>33.542°</t>
  </si>
  <si>
    <t>296.06°</t>
  </si>
  <si>
    <t>48.546°</t>
  </si>
  <si>
    <t>189.17°</t>
  </si>
  <si>
    <t>Hektor</t>
  </si>
  <si>
    <t>125 km</t>
  </si>
  <si>
    <t>5.257 AU</t>
  </si>
  <si>
    <t>18.166°</t>
  </si>
  <si>
    <t>185.22°</t>
  </si>
  <si>
    <t>342.79°</t>
  </si>
  <si>
    <t>136.09°</t>
  </si>
  <si>
    <t>Skamandrios</t>
  </si>
  <si>
    <t>624 km</t>
  </si>
  <si>
    <t>Agamemnon</t>
  </si>
  <si>
    <t>5.277 AU</t>
  </si>
  <si>
    <t>21.763°</t>
  </si>
  <si>
    <t>80.874°</t>
  </si>
  <si>
    <t>338.01°</t>
  </si>
  <si>
    <t>236.05°</t>
  </si>
  <si>
    <t>Anchises</t>
  </si>
  <si>
    <t>5.296 AU</t>
  </si>
  <si>
    <t>6.92°</t>
  </si>
  <si>
    <t>40.496°</t>
  </si>
  <si>
    <t>283.91°</t>
  </si>
  <si>
    <t>184.44°</t>
  </si>
  <si>
    <t>Leucus</t>
  </si>
  <si>
    <t>5.302 AU</t>
  </si>
  <si>
    <t>11.546°</t>
  </si>
  <si>
    <t>160.955°</t>
  </si>
  <si>
    <t>251.087°</t>
  </si>
  <si>
    <t>43.784°</t>
  </si>
  <si>
    <t>Orus</t>
  </si>
  <si>
    <t>30 km</t>
  </si>
  <si>
    <t>5.318 AU</t>
  </si>
  <si>
    <t>8.469°</t>
  </si>
  <si>
    <t>181.258°</t>
  </si>
  <si>
    <t>258.554°</t>
  </si>
  <si>
    <t>356.275°</t>
  </si>
  <si>
    <t>♄</t>
  </si>
  <si>
    <t>Saturn</t>
  </si>
  <si>
    <t>58,232 km</t>
  </si>
  <si>
    <t>9.583 AU</t>
  </si>
  <si>
    <t>2.485°</t>
  </si>
  <si>
    <t>339.392°</t>
  </si>
  <si>
    <t>113.665°</t>
  </si>
  <si>
    <t>317.020°</t>
  </si>
  <si>
    <t>Pan</t>
  </si>
  <si>
    <t>133,584 km</t>
  </si>
  <si>
    <t>Daphnis</t>
  </si>
  <si>
    <t>136,506 km</t>
  </si>
  <si>
    <t>Atlas</t>
  </si>
  <si>
    <t>137,670 km</t>
  </si>
  <si>
    <t>Prometheus</t>
  </si>
  <si>
    <t>139,380 km</t>
  </si>
  <si>
    <t>Pandora</t>
  </si>
  <si>
    <t>141,720 km</t>
  </si>
  <si>
    <t>Epimetheus</t>
  </si>
  <si>
    <t>151,410 km</t>
  </si>
  <si>
    <t>Janus</t>
  </si>
  <si>
    <t>89 km</t>
  </si>
  <si>
    <t>151,460 km</t>
  </si>
  <si>
    <t>Mimas</t>
  </si>
  <si>
    <t>198 km</t>
  </si>
  <si>
    <t>185,539 km</t>
  </si>
  <si>
    <t>Methone</t>
  </si>
  <si>
    <t>194,700 km</t>
  </si>
  <si>
    <t>Pallene</t>
  </si>
  <si>
    <t>212,300 km</t>
  </si>
  <si>
    <t>Enceladus</t>
  </si>
  <si>
    <t>252 km</t>
  </si>
  <si>
    <t>237,498 km</t>
  </si>
  <si>
    <t>Tethys</t>
  </si>
  <si>
    <t>531 km</t>
  </si>
  <si>
    <t>294,619 km</t>
  </si>
  <si>
    <t>Telesto</t>
  </si>
  <si>
    <t>12 km</t>
  </si>
  <si>
    <t>Calypso</t>
  </si>
  <si>
    <t>10 km</t>
  </si>
  <si>
    <t>295,000 km</t>
  </si>
  <si>
    <t>Helene</t>
  </si>
  <si>
    <t>377,600 km</t>
  </si>
  <si>
    <t>Polydeuces</t>
  </si>
  <si>
    <t>561 km</t>
  </si>
  <si>
    <t>377,396 km</t>
  </si>
  <si>
    <t>Rhea</t>
  </si>
  <si>
    <t>764 km</t>
  </si>
  <si>
    <t>527,040 km</t>
  </si>
  <si>
    <t>Titan</t>
  </si>
  <si>
    <t>2,575 km</t>
  </si>
  <si>
    <t>1,221,870 km</t>
  </si>
  <si>
    <t>Hyperion</t>
  </si>
  <si>
    <t>1,481,009 km</t>
  </si>
  <si>
    <t>Iapetus</t>
  </si>
  <si>
    <t>735 km</t>
  </si>
  <si>
    <t>3,560,820 km</t>
  </si>
  <si>
    <t>17.28°</t>
  </si>
  <si>
    <t>S/2019 S (♄) 1</t>
  </si>
  <si>
    <t>11,221,100 km</t>
  </si>
  <si>
    <t>44.4°</t>
  </si>
  <si>
    <t>Kiviuq</t>
  </si>
  <si>
    <t>9 km</t>
  </si>
  <si>
    <t>11,307,000 km</t>
  </si>
  <si>
    <t>S/2005 S (♄) 4</t>
  </si>
  <si>
    <t>11,324,500 km</t>
  </si>
  <si>
    <t>48°</t>
  </si>
  <si>
    <t>Ijiraq</t>
  </si>
  <si>
    <t>11,345,000 km</t>
  </si>
  <si>
    <t>Phoebe</t>
  </si>
  <si>
    <t>107 km</t>
  </si>
  <si>
    <t>12,960,000 km</t>
  </si>
  <si>
    <t>173.04°</t>
  </si>
  <si>
    <t>S/2006 S (♄) 20</t>
  </si>
  <si>
    <t>13,193,800 km</t>
  </si>
  <si>
    <t>173.1°</t>
  </si>
  <si>
    <t>Paaliaq</t>
  </si>
  <si>
    <t>14,997,300 km</t>
  </si>
  <si>
    <t>Skathi</t>
  </si>
  <si>
    <t>15,541,000 km</t>
  </si>
  <si>
    <t>S/2007 S (♄) 5</t>
  </si>
  <si>
    <t>15,835,700 km</t>
  </si>
  <si>
    <t>158.4°</t>
  </si>
  <si>
    <t>Albiorix</t>
  </si>
  <si>
    <t>16,329,100 km</t>
  </si>
  <si>
    <t>Bebhionn</t>
  </si>
  <si>
    <t>17,119,000 km</t>
  </si>
  <si>
    <t>41°</t>
  </si>
  <si>
    <t>S/2004 S (♄) 29</t>
  </si>
  <si>
    <t>17,063,900 km</t>
  </si>
  <si>
    <t>38.6°</t>
  </si>
  <si>
    <t>S/2004 S (♄) 31</t>
  </si>
  <si>
    <t>17,402,800 km</t>
  </si>
  <si>
    <t>Erriapus</t>
  </si>
  <si>
    <t>17,507,200 km</t>
  </si>
  <si>
    <t>Skoll</t>
  </si>
  <si>
    <t>17,560,000 km</t>
  </si>
  <si>
    <t>Tarqeq</t>
  </si>
  <si>
    <t>17,910,600 km</t>
  </si>
  <si>
    <t>49.9°</t>
  </si>
  <si>
    <t>Siarnaq</t>
  </si>
  <si>
    <t>20 km</t>
  </si>
  <si>
    <t>17,763,000 km</t>
  </si>
  <si>
    <t>43.801°</t>
  </si>
  <si>
    <t>Tarvos</t>
  </si>
  <si>
    <t>18,215,000 km</t>
  </si>
  <si>
    <t>Hyrrokkin</t>
  </si>
  <si>
    <t>18,437,000 km</t>
  </si>
  <si>
    <t>153°</t>
  </si>
  <si>
    <t>Greip</t>
  </si>
  <si>
    <t>18,206,000 km</t>
  </si>
  <si>
    <t>172.7°</t>
  </si>
  <si>
    <t>Mundilfari</t>
  </si>
  <si>
    <t>18,590,300 km</t>
  </si>
  <si>
    <t>168.4°</t>
  </si>
  <si>
    <t>S/2006 S (♄) 1</t>
  </si>
  <si>
    <t>18,652,750 km</t>
  </si>
  <si>
    <t>154.629°</t>
  </si>
  <si>
    <t>Bergelmir</t>
  </si>
  <si>
    <t>19,338,000 km</t>
  </si>
  <si>
    <t>157°</t>
  </si>
  <si>
    <t>Jarnsaxa</t>
  </si>
  <si>
    <t>18,811,000 km</t>
  </si>
  <si>
    <t>162.9°</t>
  </si>
  <si>
    <t>Narvi</t>
  </si>
  <si>
    <t>19,226,600 km</t>
  </si>
  <si>
    <t>136.803°</t>
  </si>
  <si>
    <t>Suttungr</t>
  </si>
  <si>
    <t>19,459,000 km</t>
  </si>
  <si>
    <t>174°</t>
  </si>
  <si>
    <t>S/2007 S (♄) 3</t>
  </si>
  <si>
    <t>19,429,000 km</t>
  </si>
  <si>
    <t>176.629°</t>
  </si>
  <si>
    <t>Hati</t>
  </si>
  <si>
    <t>19,697,100 km</t>
  </si>
  <si>
    <t>164.1°</t>
  </si>
  <si>
    <t>Eggther</t>
  </si>
  <si>
    <t>19,776,700 km</t>
  </si>
  <si>
    <t>168°</t>
  </si>
  <si>
    <t>Farbauti</t>
  </si>
  <si>
    <t>20,390,000 km</t>
  </si>
  <si>
    <t>158°</t>
  </si>
  <si>
    <t>Thrymr</t>
  </si>
  <si>
    <t>20,474,000 km</t>
  </si>
  <si>
    <t>175°</t>
  </si>
  <si>
    <t>Bestla</t>
  </si>
  <si>
    <t>20,337,900 km</t>
  </si>
  <si>
    <t>136.3°</t>
  </si>
  <si>
    <t>Aegir</t>
  </si>
  <si>
    <t>20,735,000 km</t>
  </si>
  <si>
    <t>166.7°</t>
  </si>
  <si>
    <t>S/2004 S (♄) 7</t>
  </si>
  <si>
    <t>21,559,000 km</t>
  </si>
  <si>
    <t>165.05°</t>
  </si>
  <si>
    <t>S/2006 S (♄) 3</t>
  </si>
  <si>
    <t>21,408,300 km</t>
  </si>
  <si>
    <t>S/2004 S (♄) 28</t>
  </si>
  <si>
    <t>21,791,300 km</t>
  </si>
  <si>
    <t>Alvaldi</t>
  </si>
  <si>
    <t>21,953,200 km</t>
  </si>
  <si>
    <t>176.4°</t>
  </si>
  <si>
    <t>Kari</t>
  </si>
  <si>
    <t>22,118,000 km</t>
  </si>
  <si>
    <t>148.4°</t>
  </si>
  <si>
    <t>Fenrir</t>
  </si>
  <si>
    <t>22,454,000 km</t>
  </si>
  <si>
    <t>163°</t>
  </si>
  <si>
    <t>Surtur</t>
  </si>
  <si>
    <t>22,707,000 km</t>
  </si>
  <si>
    <t>177.5°</t>
  </si>
  <si>
    <t>Loge</t>
  </si>
  <si>
    <t>23,065,000 km</t>
  </si>
  <si>
    <t>166.5°</t>
  </si>
  <si>
    <t>Ymir</t>
  </si>
  <si>
    <t>22,957,100 km</t>
  </si>
  <si>
    <t>Fornjot</t>
  </si>
  <si>
    <t>25,108,000 km</t>
  </si>
  <si>
    <t>S/2004 S (♄) 26</t>
  </si>
  <si>
    <t>26,737,800 km</t>
  </si>
  <si>
    <t>171.3°</t>
  </si>
  <si>
    <t>⚷</t>
  </si>
  <si>
    <t>Chiron</t>
  </si>
  <si>
    <t>117 km</t>
  </si>
  <si>
    <t>13.7 AU</t>
  </si>
  <si>
    <t>6.93°</t>
  </si>
  <si>
    <t>339.71°</t>
  </si>
  <si>
    <t>209.27°</t>
  </si>
  <si>
    <t>180.7°</t>
  </si>
  <si>
    <t>CEN</t>
  </si>
  <si>
    <t>Chariklo</t>
  </si>
  <si>
    <t>15.822 AU</t>
  </si>
  <si>
    <t>23.382°</t>
  </si>
  <si>
    <t>242.9°</t>
  </si>
  <si>
    <t>300.42°</t>
  </si>
  <si>
    <t>77.67°</t>
  </si>
  <si>
    <t>Bienor</t>
  </si>
  <si>
    <t>99 km</t>
  </si>
  <si>
    <t>16.444 AU</t>
  </si>
  <si>
    <t>20.745°</t>
  </si>
  <si>
    <t>153.374°</t>
  </si>
  <si>
    <t>337.728°</t>
  </si>
  <si>
    <t>318.473°</t>
  </si>
  <si>
    <r>
      <t>2011 QF</t>
    </r>
    <r>
      <rPr>
        <vertAlign val="subscript"/>
        <sz val="10"/>
        <color theme="1"/>
        <rFont val="Aptos Narrow"/>
        <family val="2"/>
        <scheme val="minor"/>
      </rPr>
      <t>99</t>
    </r>
  </si>
  <si>
    <t>19.04 AU</t>
  </si>
  <si>
    <t>10.833°</t>
  </si>
  <si>
    <t>288.25°</t>
  </si>
  <si>
    <t>222.52°</t>
  </si>
  <si>
    <t>283.84°</t>
  </si>
  <si>
    <r>
      <t>2014 YX</t>
    </r>
    <r>
      <rPr>
        <vertAlign val="subscript"/>
        <sz val="10"/>
        <color theme="1"/>
        <rFont val="Aptos Narrow"/>
        <family val="2"/>
        <scheme val="minor"/>
      </rPr>
      <t>49</t>
    </r>
  </si>
  <si>
    <t>39 km</t>
  </si>
  <si>
    <t>19.13 AU</t>
  </si>
  <si>
    <t>25.551°</t>
  </si>
  <si>
    <t>280.584°</t>
  </si>
  <si>
    <t>91.444°</t>
  </si>
  <si>
    <t>75.587°</t>
  </si>
  <si>
    <t>♅</t>
  </si>
  <si>
    <t>Uranus</t>
  </si>
  <si>
    <t>25,362 km</t>
  </si>
  <si>
    <t>19.191 AU</t>
  </si>
  <si>
    <t>0.773°</t>
  </si>
  <si>
    <t>96.999°</t>
  </si>
  <si>
    <t>74.006°</t>
  </si>
  <si>
    <t>142.239°</t>
  </si>
  <si>
    <t>Cordelia</t>
  </si>
  <si>
    <t>49,752 km</t>
  </si>
  <si>
    <t>53,763 km</t>
  </si>
  <si>
    <t>Bianca</t>
  </si>
  <si>
    <t>59,166 km</t>
  </si>
  <si>
    <t>Cressida</t>
  </si>
  <si>
    <t>61,767 km</t>
  </si>
  <si>
    <t>Desdemona</t>
  </si>
  <si>
    <t>32 km</t>
  </si>
  <si>
    <t>62,658 km</t>
  </si>
  <si>
    <t>Juliet</t>
  </si>
  <si>
    <t>64,358 km</t>
  </si>
  <si>
    <t>Portia</t>
  </si>
  <si>
    <t>66,097 km</t>
  </si>
  <si>
    <t>Rosalind</t>
  </si>
  <si>
    <t>36 km</t>
  </si>
  <si>
    <t>69,927 km</t>
  </si>
  <si>
    <t>Cupid</t>
  </si>
  <si>
    <t>74,392 km</t>
  </si>
  <si>
    <t>Belinda</t>
  </si>
  <si>
    <t>45 km</t>
  </si>
  <si>
    <t>75,256 km</t>
  </si>
  <si>
    <t>Perdita</t>
  </si>
  <si>
    <t>76,417 km</t>
  </si>
  <si>
    <t>Puck</t>
  </si>
  <si>
    <t>81 km</t>
  </si>
  <si>
    <t>86,004 km</t>
  </si>
  <si>
    <t>Mab</t>
  </si>
  <si>
    <t>97,736 km</t>
  </si>
  <si>
    <t>Miranda</t>
  </si>
  <si>
    <t>239 km</t>
  </si>
  <si>
    <t>129,390 km</t>
  </si>
  <si>
    <t>Ariel</t>
  </si>
  <si>
    <t>579 km</t>
  </si>
  <si>
    <t>190,090 km</t>
  </si>
  <si>
    <t>Umbriel</t>
  </si>
  <si>
    <t>585 km</t>
  </si>
  <si>
    <t>266,000 km</t>
  </si>
  <si>
    <t>Titania</t>
  </si>
  <si>
    <t>788 km</t>
  </si>
  <si>
    <t>435,910 km</t>
  </si>
  <si>
    <t>Oberon</t>
  </si>
  <si>
    <t>761 km</t>
  </si>
  <si>
    <t>583,520 km</t>
  </si>
  <si>
    <t>Francisco</t>
  </si>
  <si>
    <t>4,276,000 km</t>
  </si>
  <si>
    <t>145°</t>
  </si>
  <si>
    <t>Caliban</t>
  </si>
  <si>
    <t>7,163,810 km</t>
  </si>
  <si>
    <t>139.908°</t>
  </si>
  <si>
    <t>Stephano</t>
  </si>
  <si>
    <t>7,951,400 km</t>
  </si>
  <si>
    <t>143.6°</t>
  </si>
  <si>
    <t>S/2023 U (♅) 1</t>
  </si>
  <si>
    <t>7,976,600 km</t>
  </si>
  <si>
    <t>143.9°</t>
  </si>
  <si>
    <t>Trinculo</t>
  </si>
  <si>
    <t>8,504,000 km</t>
  </si>
  <si>
    <t>167°</t>
  </si>
  <si>
    <t>Sycorax</t>
  </si>
  <si>
    <t>12,193,230 km</t>
  </si>
  <si>
    <t>153.228°</t>
  </si>
  <si>
    <t>Margaret</t>
  </si>
  <si>
    <t>14,345,000 km</t>
  </si>
  <si>
    <t>57°</t>
  </si>
  <si>
    <t>Prospero</t>
  </si>
  <si>
    <t>25 km</t>
  </si>
  <si>
    <t>16,256,000 km</t>
  </si>
  <si>
    <t>152°</t>
  </si>
  <si>
    <t>Setebos</t>
  </si>
  <si>
    <t>24 km</t>
  </si>
  <si>
    <t>17,418,000 km</t>
  </si>
  <si>
    <t>Ferdinand</t>
  </si>
  <si>
    <t>20,901,000 km</t>
  </si>
  <si>
    <t>Crantor</t>
  </si>
  <si>
    <t>19.454 AU</t>
  </si>
  <si>
    <t>12.77°</t>
  </si>
  <si>
    <t>93.203°</t>
  </si>
  <si>
    <t>117.40°</t>
  </si>
  <si>
    <t>63.889°</t>
  </si>
  <si>
    <r>
      <t>2003 WL</t>
    </r>
    <r>
      <rPr>
        <vertAlign val="subscript"/>
        <sz val="10"/>
        <color theme="1"/>
        <rFont val="Aptos Narrow"/>
        <family val="2"/>
        <scheme val="minor"/>
      </rPr>
      <t>7</t>
    </r>
  </si>
  <si>
    <t>20.045 AU</t>
  </si>
  <si>
    <t>11.183°</t>
  </si>
  <si>
    <t>69.997°</t>
  </si>
  <si>
    <t>4.622°</t>
  </si>
  <si>
    <t>41.329°</t>
  </si>
  <si>
    <t>Pholus</t>
  </si>
  <si>
    <t>20.348 AU</t>
  </si>
  <si>
    <t>24.617°</t>
  </si>
  <si>
    <t>345.77°</t>
  </si>
  <si>
    <t>119.44°</t>
  </si>
  <si>
    <t>117.26°</t>
  </si>
  <si>
    <r>
      <t>2002 GZ</t>
    </r>
    <r>
      <rPr>
        <vertAlign val="subscript"/>
        <sz val="10"/>
        <color theme="1"/>
        <rFont val="Aptos Narrow"/>
        <family val="2"/>
        <scheme val="minor"/>
      </rPr>
      <t>32</t>
    </r>
  </si>
  <si>
    <t>116 km</t>
  </si>
  <si>
    <t>23.079 AU</t>
  </si>
  <si>
    <t>15°</t>
  </si>
  <si>
    <t>154.89°</t>
  </si>
  <si>
    <t>107.22°</t>
  </si>
  <si>
    <t>345.12°</t>
  </si>
  <si>
    <t>Amycus</t>
  </si>
  <si>
    <t>25.098 AU</t>
  </si>
  <si>
    <t>13.352°</t>
  </si>
  <si>
    <t>239.17°</t>
  </si>
  <si>
    <t>315.45°</t>
  </si>
  <si>
    <t>37.041°</t>
  </si>
  <si>
    <r>
      <t>2006 RJ</t>
    </r>
    <r>
      <rPr>
        <vertAlign val="subscript"/>
        <sz val="10"/>
        <color theme="1"/>
        <rFont val="Aptos Narrow"/>
        <family val="2"/>
        <scheme val="minor"/>
      </rPr>
      <t>103</t>
    </r>
  </si>
  <si>
    <t>29.925 AU</t>
  </si>
  <si>
    <t>8.154°</t>
  </si>
  <si>
    <t>33.563°</t>
  </si>
  <si>
    <t>120.86°</t>
  </si>
  <si>
    <t>251.55°</t>
  </si>
  <si>
    <r>
      <t>2007 VL</t>
    </r>
    <r>
      <rPr>
        <vertAlign val="subscript"/>
        <sz val="10"/>
        <color theme="1"/>
        <rFont val="Aptos Narrow"/>
        <family val="2"/>
        <scheme val="minor"/>
      </rPr>
      <t>305</t>
    </r>
  </si>
  <si>
    <t>29.926 AU</t>
  </si>
  <si>
    <t>28.155°</t>
  </si>
  <si>
    <t>216.7°</t>
  </si>
  <si>
    <t>188.69°</t>
  </si>
  <si>
    <t>10.76°</t>
  </si>
  <si>
    <t>Otrera</t>
  </si>
  <si>
    <t>37 km</t>
  </si>
  <si>
    <t>30.027 AU</t>
  </si>
  <si>
    <t>1.433°</t>
  </si>
  <si>
    <t>3.533°</t>
  </si>
  <si>
    <t>34.761°</t>
  </si>
  <si>
    <t>355.52°</t>
  </si>
  <si>
    <t>Clete</t>
  </si>
  <si>
    <t>30.055 AU</t>
  </si>
  <si>
    <t>5.255°</t>
  </si>
  <si>
    <t>306.84°</t>
  </si>
  <si>
    <t>286.36°</t>
  </si>
  <si>
    <r>
      <t>2008 LC</t>
    </r>
    <r>
      <rPr>
        <vertAlign val="subscript"/>
        <sz val="10"/>
        <color theme="1"/>
        <rFont val="Aptos Narrow"/>
        <family val="2"/>
        <scheme val="minor"/>
      </rPr>
      <t>18</t>
    </r>
  </si>
  <si>
    <t>30.056 AU</t>
  </si>
  <si>
    <t>27.496°</t>
  </si>
  <si>
    <t>6.742°</t>
  </si>
  <si>
    <t>88.493°</t>
  </si>
  <si>
    <t>185.24°</t>
  </si>
  <si>
    <t>♆</t>
  </si>
  <si>
    <t>Neptune</t>
  </si>
  <si>
    <t>24,622 km</t>
  </si>
  <si>
    <t>30.07 AU</t>
  </si>
  <si>
    <t>1.77°</t>
  </si>
  <si>
    <t>273.187°</t>
  </si>
  <si>
    <t>131.783°</t>
  </si>
  <si>
    <t>259.883°</t>
  </si>
  <si>
    <t>Naiad</t>
  </si>
  <si>
    <t>48,224 km</t>
  </si>
  <si>
    <t>Thalassa</t>
  </si>
  <si>
    <t>50,075 km</t>
  </si>
  <si>
    <t>Despina</t>
  </si>
  <si>
    <t>52,526 km</t>
  </si>
  <si>
    <t>61,953 km</t>
  </si>
  <si>
    <t>Larissa</t>
  </si>
  <si>
    <t>97 km</t>
  </si>
  <si>
    <t>73,548 km</t>
  </si>
  <si>
    <t>Hippocamp</t>
  </si>
  <si>
    <t>17 km</t>
  </si>
  <si>
    <t>105,283 km</t>
  </si>
  <si>
    <t>Proteus</t>
  </si>
  <si>
    <t>210 km</t>
  </si>
  <si>
    <t>117,647 km</t>
  </si>
  <si>
    <t>Triton</t>
  </si>
  <si>
    <t>1,353 km</t>
  </si>
  <si>
    <t>354,759 km</t>
  </si>
  <si>
    <t>129.812°</t>
  </si>
  <si>
    <t>Nereid</t>
  </si>
  <si>
    <t>179 km</t>
  </si>
  <si>
    <t>5,504,000 km</t>
  </si>
  <si>
    <t>5.8°</t>
  </si>
  <si>
    <t>Halimede</t>
  </si>
  <si>
    <t>31 km</t>
  </si>
  <si>
    <t>16,611,000 km</t>
  </si>
  <si>
    <t>Sao</t>
  </si>
  <si>
    <t>22,228,000 km</t>
  </si>
  <si>
    <t>23,414,700 km</t>
  </si>
  <si>
    <t>46.3°</t>
  </si>
  <si>
    <t>Laomedeia</t>
  </si>
  <si>
    <t>23,613,000 km</t>
  </si>
  <si>
    <t>Psamathe</t>
  </si>
  <si>
    <t>47,615,100 km</t>
  </si>
  <si>
    <t>Neso</t>
  </si>
  <si>
    <t>49,598,300 km</t>
  </si>
  <si>
    <t>S/2002 N (♆) 5</t>
  </si>
  <si>
    <t>S/2021 N (♆) 1</t>
  </si>
  <si>
    <t>50,700,200 km</t>
  </si>
  <si>
    <t>50.2°</t>
  </si>
  <si>
    <r>
      <t>2001 QR</t>
    </r>
    <r>
      <rPr>
        <vertAlign val="subscript"/>
        <sz val="10"/>
        <color theme="1"/>
        <rFont val="Aptos Narrow"/>
        <family val="2"/>
        <scheme val="minor"/>
      </rPr>
      <t>322</t>
    </r>
  </si>
  <si>
    <t>30.115 AU</t>
  </si>
  <si>
    <t>1.325°</t>
  </si>
  <si>
    <t>151.11°</t>
  </si>
  <si>
    <t>151.75°</t>
  </si>
  <si>
    <t>86.551°</t>
  </si>
  <si>
    <r>
      <t>2011 HM</t>
    </r>
    <r>
      <rPr>
        <vertAlign val="subscript"/>
        <sz val="10"/>
        <color theme="1"/>
        <rFont val="Aptos Narrow"/>
        <family val="2"/>
        <scheme val="minor"/>
      </rPr>
      <t>102</t>
    </r>
  </si>
  <si>
    <t>30.219 AU</t>
  </si>
  <si>
    <t>29.348°</t>
  </si>
  <si>
    <t>151.24°</t>
  </si>
  <si>
    <t>100.97°</t>
  </si>
  <si>
    <t>33.571°</t>
  </si>
  <si>
    <r>
      <t>2011 WG</t>
    </r>
    <r>
      <rPr>
        <vertAlign val="subscript"/>
        <sz val="10"/>
        <color theme="1"/>
        <rFont val="Aptos Narrow"/>
        <family val="2"/>
        <scheme val="minor"/>
      </rPr>
      <t>157</t>
    </r>
  </si>
  <si>
    <t>30.226 AU</t>
  </si>
  <si>
    <t>22.29°</t>
  </si>
  <si>
    <t>204.739°</t>
  </si>
  <si>
    <t>352.103°</t>
  </si>
  <si>
    <t>236.962°</t>
  </si>
  <si>
    <r>
      <t>2010 TS</t>
    </r>
    <r>
      <rPr>
        <vertAlign val="subscript"/>
        <sz val="10"/>
        <color theme="1"/>
        <rFont val="Aptos Narrow"/>
        <family val="2"/>
        <scheme val="minor"/>
      </rPr>
      <t>191</t>
    </r>
  </si>
  <si>
    <t>30.227 AU</t>
  </si>
  <si>
    <t>6.561°</t>
  </si>
  <si>
    <t>299.105°</t>
  </si>
  <si>
    <t>129.603°</t>
  </si>
  <si>
    <t>0.174°</t>
  </si>
  <si>
    <r>
      <t>2011 SO</t>
    </r>
    <r>
      <rPr>
        <vertAlign val="subscript"/>
        <sz val="10"/>
        <color theme="1"/>
        <rFont val="Aptos Narrow"/>
        <family val="2"/>
        <scheme val="minor"/>
      </rPr>
      <t>277</t>
    </r>
  </si>
  <si>
    <t>30.367 AU</t>
  </si>
  <si>
    <t>9.633°</t>
  </si>
  <si>
    <t>120.006°</t>
  </si>
  <si>
    <t>113.576°</t>
  </si>
  <si>
    <t>169.957°</t>
  </si>
  <si>
    <r>
      <t>2004 KV</t>
    </r>
    <r>
      <rPr>
        <vertAlign val="subscript"/>
        <sz val="10"/>
        <color theme="1"/>
        <rFont val="Aptos Narrow"/>
        <family val="2"/>
        <scheme val="minor"/>
      </rPr>
      <t>18</t>
    </r>
  </si>
  <si>
    <t>30.37 AU</t>
  </si>
  <si>
    <t>13.557°</t>
  </si>
  <si>
    <t>296.57°</t>
  </si>
  <si>
    <t>235.54°</t>
  </si>
  <si>
    <t>69.474°</t>
  </si>
  <si>
    <r>
      <t>2010 EN</t>
    </r>
    <r>
      <rPr>
        <vertAlign val="subscript"/>
        <sz val="10"/>
        <color theme="1"/>
        <rFont val="Aptos Narrow"/>
        <family val="2"/>
        <scheme val="minor"/>
      </rPr>
      <t>65</t>
    </r>
  </si>
  <si>
    <t>30.758 AU</t>
  </si>
  <si>
    <t>19.209°</t>
  </si>
  <si>
    <t>225.77°</t>
  </si>
  <si>
    <t>234.47°</t>
  </si>
  <si>
    <t>48.107°</t>
  </si>
  <si>
    <t>37.36 AU</t>
  </si>
  <si>
    <t>14.383°</t>
  </si>
  <si>
    <t>247.18°</t>
  </si>
  <si>
    <t>46.928°</t>
  </si>
  <si>
    <t>145.37°</t>
  </si>
  <si>
    <t>Typhon</t>
  </si>
  <si>
    <t>38.264 AU</t>
  </si>
  <si>
    <t>2.425°</t>
  </si>
  <si>
    <t>159.322°</t>
  </si>
  <si>
    <t>351.91°</t>
  </si>
  <si>
    <t>14.619°</t>
  </si>
  <si>
    <t>Echidna</t>
  </si>
  <si>
    <t>1,300 km</t>
  </si>
  <si>
    <t>KBO</t>
  </si>
  <si>
    <t>38.78 AU</t>
  </si>
  <si>
    <t>24.85°</t>
  </si>
  <si>
    <t>359.71°</t>
  </si>
  <si>
    <t>140.614°</t>
  </si>
  <si>
    <t>265.93°</t>
  </si>
  <si>
    <t>203 km</t>
  </si>
  <si>
    <t>39.069 AU</t>
  </si>
  <si>
    <t>13.346°</t>
  </si>
  <si>
    <t>87.197°</t>
  </si>
  <si>
    <t>84.441°</t>
  </si>
  <si>
    <t>167.19°</t>
  </si>
  <si>
    <t>280 km</t>
  </si>
  <si>
    <t>39.104 AU</t>
  </si>
  <si>
    <t>12.049°</t>
  </si>
  <si>
    <t>135.93°</t>
  </si>
  <si>
    <t>113.43°</t>
  </si>
  <si>
    <t>🝿</t>
  </si>
  <si>
    <t>Orcus</t>
  </si>
  <si>
    <t>455 km</t>
  </si>
  <si>
    <t>39.174 AU</t>
  </si>
  <si>
    <t>20.592°</t>
  </si>
  <si>
    <t>72.31°</t>
  </si>
  <si>
    <t>268.799°</t>
  </si>
  <si>
    <t>181.735°</t>
  </si>
  <si>
    <t>Vanth</t>
  </si>
  <si>
    <t>221 km</t>
  </si>
  <si>
    <t>9,000 km</t>
  </si>
  <si>
    <t>90.54°</t>
  </si>
  <si>
    <t>39.241 AU</t>
  </si>
  <si>
    <t>22.408°</t>
  </si>
  <si>
    <t>41.215°</t>
  </si>
  <si>
    <t>164.24°</t>
  </si>
  <si>
    <t>154.29°</t>
  </si>
  <si>
    <t>39.282 AU</t>
  </si>
  <si>
    <t>9.525°</t>
  </si>
  <si>
    <t>102.779°</t>
  </si>
  <si>
    <t>157.464°</t>
  </si>
  <si>
    <t>111.466°</t>
  </si>
  <si>
    <t>39.325 AU</t>
  </si>
  <si>
    <t>14.04°</t>
  </si>
  <si>
    <t>23.152°</t>
  </si>
  <si>
    <t>73.453°</t>
  </si>
  <si>
    <t>386 km</t>
  </si>
  <si>
    <t>39.362 AU</t>
  </si>
  <si>
    <t>13.596°</t>
  </si>
  <si>
    <t>15.211°</t>
  </si>
  <si>
    <t>252.202°</t>
  </si>
  <si>
    <t>232.611°</t>
  </si>
  <si>
    <t>S/2005 (208996) 1</t>
  </si>
  <si>
    <t>7,200 km</t>
  </si>
  <si>
    <t>275 km</t>
  </si>
  <si>
    <t>39.416 AU</t>
  </si>
  <si>
    <t>13.281°</t>
  </si>
  <si>
    <t>163.53°</t>
  </si>
  <si>
    <t>19.17°</t>
  </si>
  <si>
    <t>282.08°</t>
  </si>
  <si>
    <t>262 km</t>
  </si>
  <si>
    <t>39.435 AU</t>
  </si>
  <si>
    <t>14.777°</t>
  </si>
  <si>
    <t>114.317°</t>
  </si>
  <si>
    <t>302.792°</t>
  </si>
  <si>
    <t>15.535°</t>
  </si>
  <si>
    <t>♇</t>
  </si>
  <si>
    <t>Pluto</t>
  </si>
  <si>
    <t>1,188 km</t>
  </si>
  <si>
    <t>39.482 AU</t>
  </si>
  <si>
    <t>17.16°</t>
  </si>
  <si>
    <t>113.834°</t>
  </si>
  <si>
    <t>110.299°</t>
  </si>
  <si>
    <t>14.53°</t>
  </si>
  <si>
    <t>Charon</t>
  </si>
  <si>
    <t>606 km</t>
  </si>
  <si>
    <t>19,596 km</t>
  </si>
  <si>
    <t>112.783°</t>
  </si>
  <si>
    <t>Styx</t>
  </si>
  <si>
    <t>42,656 km</t>
  </si>
  <si>
    <t>Nix</t>
  </si>
  <si>
    <t>48,694 km</t>
  </si>
  <si>
    <t>Kerberos</t>
  </si>
  <si>
    <t>57,783 km</t>
  </si>
  <si>
    <t>Hydra</t>
  </si>
  <si>
    <t>64,738 km</t>
  </si>
  <si>
    <t>38.058 AU</t>
  </si>
  <si>
    <t>4.599°</t>
  </si>
  <si>
    <t>257.82°</t>
  </si>
  <si>
    <t>192.07°</t>
  </si>
  <si>
    <t>301.71°</t>
  </si>
  <si>
    <t>38.867 AU</t>
  </si>
  <si>
    <t>0.404°</t>
  </si>
  <si>
    <t>71.686°</t>
  </si>
  <si>
    <t>286.686°</t>
  </si>
  <si>
    <t>261.303°</t>
  </si>
  <si>
    <t>181 km</t>
  </si>
  <si>
    <t>38.871 AU</t>
  </si>
  <si>
    <t>9.532°</t>
  </si>
  <si>
    <t>149.15°</t>
  </si>
  <si>
    <t>147.9°</t>
  </si>
  <si>
    <t>102.254°</t>
  </si>
  <si>
    <t>39.16 AU</t>
  </si>
  <si>
    <t>15.69°</t>
  </si>
  <si>
    <t>283.3°</t>
  </si>
  <si>
    <t>238.68°</t>
  </si>
  <si>
    <t>60.18°</t>
  </si>
  <si>
    <t>Lempo</t>
  </si>
  <si>
    <t>39.47 AU</t>
  </si>
  <si>
    <t>8.423°</t>
  </si>
  <si>
    <t>294.424°</t>
  </si>
  <si>
    <t>97.02°</t>
  </si>
  <si>
    <t>8.547°</t>
  </si>
  <si>
    <t>Hiisi</t>
  </si>
  <si>
    <t>126 km</t>
  </si>
  <si>
    <t>867 km</t>
  </si>
  <si>
    <t>Paha</t>
  </si>
  <si>
    <t>7,411 km</t>
  </si>
  <si>
    <t>213 km</t>
  </si>
  <si>
    <t>39.59 AU</t>
  </si>
  <si>
    <t>15.39°</t>
  </si>
  <si>
    <t>299.8°</t>
  </si>
  <si>
    <t>119.14°</t>
  </si>
  <si>
    <t>243.4°</t>
  </si>
  <si>
    <t>265 km</t>
  </si>
  <si>
    <t>39.589 AU</t>
  </si>
  <si>
    <t>18.129°</t>
  </si>
  <si>
    <t>4.705°</t>
  </si>
  <si>
    <t>64.584°</t>
  </si>
  <si>
    <t>177.14°</t>
  </si>
  <si>
    <t>267 km</t>
  </si>
  <si>
    <t>39.631 AU</t>
  </si>
  <si>
    <t>13.654°</t>
  </si>
  <si>
    <t>215.37°</t>
  </si>
  <si>
    <t>218.53°</t>
  </si>
  <si>
    <t>251.02°</t>
  </si>
  <si>
    <t>39.447 AU</t>
  </si>
  <si>
    <t>19.388°</t>
  </si>
  <si>
    <t>318.883°</t>
  </si>
  <si>
    <t>146.261°</t>
  </si>
  <si>
    <t>214.922°</t>
  </si>
  <si>
    <t>Huya</t>
  </si>
  <si>
    <t>233 km</t>
  </si>
  <si>
    <t>39.694 AU</t>
  </si>
  <si>
    <t>15.474°</t>
  </si>
  <si>
    <t>68.485°</t>
  </si>
  <si>
    <t>169.42°</t>
  </si>
  <si>
    <t>8.038°</t>
  </si>
  <si>
    <t>S/2012 (38628) 1</t>
  </si>
  <si>
    <t>1,740 km</t>
  </si>
  <si>
    <t>Ixion</t>
  </si>
  <si>
    <t>355 km</t>
  </si>
  <si>
    <t>39.802 AU</t>
  </si>
  <si>
    <t>19.6°</t>
  </si>
  <si>
    <t>298.314°</t>
  </si>
  <si>
    <t>71.011°</t>
  </si>
  <si>
    <t>289.587°</t>
  </si>
  <si>
    <t>40.555 AU</t>
  </si>
  <si>
    <t>28.63°</t>
  </si>
  <si>
    <t>336°</t>
  </si>
  <si>
    <t>248.16°</t>
  </si>
  <si>
    <t>204.1°</t>
  </si>
  <si>
    <t>41.127 AU</t>
  </si>
  <si>
    <t>23.08°</t>
  </si>
  <si>
    <t>140.4°</t>
  </si>
  <si>
    <t>129.42°</t>
  </si>
  <si>
    <t>21.5°</t>
  </si>
  <si>
    <t>340 km</t>
  </si>
  <si>
    <t>41.359 AU</t>
  </si>
  <si>
    <t>19.313°</t>
  </si>
  <si>
    <t>174.88°</t>
  </si>
  <si>
    <t>186.93°</t>
  </si>
  <si>
    <t>338.28°</t>
  </si>
  <si>
    <t>183 km</t>
  </si>
  <si>
    <t>41.26 AU</t>
  </si>
  <si>
    <t>27.812°</t>
  </si>
  <si>
    <t>249.96°</t>
  </si>
  <si>
    <t>236.82°</t>
  </si>
  <si>
    <t>101.69°</t>
  </si>
  <si>
    <t>41.67 AU</t>
  </si>
  <si>
    <t>27.458°</t>
  </si>
  <si>
    <t>56.567°</t>
  </si>
  <si>
    <t>14.757°</t>
  </si>
  <si>
    <t>57.045°</t>
  </si>
  <si>
    <t>398 km</t>
  </si>
  <si>
    <t>41.739 AU</t>
  </si>
  <si>
    <t>17.693°</t>
  </si>
  <si>
    <t>214.575°</t>
  </si>
  <si>
    <t>216.075°</t>
  </si>
  <si>
    <t>226.844°</t>
  </si>
  <si>
    <t>41.972 AU</t>
  </si>
  <si>
    <t>17.45°</t>
  </si>
  <si>
    <t>226.46°</t>
  </si>
  <si>
    <t>55.37°</t>
  </si>
  <si>
    <t>266.05°</t>
  </si>
  <si>
    <t>352 km</t>
  </si>
  <si>
    <t>42.173 AU</t>
  </si>
  <si>
    <t>21.972°</t>
  </si>
  <si>
    <t>293.2°</t>
  </si>
  <si>
    <t>250.614°</t>
  </si>
  <si>
    <t>34.603°</t>
  </si>
  <si>
    <t>Salacia</t>
  </si>
  <si>
    <t>423 km</t>
  </si>
  <si>
    <t>42.184 AU</t>
  </si>
  <si>
    <t>23.921°</t>
  </si>
  <si>
    <t>312.294°</t>
  </si>
  <si>
    <t>279.88°</t>
  </si>
  <si>
    <t>123.138°</t>
  </si>
  <si>
    <t>Actaea</t>
  </si>
  <si>
    <t>142 km</t>
  </si>
  <si>
    <t>5,724 km</t>
  </si>
  <si>
    <t>189 km</t>
  </si>
  <si>
    <t>42.4 AU</t>
  </si>
  <si>
    <t>58.69°</t>
  </si>
  <si>
    <t>221.2°</t>
  </si>
  <si>
    <t>36°</t>
  </si>
  <si>
    <t>296.6°</t>
  </si>
  <si>
    <t>272 km</t>
  </si>
  <si>
    <t>42.44 AU</t>
  </si>
  <si>
    <t>18.65°</t>
  </si>
  <si>
    <t>146.4°</t>
  </si>
  <si>
    <t>43.41°</t>
  </si>
  <si>
    <t>310.89°</t>
  </si>
  <si>
    <t>42.05 AU</t>
  </si>
  <si>
    <t>25.91°</t>
  </si>
  <si>
    <t>248.1°</t>
  </si>
  <si>
    <t>219.71°</t>
  </si>
  <si>
    <t>237.4°</t>
  </si>
  <si>
    <t xml:space="preserve">333 km </t>
  </si>
  <si>
    <t>42.488 AU</t>
  </si>
  <si>
    <t>19.484°</t>
  </si>
  <si>
    <t>279°</t>
  </si>
  <si>
    <t>204.68°</t>
  </si>
  <si>
    <t>295.71°</t>
  </si>
  <si>
    <t>105 km</t>
  </si>
  <si>
    <t>4,750 km</t>
  </si>
  <si>
    <t>Varuna</t>
  </si>
  <si>
    <t>327 km</t>
  </si>
  <si>
    <t>42.718 AU</t>
  </si>
  <si>
    <t>17.221°</t>
  </si>
  <si>
    <t>262.22°</t>
  </si>
  <si>
    <t>97.372°</t>
  </si>
  <si>
    <t>119.121°</t>
  </si>
  <si>
    <t>223 km</t>
  </si>
  <si>
    <t>42.786 AU</t>
  </si>
  <si>
    <t>27.011°</t>
  </si>
  <si>
    <t>263.82°</t>
  </si>
  <si>
    <t>274.45°</t>
  </si>
  <si>
    <t>335.89°</t>
  </si>
  <si>
    <t>43.014 AU</t>
  </si>
  <si>
    <t>24.833°</t>
  </si>
  <si>
    <t>280.54°</t>
  </si>
  <si>
    <t>3.138°</t>
  </si>
  <si>
    <t>286.6°</t>
  </si>
  <si>
    <t>42.897 AU</t>
  </si>
  <si>
    <t>17.403°</t>
  </si>
  <si>
    <r>
      <t>269.24</t>
    </r>
    <r>
      <rPr>
        <b/>
        <sz val="11"/>
        <color theme="1"/>
        <rFont val="Aptos Narrow"/>
        <family val="2"/>
        <scheme val="minor"/>
      </rPr>
      <t>°</t>
    </r>
  </si>
  <si>
    <t>236.58°</t>
  </si>
  <si>
    <t>269.23°</t>
  </si>
  <si>
    <t>43.019 AU</t>
  </si>
  <si>
    <t>28.845°</t>
  </si>
  <si>
    <t>88.906°</t>
  </si>
  <si>
    <t>156.4°</t>
  </si>
  <si>
    <t>170.71°</t>
  </si>
  <si>
    <t>43.199 AU</t>
  </si>
  <si>
    <t>26.805°</t>
  </si>
  <si>
    <t>8.233°</t>
  </si>
  <si>
    <t>256.13°</t>
  </si>
  <si>
    <t>284.586°</t>
  </si>
  <si>
    <t>43.41 AU</t>
  </si>
  <si>
    <t>27.83°</t>
  </si>
  <si>
    <t>85.7°</t>
  </si>
  <si>
    <t>57.09°</t>
  </si>
  <si>
    <t>60.43°</t>
  </si>
  <si>
    <t>Haumea</t>
  </si>
  <si>
    <t>780 km</t>
  </si>
  <si>
    <t>43.116 AU</t>
  </si>
  <si>
    <t>28.214°</t>
  </si>
  <si>
    <t>239.041°</t>
  </si>
  <si>
    <t>122.167°</t>
  </si>
  <si>
    <t>218.205°</t>
  </si>
  <si>
    <t>Namaka</t>
  </si>
  <si>
    <t>25,657 km</t>
  </si>
  <si>
    <t>Hi'iaka</t>
  </si>
  <si>
    <t>49,889 km</t>
  </si>
  <si>
    <t>🝻</t>
  </si>
  <si>
    <t>249 km</t>
  </si>
  <si>
    <t>43.201 AU</t>
  </si>
  <si>
    <t>25.732°</t>
  </si>
  <si>
    <t>221.89°</t>
  </si>
  <si>
    <t>307.868°</t>
  </si>
  <si>
    <t>223.93°</t>
  </si>
  <si>
    <t>167 km</t>
  </si>
  <si>
    <t>43.337 AU</t>
  </si>
  <si>
    <t>9.597°</t>
  </si>
  <si>
    <t>354.18°</t>
  </si>
  <si>
    <t>286.1°</t>
  </si>
  <si>
    <t>199.66°</t>
  </si>
  <si>
    <t>212 km</t>
  </si>
  <si>
    <t>43.426 AU</t>
  </si>
  <si>
    <t>31.231°</t>
  </si>
  <si>
    <t>37.4°</t>
  </si>
  <si>
    <t>240.87°</t>
  </si>
  <si>
    <t>41.709°</t>
  </si>
  <si>
    <t>222 km</t>
  </si>
  <si>
    <t>43.5 AU</t>
  </si>
  <si>
    <t>13.028°</t>
  </si>
  <si>
    <t>194.69°</t>
  </si>
  <si>
    <t>257.25°</t>
  </si>
  <si>
    <t>98.325°</t>
  </si>
  <si>
    <t>240 km</t>
  </si>
  <si>
    <t>43.509 AU</t>
  </si>
  <si>
    <t>14.88°</t>
  </si>
  <si>
    <t>334°</t>
  </si>
  <si>
    <t>317.16°</t>
  </si>
  <si>
    <t>150°</t>
  </si>
  <si>
    <t>🝾</t>
  </si>
  <si>
    <t>Quaoar</t>
  </si>
  <si>
    <t>545 km</t>
  </si>
  <si>
    <t>43.694 AU</t>
  </si>
  <si>
    <t>7.99°</t>
  </si>
  <si>
    <t>147.48°</t>
  </si>
  <si>
    <t>188.927°</t>
  </si>
  <si>
    <t>301.104°</t>
  </si>
  <si>
    <t>Weywot</t>
  </si>
  <si>
    <t>13,289 km</t>
  </si>
  <si>
    <t>15.8°</t>
  </si>
  <si>
    <t>155 km</t>
  </si>
  <si>
    <t>43.775 AU</t>
  </si>
  <si>
    <t>25.486°</t>
  </si>
  <si>
    <t>143.51°</t>
  </si>
  <si>
    <t>119.03°</t>
  </si>
  <si>
    <t>250.48°</t>
  </si>
  <si>
    <t>43.725 AU</t>
  </si>
  <si>
    <t>27.85°</t>
  </si>
  <si>
    <t>346.3°</t>
  </si>
  <si>
    <t>226°</t>
  </si>
  <si>
    <t>43.695 AU</t>
  </si>
  <si>
    <t>10.379°</t>
  </si>
  <si>
    <t>88.565°</t>
  </si>
  <si>
    <t>17.733°</t>
  </si>
  <si>
    <t>265.134°</t>
  </si>
  <si>
    <t>Albion</t>
  </si>
  <si>
    <t>43.925 AU</t>
  </si>
  <si>
    <t>2.18°</t>
  </si>
  <si>
    <t>0.777°</t>
  </si>
  <si>
    <t>359.276°</t>
  </si>
  <si>
    <t>34.041°</t>
  </si>
  <si>
    <t>43.951 AU</t>
  </si>
  <si>
    <t>18.17°</t>
  </si>
  <si>
    <t>322.9°</t>
  </si>
  <si>
    <t>76.45°</t>
  </si>
  <si>
    <t>64.26°</t>
  </si>
  <si>
    <t>209 km</t>
  </si>
  <si>
    <t>44.303 AU</t>
  </si>
  <si>
    <t>28.75°</t>
  </si>
  <si>
    <t>204.79°</t>
  </si>
  <si>
    <t>162.67°</t>
  </si>
  <si>
    <t>3.115°</t>
  </si>
  <si>
    <t>Arrokoth</t>
  </si>
  <si>
    <t>44.581 AU</t>
  </si>
  <si>
    <t>2.451°</t>
  </si>
  <si>
    <t>174.418°</t>
  </si>
  <si>
    <t>158.998°</t>
  </si>
  <si>
    <t>316.551°</t>
  </si>
  <si>
    <t>44.714 AU</t>
  </si>
  <si>
    <t>8.34°</t>
  </si>
  <si>
    <t>338.46°</t>
  </si>
  <si>
    <t>66.79°</t>
  </si>
  <si>
    <t>45.998°</t>
  </si>
  <si>
    <t>299 km</t>
  </si>
  <si>
    <t>45.395 AU</t>
  </si>
  <si>
    <t>26.032°</t>
  </si>
  <si>
    <t>313.91°</t>
  </si>
  <si>
    <t>53.118°</t>
  </si>
  <si>
    <t>256.31°</t>
  </si>
  <si>
    <t>🝼</t>
  </si>
  <si>
    <t>Makemake</t>
  </si>
  <si>
    <t>715 km</t>
  </si>
  <si>
    <t>45.43 AU</t>
  </si>
  <si>
    <t>28.984°</t>
  </si>
  <si>
    <t>294.834°</t>
  </si>
  <si>
    <t>79.62°</t>
  </si>
  <si>
    <t>165.514°</t>
  </si>
  <si>
    <t>S/2015 (136472) 1</t>
  </si>
  <si>
    <t>21,000 km</t>
  </si>
  <si>
    <t>45.723 AU</t>
  </si>
  <si>
    <t>22.91°</t>
  </si>
  <si>
    <t>272.52°</t>
  </si>
  <si>
    <t>53.62°</t>
  </si>
  <si>
    <t>102.2°</t>
  </si>
  <si>
    <t>Chaos</t>
  </si>
  <si>
    <t>208 km</t>
  </si>
  <si>
    <t>45.796 AU</t>
  </si>
  <si>
    <t>12.05°</t>
  </si>
  <si>
    <t>58.41°</t>
  </si>
  <si>
    <t>50.024°</t>
  </si>
  <si>
    <t>337.3°</t>
  </si>
  <si>
    <t>177 km</t>
  </si>
  <si>
    <t>46.001 AU</t>
  </si>
  <si>
    <t>16.27°</t>
  </si>
  <si>
    <t>94.6°</t>
  </si>
  <si>
    <t>193.208°</t>
  </si>
  <si>
    <t>255.8°</t>
  </si>
  <si>
    <t>247 km</t>
  </si>
  <si>
    <t>45.759 AU</t>
  </si>
  <si>
    <t>15.42°</t>
  </si>
  <si>
    <t>344.9°</t>
  </si>
  <si>
    <t>279.2°</t>
  </si>
  <si>
    <t>263.3°</t>
  </si>
  <si>
    <t>Varda</t>
  </si>
  <si>
    <t>370 km</t>
  </si>
  <si>
    <t>46.11 AU</t>
  </si>
  <si>
    <t>21.511°</t>
  </si>
  <si>
    <t>180.072°</t>
  </si>
  <si>
    <t>184.151°</t>
  </si>
  <si>
    <t>275.208°</t>
  </si>
  <si>
    <t>Ilmarë</t>
  </si>
  <si>
    <t>178 km</t>
  </si>
  <si>
    <t>4,809 km</t>
  </si>
  <si>
    <t>243 km</t>
  </si>
  <si>
    <t>46.391 AU</t>
  </si>
  <si>
    <t>3.932°</t>
  </si>
  <si>
    <t>259.359°</t>
  </si>
  <si>
    <t>308.88°</t>
  </si>
  <si>
    <t>70.255°</t>
  </si>
  <si>
    <t>46.416 AU</t>
  </si>
  <si>
    <t>7.734°</t>
  </si>
  <si>
    <t>16.32°</t>
  </si>
  <si>
    <t>309.54°</t>
  </si>
  <si>
    <t>297.22°</t>
  </si>
  <si>
    <t>227 km</t>
  </si>
  <si>
    <t>46.534 AU</t>
  </si>
  <si>
    <t>11.038°</t>
  </si>
  <si>
    <t>176.13°</t>
  </si>
  <si>
    <t>317.87°</t>
  </si>
  <si>
    <t>287.23°</t>
  </si>
  <si>
    <t>259 km</t>
  </si>
  <si>
    <t>46.531 AU</t>
  </si>
  <si>
    <t>23.84°</t>
  </si>
  <si>
    <t>192.5°</t>
  </si>
  <si>
    <t>45.459°</t>
  </si>
  <si>
    <t>309.7°</t>
  </si>
  <si>
    <t>168 km</t>
  </si>
  <si>
    <t>46.672 AU</t>
  </si>
  <si>
    <t>13.89°</t>
  </si>
  <si>
    <t>333.6°</t>
  </si>
  <si>
    <t>178.34°</t>
  </si>
  <si>
    <t>243.1°</t>
  </si>
  <si>
    <t>199 km</t>
  </si>
  <si>
    <t>46.803 AU</t>
  </si>
  <si>
    <t>15.57°</t>
  </si>
  <si>
    <t>99.61°</t>
  </si>
  <si>
    <t>109.7°</t>
  </si>
  <si>
    <t>233.6°</t>
  </si>
  <si>
    <t>190 km</t>
  </si>
  <si>
    <t>46.878 AU</t>
  </si>
  <si>
    <t>23.21°</t>
  </si>
  <si>
    <t>0.57°</t>
  </si>
  <si>
    <t>193.41°</t>
  </si>
  <si>
    <t>274.64°</t>
  </si>
  <si>
    <t>234 km</t>
  </si>
  <si>
    <t>47.019 AU</t>
  </si>
  <si>
    <t>7.16°</t>
  </si>
  <si>
    <t>110.2°</t>
  </si>
  <si>
    <t>131.822°</t>
  </si>
  <si>
    <t>268.6°</t>
  </si>
  <si>
    <t>384 km</t>
  </si>
  <si>
    <t>47.042 AU</t>
  </si>
  <si>
    <t>24.451°</t>
  </si>
  <si>
    <t>297.494°</t>
  </si>
  <si>
    <t>297.606°</t>
  </si>
  <si>
    <t>294.532°</t>
  </si>
  <si>
    <t>47.135 AU</t>
  </si>
  <si>
    <t>25.17°</t>
  </si>
  <si>
    <t>347.887°</t>
  </si>
  <si>
    <t>311.074°</t>
  </si>
  <si>
    <t>295.094°</t>
  </si>
  <si>
    <t>47.177 AU</t>
  </si>
  <si>
    <t>29.03°</t>
  </si>
  <si>
    <t>132.66°</t>
  </si>
  <si>
    <t>210.5°</t>
  </si>
  <si>
    <t>47.216 AU</t>
  </si>
  <si>
    <t>38.077°</t>
  </si>
  <si>
    <t>132.632°</t>
  </si>
  <si>
    <t>328.752°</t>
  </si>
  <si>
    <t>356.376°</t>
  </si>
  <si>
    <t>47.276 AU</t>
  </si>
  <si>
    <t>11.35°</t>
  </si>
  <si>
    <t>43.97°</t>
  </si>
  <si>
    <t>297.76°</t>
  </si>
  <si>
    <t>47.731 AU</t>
  </si>
  <si>
    <t>10.02°</t>
  </si>
  <si>
    <t>266.04°</t>
  </si>
  <si>
    <t>46.398°</t>
  </si>
  <si>
    <t>53.01°</t>
  </si>
  <si>
    <t>196 km</t>
  </si>
  <si>
    <t>47.758 AU</t>
  </si>
  <si>
    <t>18.137°</t>
  </si>
  <si>
    <t>185.13°</t>
  </si>
  <si>
    <t>168.75°</t>
  </si>
  <si>
    <t>282.69°</t>
  </si>
  <si>
    <t>47.82 AU</t>
  </si>
  <si>
    <t>12.062°</t>
  </si>
  <si>
    <t>9.02°</t>
  </si>
  <si>
    <t>272.493°</t>
  </si>
  <si>
    <t>331.84°</t>
  </si>
  <si>
    <t>169 km</t>
  </si>
  <si>
    <t>48.01 AU</t>
  </si>
  <si>
    <t>9.175°</t>
  </si>
  <si>
    <t>44.356°</t>
  </si>
  <si>
    <t>109.755°</t>
  </si>
  <si>
    <t>316.02°</t>
  </si>
  <si>
    <t>S/2007 (119979) 1</t>
  </si>
  <si>
    <t>4,092 km</t>
  </si>
  <si>
    <t>281 km</t>
  </si>
  <si>
    <t>48.143 AU</t>
  </si>
  <si>
    <t>14.059°</t>
  </si>
  <si>
    <t>341.93°</t>
  </si>
  <si>
    <t>285.22°</t>
  </si>
  <si>
    <t>282.75°</t>
  </si>
  <si>
    <t>48.183 AU</t>
  </si>
  <si>
    <t>11.668°</t>
  </si>
  <si>
    <t>69.9°</t>
  </si>
  <si>
    <t>50.17°</t>
  </si>
  <si>
    <t>7.6°</t>
  </si>
  <si>
    <t>SDO</t>
  </si>
  <si>
    <t>318 km</t>
  </si>
  <si>
    <t>30.638°</t>
  </si>
  <si>
    <t>193.48°</t>
  </si>
  <si>
    <t>25.32°</t>
  </si>
  <si>
    <t>97.52°</t>
  </si>
  <si>
    <t>49.692 AU</t>
  </si>
  <si>
    <t>49.809 AU</t>
  </si>
  <si>
    <t>11.757°</t>
  </si>
  <si>
    <t>175.26°</t>
  </si>
  <si>
    <t>341.68°</t>
  </si>
  <si>
    <t>28.257°</t>
  </si>
  <si>
    <t>49.956 AU</t>
  </si>
  <si>
    <t>6.726°</t>
  </si>
  <si>
    <t>26.381°</t>
  </si>
  <si>
    <t>158.07°</t>
  </si>
  <si>
    <t>141.21°</t>
  </si>
  <si>
    <t>287 km</t>
  </si>
  <si>
    <t>50.838 AU</t>
  </si>
  <si>
    <t>14.542°</t>
  </si>
  <si>
    <t>135.1°</t>
  </si>
  <si>
    <t>41.033°</t>
  </si>
  <si>
    <t>271.5°</t>
  </si>
  <si>
    <t>176 km</t>
  </si>
  <si>
    <t>51.815 AU</t>
  </si>
  <si>
    <t>0.753°</t>
  </si>
  <si>
    <t>344.5°</t>
  </si>
  <si>
    <t>301.39°</t>
  </si>
  <si>
    <t>80.814°</t>
  </si>
  <si>
    <t>313 km</t>
  </si>
  <si>
    <t>52.398 AU</t>
  </si>
  <si>
    <t>10.281°</t>
  </si>
  <si>
    <t>330.11°</t>
  </si>
  <si>
    <t>27.612°</t>
  </si>
  <si>
    <t>269.18°</t>
  </si>
  <si>
    <t>52.578 AU</t>
  </si>
  <si>
    <t>0.25°</t>
  </si>
  <si>
    <t>84.397°</t>
  </si>
  <si>
    <t>260.007°</t>
  </si>
  <si>
    <t>46.972°</t>
  </si>
  <si>
    <t>S/2002 (48639) 1</t>
  </si>
  <si>
    <t>420 km</t>
  </si>
  <si>
    <t>52.54 AU</t>
  </si>
  <si>
    <t>28.6°</t>
  </si>
  <si>
    <t>12.2°</t>
  </si>
  <si>
    <t>207°</t>
  </si>
  <si>
    <t>13.2°</t>
  </si>
  <si>
    <t>53.053 AU</t>
  </si>
  <si>
    <t>34.77°</t>
  </si>
  <si>
    <t>270.7°</t>
  </si>
  <si>
    <t>299.24°</t>
  </si>
  <si>
    <t>54.3°</t>
  </si>
  <si>
    <t>55.137 AU</t>
  </si>
  <si>
    <t>26.719°</t>
  </si>
  <si>
    <t>158.18°</t>
  </si>
  <si>
    <t>22.124°</t>
  </si>
  <si>
    <t>335.33°</t>
  </si>
  <si>
    <t>250 km</t>
  </si>
  <si>
    <t>55.275 AU</t>
  </si>
  <si>
    <t>34.993°</t>
  </si>
  <si>
    <t>86.312°</t>
  </si>
  <si>
    <t>23.801°</t>
  </si>
  <si>
    <t>327.19°</t>
  </si>
  <si>
    <t>245 km</t>
  </si>
  <si>
    <t>55.287 AU</t>
  </si>
  <si>
    <t>40.598°</t>
  </si>
  <si>
    <t>32.315°</t>
  </si>
  <si>
    <t>91.306°</t>
  </si>
  <si>
    <t>41.383°</t>
  </si>
  <si>
    <t>300 km</t>
  </si>
  <si>
    <t>55.818 AU</t>
  </si>
  <si>
    <t>9.95°</t>
  </si>
  <si>
    <t>48.715°</t>
  </si>
  <si>
    <t>345.422°</t>
  </si>
  <si>
    <t>213.123°</t>
  </si>
  <si>
    <t>55.92 AU</t>
  </si>
  <si>
    <t>9.437°</t>
  </si>
  <si>
    <t>307.63°</t>
  </si>
  <si>
    <t>283.94°</t>
  </si>
  <si>
    <t>317.05°</t>
  </si>
  <si>
    <t>56.002 AU</t>
  </si>
  <si>
    <t>7.608°</t>
  </si>
  <si>
    <t>160.236°</t>
  </si>
  <si>
    <t>322.909°</t>
  </si>
  <si>
    <t>25.385°</t>
  </si>
  <si>
    <t>248 km</t>
  </si>
  <si>
    <t>56.03 AU</t>
  </si>
  <si>
    <t>10.36°</t>
  </si>
  <si>
    <t>137.92°</t>
  </si>
  <si>
    <t>170.97°</t>
  </si>
  <si>
    <t>313.61°</t>
  </si>
  <si>
    <t>278 km</t>
  </si>
  <si>
    <t>57.255 AU</t>
  </si>
  <si>
    <t>46.794°</t>
  </si>
  <si>
    <t>285.56°</t>
  </si>
  <si>
    <t>252.4°</t>
  </si>
  <si>
    <t>277.05°</t>
  </si>
  <si>
    <t>57.391 AU</t>
  </si>
  <si>
    <t>19.866°</t>
  </si>
  <si>
    <t>314.98°</t>
  </si>
  <si>
    <t>127°</t>
  </si>
  <si>
    <t>35.927°</t>
  </si>
  <si>
    <t>S/2005 (82075) 1</t>
  </si>
  <si>
    <t>38 km</t>
  </si>
  <si>
    <t>1,900 km</t>
  </si>
  <si>
    <t>383 km</t>
  </si>
  <si>
    <t>58.555 AU</t>
  </si>
  <si>
    <t>33.29°</t>
  </si>
  <si>
    <t>139.752°</t>
  </si>
  <si>
    <t>186.922°</t>
  </si>
  <si>
    <t>215.947°</t>
  </si>
  <si>
    <t>S/2018 (532037) 1</t>
  </si>
  <si>
    <t>9,800 km</t>
  </si>
  <si>
    <t>59.764 AU</t>
  </si>
  <si>
    <t>54.35°</t>
  </si>
  <si>
    <t>151.017°</t>
  </si>
  <si>
    <t>164.985°</t>
  </si>
  <si>
    <t>240.958°</t>
  </si>
  <si>
    <t>61.611 AU</t>
  </si>
  <si>
    <t>28.125°</t>
  </si>
  <si>
    <t>68.292°</t>
  </si>
  <si>
    <t>304.59°</t>
  </si>
  <si>
    <t>68.884°</t>
  </si>
  <si>
    <t>61.712 AU</t>
  </si>
  <si>
    <t>17.785°</t>
  </si>
  <si>
    <t>23.717°</t>
  </si>
  <si>
    <t>56.651°</t>
  </si>
  <si>
    <t>297.13°</t>
  </si>
  <si>
    <t>61.815 AU</t>
  </si>
  <si>
    <t>28.903°</t>
  </si>
  <si>
    <t>295.63°</t>
  </si>
  <si>
    <t>201.01°</t>
  </si>
  <si>
    <t>67.564°</t>
  </si>
  <si>
    <t>62.51 AU</t>
  </si>
  <si>
    <t>30.54°</t>
  </si>
  <si>
    <t>354.1°</t>
  </si>
  <si>
    <t>189.57°</t>
  </si>
  <si>
    <t>0.019°</t>
  </si>
  <si>
    <t>65.595 AU</t>
  </si>
  <si>
    <t>13.55°</t>
  </si>
  <si>
    <t>20.572°</t>
  </si>
  <si>
    <t>67.306°</t>
  </si>
  <si>
    <t>320.94°</t>
  </si>
  <si>
    <t>253 km</t>
  </si>
  <si>
    <t>66.29 AU</t>
  </si>
  <si>
    <t>13.167°</t>
  </si>
  <si>
    <t>140.53°</t>
  </si>
  <si>
    <t>164.02°</t>
  </si>
  <si>
    <t>1.568°</t>
  </si>
  <si>
    <t>228 km</t>
  </si>
  <si>
    <t>66.375 AU</t>
  </si>
  <si>
    <t>19.063°</t>
  </si>
  <si>
    <t>208.75°</t>
  </si>
  <si>
    <t>73.85°</t>
  </si>
  <si>
    <t>113.85°</t>
  </si>
  <si>
    <t>67.171 AU</t>
  </si>
  <si>
    <t>30.691°</t>
  </si>
  <si>
    <t>21.846°</t>
  </si>
  <si>
    <t>334.122°</t>
  </si>
  <si>
    <t>123.64°</t>
  </si>
  <si>
    <t>🝽</t>
  </si>
  <si>
    <t>Gonggong</t>
  </si>
  <si>
    <t>615 km</t>
  </si>
  <si>
    <t>67.485 AU</t>
  </si>
  <si>
    <t>30.627°</t>
  </si>
  <si>
    <t>207.668°</t>
  </si>
  <si>
    <t>336.857°</t>
  </si>
  <si>
    <t>106.496°</t>
  </si>
  <si>
    <t>Xiangliu</t>
  </si>
  <si>
    <t>24,021 km</t>
  </si>
  <si>
    <t>⯰</t>
  </si>
  <si>
    <t>Eris</t>
  </si>
  <si>
    <t>1,163 km</t>
  </si>
  <si>
    <t>67.864 AU</t>
  </si>
  <si>
    <t>44.04°</t>
  </si>
  <si>
    <t>151.639°</t>
  </si>
  <si>
    <t>35.951°</t>
  </si>
  <si>
    <t>205.989°</t>
  </si>
  <si>
    <t>Dysnomia</t>
  </si>
  <si>
    <t>308 km</t>
  </si>
  <si>
    <t>37,273 km</t>
  </si>
  <si>
    <t>61.59°</t>
  </si>
  <si>
    <t>Dziewanna</t>
  </si>
  <si>
    <t>238 km</t>
  </si>
  <si>
    <t>70.544 AU</t>
  </si>
  <si>
    <t>29.444°</t>
  </si>
  <si>
    <t>284.25°</t>
  </si>
  <si>
    <t>346.15°</t>
  </si>
  <si>
    <t>347.58°</t>
  </si>
  <si>
    <t>71.632 AU</t>
  </si>
  <si>
    <t>13.858°</t>
  </si>
  <si>
    <t>301.441°</t>
  </si>
  <si>
    <t>67.258°</t>
  </si>
  <si>
    <t>238.823°</t>
  </si>
  <si>
    <t>72.15 AU</t>
  </si>
  <si>
    <t>30.024°</t>
  </si>
  <si>
    <t>189.01°</t>
  </si>
  <si>
    <t>250.26°</t>
  </si>
  <si>
    <t>91.584°</t>
  </si>
  <si>
    <t>Gǃkúnǁʼhòmdímà</t>
  </si>
  <si>
    <t>321 km</t>
  </si>
  <si>
    <t>72.801 AU</t>
  </si>
  <si>
    <t>23.378°</t>
  </si>
  <si>
    <t>346.88°</t>
  </si>
  <si>
    <t>131.09°</t>
  </si>
  <si>
    <t>344.21°</t>
  </si>
  <si>
    <t xml:space="preserve">Gǃòʼé ǃHú </t>
  </si>
  <si>
    <t>6,035 km</t>
  </si>
  <si>
    <t>232 km</t>
  </si>
  <si>
    <t>75.166 AU</t>
  </si>
  <si>
    <t>26.538°</t>
  </si>
  <si>
    <t>171.47°</t>
  </si>
  <si>
    <t>180.428°</t>
  </si>
  <si>
    <t>359.520°</t>
  </si>
  <si>
    <t>76.114 AU</t>
  </si>
  <si>
    <t>29.859°</t>
  </si>
  <si>
    <t>33.138°</t>
  </si>
  <si>
    <t>178°</t>
  </si>
  <si>
    <t>357.23°</t>
  </si>
  <si>
    <t>78.793 AU</t>
  </si>
  <si>
    <t>32.025°</t>
  </si>
  <si>
    <t>10.427°</t>
  </si>
  <si>
    <t>147.35°</t>
  </si>
  <si>
    <t>35.211°</t>
  </si>
  <si>
    <t>80.2 AU</t>
  </si>
  <si>
    <t>18.68°</t>
  </si>
  <si>
    <t>231.9°</t>
  </si>
  <si>
    <t>68.35°</t>
  </si>
  <si>
    <t>186.9°</t>
  </si>
  <si>
    <t>315 km</t>
  </si>
  <si>
    <t>81.373 AU</t>
  </si>
  <si>
    <t>7.576°</t>
  </si>
  <si>
    <t>261.02°</t>
  </si>
  <si>
    <t>211.68°</t>
  </si>
  <si>
    <t>323.86°</t>
  </si>
  <si>
    <t>328 km</t>
  </si>
  <si>
    <t>81.628 AU</t>
  </si>
  <si>
    <t>24.292°</t>
  </si>
  <si>
    <t>16.865°</t>
  </si>
  <si>
    <t>245.325°</t>
  </si>
  <si>
    <t>157.653°</t>
  </si>
  <si>
    <t>82.168 AU</t>
  </si>
  <si>
    <t>22.41°</t>
  </si>
  <si>
    <t>101.06°</t>
  </si>
  <si>
    <t>0.013°</t>
  </si>
  <si>
    <t>19.86°</t>
  </si>
  <si>
    <t>170 km</t>
  </si>
  <si>
    <t>83.403 AU</t>
  </si>
  <si>
    <t>24.006°</t>
  </si>
  <si>
    <t>184.79°</t>
  </si>
  <si>
    <t>217.82°</t>
  </si>
  <si>
    <t>6.851°</t>
  </si>
  <si>
    <t>89.61 AU</t>
  </si>
  <si>
    <t>28.819°</t>
  </si>
  <si>
    <t>318.1°</t>
  </si>
  <si>
    <t>84.61°</t>
  </si>
  <si>
    <t>6.19°</t>
  </si>
  <si>
    <t>225 km</t>
  </si>
  <si>
    <t>91.457 AU</t>
  </si>
  <si>
    <t>16.28°</t>
  </si>
  <si>
    <t>75.58°</t>
  </si>
  <si>
    <t>230.45°</t>
  </si>
  <si>
    <t>4.97°</t>
  </si>
  <si>
    <t>93.87 AU</t>
  </si>
  <si>
    <t>13.34°</t>
  </si>
  <si>
    <t>356.38°</t>
  </si>
  <si>
    <t>194.13°</t>
  </si>
  <si>
    <t>9.9°</t>
  </si>
  <si>
    <t>186 km</t>
  </si>
  <si>
    <t>97.941 AU</t>
  </si>
  <si>
    <t>27.11°</t>
  </si>
  <si>
    <t>58.85°</t>
  </si>
  <si>
    <t>76.49°</t>
  </si>
  <si>
    <t>352.95°</t>
  </si>
  <si>
    <t>98.988 AU</t>
  </si>
  <si>
    <t>21.23°</t>
  </si>
  <si>
    <t>324.1°</t>
  </si>
  <si>
    <t>212.6°</t>
  </si>
  <si>
    <t>2.99°</t>
  </si>
  <si>
    <t>99.874 AU</t>
  </si>
  <si>
    <t>20.758°</t>
  </si>
  <si>
    <t>324.65°</t>
  </si>
  <si>
    <t>330.97°</t>
  </si>
  <si>
    <t>23.349°</t>
  </si>
  <si>
    <t>Ceto</t>
  </si>
  <si>
    <t>102.79 AU</t>
  </si>
  <si>
    <t>22.266°</t>
  </si>
  <si>
    <t>320.086°</t>
  </si>
  <si>
    <t>171.85°</t>
  </si>
  <si>
    <t>9.122°</t>
  </si>
  <si>
    <t>Phorcys</t>
  </si>
  <si>
    <t>86 km</t>
  </si>
  <si>
    <t>1,841 km</t>
  </si>
  <si>
    <t>107.642 AU</t>
  </si>
  <si>
    <t>27.79°</t>
  </si>
  <si>
    <t>29.989°</t>
  </si>
  <si>
    <t>130.699°</t>
  </si>
  <si>
    <t>320.482°</t>
  </si>
  <si>
    <t>110.51 AU</t>
  </si>
  <si>
    <t>14.032°</t>
  </si>
  <si>
    <t>223.69°</t>
  </si>
  <si>
    <t>78.395°</t>
  </si>
  <si>
    <t>13.854°</t>
  </si>
  <si>
    <t>111 AU</t>
  </si>
  <si>
    <t>18°</t>
  </si>
  <si>
    <t>351°</t>
  </si>
  <si>
    <t>116°</t>
  </si>
  <si>
    <t>182°</t>
  </si>
  <si>
    <t>138.4 AU</t>
  </si>
  <si>
    <t>13.09°</t>
  </si>
  <si>
    <t>104.8°</t>
  </si>
  <si>
    <t>204.6°</t>
  </si>
  <si>
    <t>338°</t>
  </si>
  <si>
    <t>200 km</t>
  </si>
  <si>
    <t>150.48 AU</t>
  </si>
  <si>
    <t>4.511°</t>
  </si>
  <si>
    <t>313.88°</t>
  </si>
  <si>
    <t>117.39°</t>
  </si>
  <si>
    <t>358°</t>
  </si>
  <si>
    <t>DTCH</t>
  </si>
  <si>
    <t>244.8 AU</t>
  </si>
  <si>
    <t>175.9°</t>
  </si>
  <si>
    <t>44.5°</t>
  </si>
  <si>
    <t>52.7°</t>
  </si>
  <si>
    <t>0.335°</t>
  </si>
  <si>
    <r>
      <t>2015 RM</t>
    </r>
    <r>
      <rPr>
        <vertAlign val="subscript"/>
        <sz val="10"/>
        <color theme="1"/>
        <rFont val="Aptos Narrow"/>
        <family val="2"/>
        <scheme val="minor"/>
      </rPr>
      <t>306</t>
    </r>
  </si>
  <si>
    <t>271.5 AU</t>
  </si>
  <si>
    <t>24.056°</t>
  </si>
  <si>
    <t>293.8°</t>
  </si>
  <si>
    <t>90.787°</t>
  </si>
  <si>
    <t>3.50°</t>
  </si>
  <si>
    <t>271.9 AU</t>
  </si>
  <si>
    <t>6.839°</t>
  </si>
  <si>
    <t>43.121°</t>
  </si>
  <si>
    <t>165.875°</t>
  </si>
  <si>
    <t>1.932°</t>
  </si>
  <si>
    <r>
      <t>2015 DM</t>
    </r>
    <r>
      <rPr>
        <vertAlign val="subscript"/>
        <sz val="10"/>
        <color theme="1"/>
        <rFont val="Aptos Narrow"/>
        <family val="2"/>
        <scheme val="minor"/>
      </rPr>
      <t>319</t>
    </r>
  </si>
  <si>
    <t>277.83 AU</t>
  </si>
  <si>
    <t>84.739°</t>
  </si>
  <si>
    <t>38.364°</t>
  </si>
  <si>
    <t>246.18°</t>
  </si>
  <si>
    <t>0.113°</t>
  </si>
  <si>
    <r>
      <t>2014 LM</t>
    </r>
    <r>
      <rPr>
        <vertAlign val="subscript"/>
        <sz val="10"/>
        <color theme="1"/>
        <rFont val="Aptos Narrow"/>
        <family val="2"/>
        <scheme val="minor"/>
      </rPr>
      <t>28</t>
    </r>
  </si>
  <si>
    <t>278.33 AU</t>
  </si>
  <si>
    <t>140.73°</t>
  </si>
  <si>
    <t>132.72°</t>
  </si>
  <si>
    <t>0.82°</t>
  </si>
  <si>
    <r>
      <t>2010 NV</t>
    </r>
    <r>
      <rPr>
        <vertAlign val="subscript"/>
        <sz val="10"/>
        <color theme="1"/>
        <rFont val="Aptos Narrow"/>
        <family val="2"/>
        <scheme val="minor"/>
      </rPr>
      <t>1</t>
    </r>
  </si>
  <si>
    <t>292 AU</t>
  </si>
  <si>
    <t>17.98°</t>
  </si>
  <si>
    <t>341.35°</t>
  </si>
  <si>
    <t>34.75°</t>
  </si>
  <si>
    <t>357.3°</t>
  </si>
  <si>
    <r>
      <t>2014 SR</t>
    </r>
    <r>
      <rPr>
        <vertAlign val="subscript"/>
        <sz val="10"/>
        <color theme="1"/>
        <rFont val="Aptos Narrow"/>
        <family val="2"/>
        <scheme val="minor"/>
      </rPr>
      <t>349</t>
    </r>
  </si>
  <si>
    <t>296 AU</t>
  </si>
  <si>
    <t>17.3°</t>
  </si>
  <si>
    <t>40.2°</t>
  </si>
  <si>
    <t>217.7°</t>
  </si>
  <si>
    <t>357.15°</t>
  </si>
  <si>
    <r>
      <t>2013 FT</t>
    </r>
    <r>
      <rPr>
        <vertAlign val="subscript"/>
        <sz val="10"/>
        <color theme="1"/>
        <rFont val="Aptos Narrow"/>
        <family val="2"/>
        <scheme val="minor"/>
      </rPr>
      <t>28</t>
    </r>
  </si>
  <si>
    <t>Alicanto</t>
  </si>
  <si>
    <t>157 km</t>
  </si>
  <si>
    <t>328 AU</t>
  </si>
  <si>
    <t>25.572°</t>
  </si>
  <si>
    <t>326.72°</t>
  </si>
  <si>
    <t>65.996°</t>
  </si>
  <si>
    <t>0.682°</t>
  </si>
  <si>
    <t>335.169 AU</t>
  </si>
  <si>
    <t>8.779°</t>
  </si>
  <si>
    <t>129.236°</t>
  </si>
  <si>
    <t>46.1°</t>
  </si>
  <si>
    <t>1.67°</t>
  </si>
  <si>
    <r>
      <t>2015 GT</t>
    </r>
    <r>
      <rPr>
        <vertAlign val="subscript"/>
        <sz val="10"/>
        <color theme="1"/>
        <rFont val="Aptos Narrow"/>
        <family val="2"/>
        <scheme val="minor"/>
      </rPr>
      <t>50</t>
    </r>
  </si>
  <si>
    <t>347.6 AU</t>
  </si>
  <si>
    <t>68.056°</t>
  </si>
  <si>
    <t>128.675°</t>
  </si>
  <si>
    <t>220.226°</t>
  </si>
  <si>
    <t>0.162°</t>
  </si>
  <si>
    <r>
      <t>2009 MS</t>
    </r>
    <r>
      <rPr>
        <vertAlign val="subscript"/>
        <sz val="10"/>
        <color theme="1"/>
        <rFont val="Aptos Narrow"/>
        <family val="2"/>
        <scheme val="minor"/>
      </rPr>
      <t>9</t>
    </r>
  </si>
  <si>
    <t>349 AU</t>
  </si>
  <si>
    <t>21.54°</t>
  </si>
  <si>
    <t>347.8°</t>
  </si>
  <si>
    <t>130.6°</t>
  </si>
  <si>
    <t>3.22°</t>
  </si>
  <si>
    <t>364 AU</t>
  </si>
  <si>
    <t>29.572°</t>
  </si>
  <si>
    <t>311.8°</t>
  </si>
  <si>
    <t>67.596°</t>
  </si>
  <si>
    <t>416.89 AU</t>
  </si>
  <si>
    <t>12.144°</t>
  </si>
  <si>
    <t>65.124°</t>
  </si>
  <si>
    <t>8.599°</t>
  </si>
  <si>
    <t>358.03°</t>
  </si>
  <si>
    <t>428.03 AU</t>
  </si>
  <si>
    <t>54.125°</t>
  </si>
  <si>
    <t>348.37°</t>
  </si>
  <si>
    <t>135.11°</t>
  </si>
  <si>
    <t>358.39°</t>
  </si>
  <si>
    <t>111 km</t>
  </si>
  <si>
    <t>472.77 AU</t>
  </si>
  <si>
    <t>18.62°</t>
  </si>
  <si>
    <t>285.54°</t>
  </si>
  <si>
    <t>112.84°</t>
  </si>
  <si>
    <t>0.447°</t>
  </si>
  <si>
    <t>484.5 AU</t>
  </si>
  <si>
    <t>143.913°</t>
  </si>
  <si>
    <t>179.06°</t>
  </si>
  <si>
    <t>176.01°</t>
  </si>
  <si>
    <t>0.125°</t>
  </si>
  <si>
    <r>
      <t>2010 BK</t>
    </r>
    <r>
      <rPr>
        <vertAlign val="subscript"/>
        <sz val="10"/>
        <color theme="1"/>
        <rFont val="Aptos Narrow"/>
        <family val="2"/>
        <scheme val="minor"/>
      </rPr>
      <t>118</t>
    </r>
  </si>
  <si>
    <t>⯲</t>
  </si>
  <si>
    <t>Sedna</t>
  </si>
  <si>
    <t>453 km</t>
  </si>
  <si>
    <t>506 AU</t>
  </si>
  <si>
    <t>11.931°</t>
  </si>
  <si>
    <t>311.352°</t>
  </si>
  <si>
    <t>144.248°</t>
  </si>
  <si>
    <t>358.117°</t>
  </si>
  <si>
    <t>519.9 AU</t>
  </si>
  <si>
    <t>169.26°</t>
  </si>
  <si>
    <t>154.386°</t>
  </si>
  <si>
    <t>214.385°</t>
  </si>
  <si>
    <t>359.855°</t>
  </si>
  <si>
    <r>
      <t>2020 YR</t>
    </r>
    <r>
      <rPr>
        <vertAlign val="subscript"/>
        <sz val="10"/>
        <color theme="1"/>
        <rFont val="Aptos Narrow"/>
        <family val="2"/>
        <scheme val="minor"/>
      </rPr>
      <t>3</t>
    </r>
  </si>
  <si>
    <t>679.816 AU</t>
  </si>
  <si>
    <t>32.097°</t>
  </si>
  <si>
    <t>13.994°</t>
  </si>
  <si>
    <t>219.103°</t>
  </si>
  <si>
    <t>0.014°</t>
  </si>
  <si>
    <r>
      <t>2015 KG</t>
    </r>
    <r>
      <rPr>
        <vertAlign val="subscript"/>
        <sz val="10"/>
        <color theme="1"/>
        <rFont val="Aptos Narrow"/>
        <family val="2"/>
        <scheme val="minor"/>
      </rPr>
      <t>163</t>
    </r>
  </si>
  <si>
    <t>690.4 AU</t>
  </si>
  <si>
    <t>4.228°</t>
  </si>
  <si>
    <t>32.037°</t>
  </si>
  <si>
    <t>29.493°</t>
  </si>
  <si>
    <t>359.292°</t>
  </si>
  <si>
    <t>28 km</t>
  </si>
  <si>
    <t>1,080 AU</t>
  </si>
  <si>
    <t>98.613°</t>
  </si>
  <si>
    <t>165.96°</t>
  </si>
  <si>
    <t>180.2°</t>
  </si>
  <si>
    <t>0.049°</t>
  </si>
  <si>
    <r>
      <t>2013 BL</t>
    </r>
    <r>
      <rPr>
        <vertAlign val="subscript"/>
        <sz val="10"/>
        <color theme="1"/>
        <rFont val="Aptos Narrow"/>
        <family val="2"/>
        <scheme val="minor"/>
      </rPr>
      <t>76</t>
    </r>
  </si>
  <si>
    <t>Leleākūhonua</t>
  </si>
  <si>
    <t>110 km</t>
  </si>
  <si>
    <t>1,085 AU</t>
  </si>
  <si>
    <t>11.654°</t>
  </si>
  <si>
    <t>117.778°</t>
  </si>
  <si>
    <t>300.78°</t>
  </si>
  <si>
    <t>359.418°</t>
  </si>
  <si>
    <t>1,603 AU</t>
  </si>
  <si>
    <t>77.986°</t>
  </si>
  <si>
    <t>195.57°</t>
  </si>
  <si>
    <t>341.48°</t>
  </si>
  <si>
    <t>0.045°</t>
  </si>
  <si>
    <r>
      <t>2012 DR</t>
    </r>
    <r>
      <rPr>
        <vertAlign val="subscript"/>
        <sz val="10"/>
        <color theme="1"/>
        <rFont val="Aptos Narrow"/>
        <family val="2"/>
        <scheme val="minor"/>
      </rPr>
      <t>30</t>
    </r>
  </si>
  <si>
    <t>2,045 AU</t>
  </si>
  <si>
    <t>20.633°</t>
  </si>
  <si>
    <t>133.921°</t>
  </si>
  <si>
    <t>336.829°</t>
  </si>
  <si>
    <t>0.219°</t>
  </si>
  <si>
    <t>Eureka</t>
  </si>
  <si>
    <t>650 m</t>
  </si>
  <si>
    <t>20.28°</t>
  </si>
  <si>
    <t>95.456°</t>
  </si>
  <si>
    <t>245.057°</t>
  </si>
  <si>
    <t>145.29°</t>
  </si>
  <si>
    <t>Ganymed</t>
  </si>
  <si>
    <t>2.663 AU</t>
  </si>
  <si>
    <t>26.693°</t>
  </si>
  <si>
    <t>132.45°</t>
  </si>
  <si>
    <t>215.55°</t>
  </si>
  <si>
    <t>183.36°</t>
  </si>
  <si>
    <t>S/2011 (5261) 1</t>
  </si>
  <si>
    <t>230 m</t>
  </si>
  <si>
    <t>Gaspra</t>
  </si>
  <si>
    <t>2.21 AU</t>
  </si>
  <si>
    <t>4.106°</t>
  </si>
  <si>
    <t>129.94°</t>
  </si>
  <si>
    <t>253.06°</t>
  </si>
  <si>
    <t>232.83°</t>
  </si>
  <si>
    <r>
      <t>2014 NW</t>
    </r>
    <r>
      <rPr>
        <vertAlign val="subscript"/>
        <sz val="10"/>
        <color theme="1"/>
        <rFont val="Aptos Narrow"/>
        <family val="2"/>
        <scheme val="minor"/>
      </rPr>
      <t>65</t>
    </r>
  </si>
  <si>
    <t>23.286 AU</t>
  </si>
  <si>
    <t>20.424°</t>
  </si>
  <si>
    <t>232.73°</t>
  </si>
  <si>
    <t>216.01°</t>
  </si>
  <si>
    <t>311.34°</t>
  </si>
  <si>
    <r>
      <t>2013 TC</t>
    </r>
    <r>
      <rPr>
        <vertAlign val="subscript"/>
        <sz val="10"/>
        <color theme="1"/>
        <rFont val="Aptos Narrow"/>
        <family val="2"/>
        <scheme val="minor"/>
      </rPr>
      <t>146</t>
    </r>
  </si>
  <si>
    <t>121 km</t>
  </si>
  <si>
    <t>25.352 AU</t>
  </si>
  <si>
    <t>14.172°</t>
  </si>
  <si>
    <t>55.475°</t>
  </si>
  <si>
    <t>147.512°</t>
  </si>
  <si>
    <t>114.1°</t>
  </si>
  <si>
    <r>
      <t>2015 XW</t>
    </r>
    <r>
      <rPr>
        <vertAlign val="subscript"/>
        <sz val="10"/>
        <color theme="1"/>
        <rFont val="Aptos Narrow"/>
        <family val="2"/>
        <scheme val="minor"/>
      </rPr>
      <t>379</t>
    </r>
  </si>
  <si>
    <t>27.808 AU</t>
  </si>
  <si>
    <t>11.899°</t>
  </si>
  <si>
    <t>49.705°</t>
  </si>
  <si>
    <t>144.21°</t>
  </si>
  <si>
    <t>339.64°</t>
  </si>
  <si>
    <r>
      <t>2005 RO</t>
    </r>
    <r>
      <rPr>
        <vertAlign val="subscript"/>
        <sz val="10"/>
        <color theme="1"/>
        <rFont val="Aptos Narrow"/>
        <family val="2"/>
        <scheme val="minor"/>
      </rPr>
      <t>43</t>
    </r>
  </si>
  <si>
    <t>28.856 AU</t>
  </si>
  <si>
    <t>35.455°</t>
  </si>
  <si>
    <t>326.56°</t>
  </si>
  <si>
    <t>198.06°</t>
  </si>
  <si>
    <t>340.61°</t>
  </si>
  <si>
    <r>
      <t>2008 AU</t>
    </r>
    <r>
      <rPr>
        <vertAlign val="subscript"/>
        <sz val="10"/>
        <color theme="1"/>
        <rFont val="Aptos Narrow"/>
        <family val="2"/>
        <scheme val="minor"/>
      </rPr>
      <t>138</t>
    </r>
  </si>
  <si>
    <t>32.509 AU</t>
  </si>
  <si>
    <t>42.83°</t>
  </si>
  <si>
    <t>252.7°</t>
  </si>
  <si>
    <t>50.604°</t>
  </si>
  <si>
    <t>197.08°</t>
  </si>
  <si>
    <r>
      <t>2015 QW</t>
    </r>
    <r>
      <rPr>
        <vertAlign val="subscript"/>
        <sz val="10"/>
        <color theme="1"/>
        <rFont val="Aptos Narrow"/>
        <family val="2"/>
        <scheme val="minor"/>
      </rPr>
      <t>23</t>
    </r>
  </si>
  <si>
    <t>47.614 AU</t>
  </si>
  <si>
    <t>20.887°</t>
  </si>
  <si>
    <t>120.007°</t>
  </si>
  <si>
    <t>94.072°</t>
  </si>
  <si>
    <t>113.165°</t>
  </si>
  <si>
    <r>
      <t>1998 BU</t>
    </r>
    <r>
      <rPr>
        <vertAlign val="subscript"/>
        <sz val="10"/>
        <color theme="1"/>
        <rFont val="Aptos Narrow"/>
        <family val="2"/>
        <scheme val="minor"/>
      </rPr>
      <t>48</t>
    </r>
  </si>
  <si>
    <t>33.243 AU</t>
  </si>
  <si>
    <t>14.25°</t>
  </si>
  <si>
    <t>282.7°</t>
  </si>
  <si>
    <t>132.79°</t>
  </si>
  <si>
    <t>75.9°</t>
  </si>
  <si>
    <t>103 km</t>
  </si>
  <si>
    <r>
      <t>2014 GS</t>
    </r>
    <r>
      <rPr>
        <vertAlign val="subscript"/>
        <sz val="10"/>
        <color theme="1"/>
        <rFont val="Aptos Narrow"/>
        <family val="2"/>
        <scheme val="minor"/>
      </rPr>
      <t>53</t>
    </r>
  </si>
  <si>
    <t>33.39 AU</t>
  </si>
  <si>
    <t>15.17°</t>
  </si>
  <si>
    <t>331.5°</t>
  </si>
  <si>
    <t>132.41°</t>
  </si>
  <si>
    <t>118.11°</t>
  </si>
  <si>
    <r>
      <t>2010 GF</t>
    </r>
    <r>
      <rPr>
        <vertAlign val="subscript"/>
        <sz val="10"/>
        <color theme="1"/>
        <rFont val="Aptos Narrow"/>
        <family val="2"/>
        <scheme val="minor"/>
      </rPr>
      <t>65</t>
    </r>
  </si>
  <si>
    <t>96 km</t>
  </si>
  <si>
    <t>33.59 AU</t>
  </si>
  <si>
    <t>12.407°</t>
  </si>
  <si>
    <t>284.36°</t>
  </si>
  <si>
    <t>0.421°</t>
  </si>
  <si>
    <t>333.86°</t>
  </si>
  <si>
    <r>
      <t>2010 TY</t>
    </r>
    <r>
      <rPr>
        <vertAlign val="subscript"/>
        <sz val="10"/>
        <color theme="1"/>
        <rFont val="Aptos Narrow"/>
        <family val="2"/>
        <scheme val="minor"/>
      </rPr>
      <t>53</t>
    </r>
  </si>
  <si>
    <t>163 km</t>
  </si>
  <si>
    <t>38.826 AU</t>
  </si>
  <si>
    <t>22.461°</t>
  </si>
  <si>
    <t>3.436°</t>
  </si>
  <si>
    <t>111.23°</t>
  </si>
  <si>
    <t>324.76°</t>
  </si>
  <si>
    <r>
      <t>2004 MM</t>
    </r>
    <r>
      <rPr>
        <vertAlign val="subscript"/>
        <sz val="10"/>
        <color theme="1"/>
        <rFont val="Aptos Narrow"/>
        <family val="2"/>
        <scheme val="minor"/>
      </rPr>
      <t>10</t>
    </r>
  </si>
  <si>
    <t>41.914 AU</t>
  </si>
  <si>
    <t>0.963°</t>
  </si>
  <si>
    <t>133.413°</t>
  </si>
  <si>
    <t>217.959°</t>
  </si>
  <si>
    <t>316.951°</t>
  </si>
  <si>
    <r>
      <t>2014 GK</t>
    </r>
    <r>
      <rPr>
        <vertAlign val="subscript"/>
        <sz val="10"/>
        <color theme="1"/>
        <rFont val="Aptos Narrow"/>
        <family val="2"/>
        <scheme val="minor"/>
      </rPr>
      <t>65</t>
    </r>
  </si>
  <si>
    <t>43.4 AU</t>
  </si>
  <si>
    <t>19.501°</t>
  </si>
  <si>
    <t>329.75°</t>
  </si>
  <si>
    <t>262.08°</t>
  </si>
  <si>
    <t>350.09°</t>
  </si>
  <si>
    <r>
      <t>2015 DU</t>
    </r>
    <r>
      <rPr>
        <vertAlign val="subscript"/>
        <sz val="10"/>
        <color theme="1"/>
        <rFont val="Aptos Narrow"/>
        <family val="2"/>
        <scheme val="minor"/>
      </rPr>
      <t>249</t>
    </r>
  </si>
  <si>
    <t>54.23 AU</t>
  </si>
  <si>
    <t>18.909°</t>
  </si>
  <si>
    <t>100.14°</t>
  </si>
  <si>
    <t>243.26°</t>
  </si>
  <si>
    <t>160°</t>
  </si>
  <si>
    <t>49.2 AU</t>
  </si>
  <si>
    <t>34.84°</t>
  </si>
  <si>
    <t>31.9°</t>
  </si>
  <si>
    <t>71.57°</t>
  </si>
  <si>
    <t>80°</t>
  </si>
  <si>
    <r>
      <t>2018 AK</t>
    </r>
    <r>
      <rPr>
        <vertAlign val="subscript"/>
        <sz val="10"/>
        <color theme="1"/>
        <rFont val="Aptos Narrow"/>
        <family val="2"/>
        <scheme val="minor"/>
      </rPr>
      <t>39</t>
    </r>
  </si>
  <si>
    <t>140 km</t>
  </si>
  <si>
    <t>51.3 AU</t>
  </si>
  <si>
    <t>15.5°</t>
  </si>
  <si>
    <t>215°</t>
  </si>
  <si>
    <t>77.2°</t>
  </si>
  <si>
    <r>
      <t>2000 YY</t>
    </r>
    <r>
      <rPr>
        <vertAlign val="subscript"/>
        <sz val="10"/>
        <color theme="1"/>
        <rFont val="Aptos Narrow"/>
        <family val="2"/>
        <scheme val="minor"/>
      </rPr>
      <t>1</t>
    </r>
  </si>
  <si>
    <t>64.159 AU</t>
  </si>
  <si>
    <t>7.84°</t>
  </si>
  <si>
    <t>219°</t>
  </si>
  <si>
    <t>209.61°</t>
  </si>
  <si>
    <t>331°</t>
  </si>
  <si>
    <r>
      <t>2011 LZ</t>
    </r>
    <r>
      <rPr>
        <vertAlign val="subscript"/>
        <sz val="10"/>
        <color theme="1"/>
        <rFont val="Aptos Narrow"/>
        <family val="2"/>
        <scheme val="minor"/>
      </rPr>
      <t>28</t>
    </r>
  </si>
  <si>
    <t>64.535 AU</t>
  </si>
  <si>
    <t>13.48°</t>
  </si>
  <si>
    <t>99.77°</t>
  </si>
  <si>
    <t>315.27°</t>
  </si>
  <si>
    <t>354.5°</t>
  </si>
  <si>
    <r>
      <t>2015 TP</t>
    </r>
    <r>
      <rPr>
        <vertAlign val="subscript"/>
        <sz val="10"/>
        <color theme="1"/>
        <rFont val="Aptos Narrow"/>
        <family val="2"/>
        <scheme val="minor"/>
      </rPr>
      <t>454</t>
    </r>
  </si>
  <si>
    <t>67.63 AU</t>
  </si>
  <si>
    <t>24.11°</t>
  </si>
  <si>
    <t>327.26°</t>
  </si>
  <si>
    <t>137.93°</t>
  </si>
  <si>
    <t>336.83°</t>
  </si>
  <si>
    <r>
      <t>2021 DQ</t>
    </r>
    <r>
      <rPr>
        <vertAlign val="subscript"/>
        <sz val="10"/>
        <color theme="1"/>
        <rFont val="Aptos Narrow"/>
        <family val="2"/>
        <scheme val="minor"/>
      </rPr>
      <t>15</t>
    </r>
  </si>
  <si>
    <t>55.48 AU</t>
  </si>
  <si>
    <t>3.05°</t>
  </si>
  <si>
    <t>68.09°</t>
  </si>
  <si>
    <t>248.63°</t>
  </si>
  <si>
    <t>105.6°</t>
  </si>
  <si>
    <r>
      <t>2010 JJ</t>
    </r>
    <r>
      <rPr>
        <vertAlign val="subscript"/>
        <sz val="10"/>
        <color theme="1"/>
        <rFont val="Aptos Narrow"/>
        <family val="2"/>
        <scheme val="minor"/>
      </rPr>
      <t>124</t>
    </r>
  </si>
  <si>
    <t>81.8 AU</t>
  </si>
  <si>
    <t>37.74°</t>
  </si>
  <si>
    <t>339.39°</t>
  </si>
  <si>
    <t>268.8°</t>
  </si>
  <si>
    <t>1.702°</t>
  </si>
  <si>
    <r>
      <t>2015 TH</t>
    </r>
    <r>
      <rPr>
        <vertAlign val="subscript"/>
        <sz val="10"/>
        <color theme="1"/>
        <rFont val="Aptos Narrow"/>
        <family val="2"/>
        <scheme val="minor"/>
      </rPr>
      <t>367</t>
    </r>
  </si>
  <si>
    <t>78 AU</t>
  </si>
  <si>
    <t>10.99°</t>
  </si>
  <si>
    <t>17°</t>
  </si>
  <si>
    <t>245.1°</t>
  </si>
  <si>
    <t>66°</t>
  </si>
  <si>
    <r>
      <t>2008 LP</t>
    </r>
    <r>
      <rPr>
        <vertAlign val="subscript"/>
        <sz val="10"/>
        <color theme="1"/>
        <rFont val="Aptos Narrow"/>
        <family val="2"/>
        <scheme val="minor"/>
      </rPr>
      <t>17</t>
    </r>
  </si>
  <si>
    <t>90.338 AU</t>
  </si>
  <si>
    <t>14.09°</t>
  </si>
  <si>
    <t>164.92°</t>
  </si>
  <si>
    <t>72.48°</t>
  </si>
  <si>
    <t>0.95°</t>
  </si>
  <si>
    <r>
      <t>2014 XP</t>
    </r>
    <r>
      <rPr>
        <vertAlign val="subscript"/>
        <sz val="10"/>
        <color theme="1"/>
        <rFont val="Aptos Narrow"/>
        <family val="2"/>
        <scheme val="minor"/>
      </rPr>
      <t>40</t>
    </r>
  </si>
  <si>
    <t>100.7 AU</t>
  </si>
  <si>
    <t>11.524°</t>
  </si>
  <si>
    <t>294.45°</t>
  </si>
  <si>
    <t>258.7°</t>
  </si>
  <si>
    <t>358.9°</t>
  </si>
  <si>
    <r>
      <t>2005 PU</t>
    </r>
    <r>
      <rPr>
        <vertAlign val="subscript"/>
        <sz val="10"/>
        <color theme="1"/>
        <rFont val="Aptos Narrow"/>
        <family val="2"/>
        <scheme val="minor"/>
      </rPr>
      <t>21</t>
    </r>
  </si>
  <si>
    <t>172.9 AU</t>
  </si>
  <si>
    <t>6.18°</t>
  </si>
  <si>
    <t>228.11°</t>
  </si>
  <si>
    <t>192.47°</t>
  </si>
  <si>
    <t>356.01°</t>
  </si>
  <si>
    <r>
      <t>2015 DK</t>
    </r>
    <r>
      <rPr>
        <vertAlign val="subscript"/>
        <sz val="10"/>
        <color theme="1"/>
        <rFont val="Aptos Narrow"/>
        <family val="2"/>
        <scheme val="minor"/>
      </rPr>
      <t>249</t>
    </r>
  </si>
  <si>
    <t>407.964 AU</t>
  </si>
  <si>
    <t>6.938°</t>
  </si>
  <si>
    <t>333.488°</t>
  </si>
  <si>
    <t>255.26°</t>
  </si>
  <si>
    <t>358.977°</t>
  </si>
  <si>
    <t>Sila</t>
  </si>
  <si>
    <t>44.116 AU</t>
  </si>
  <si>
    <t>2.241°</t>
  </si>
  <si>
    <t>222.597°</t>
  </si>
  <si>
    <t>304.342°</t>
  </si>
  <si>
    <t>331.884°</t>
  </si>
  <si>
    <t>Nunam</t>
  </si>
  <si>
    <t>118 km</t>
  </si>
  <si>
    <t>2,777 km</t>
  </si>
  <si>
    <t>Altjira</t>
  </si>
  <si>
    <t>123 km</t>
  </si>
  <si>
    <t>44.224 AU</t>
  </si>
  <si>
    <t>5.206°</t>
  </si>
  <si>
    <t>297.71°</t>
  </si>
  <si>
    <t>2.013°</t>
  </si>
  <si>
    <t>124.29°</t>
  </si>
  <si>
    <t>S/2007 (148780) 1</t>
  </si>
  <si>
    <t>9,904 km</t>
  </si>
  <si>
    <t>Rhadamanthus</t>
  </si>
  <si>
    <t>91 km</t>
  </si>
  <si>
    <t>38.777 AU</t>
  </si>
  <si>
    <t>12.793°</t>
  </si>
  <si>
    <t>82.178°</t>
  </si>
  <si>
    <t>9.962°</t>
  </si>
  <si>
    <t>97.148°</t>
  </si>
  <si>
    <t>Mors</t>
  </si>
  <si>
    <t>39.012 AU</t>
  </si>
  <si>
    <t>11.304°</t>
  </si>
  <si>
    <t>205.32°</t>
  </si>
  <si>
    <t>196.75°</t>
  </si>
  <si>
    <t>0.468°</t>
  </si>
  <si>
    <t>Somnus</t>
  </si>
  <si>
    <t>Thereus</t>
  </si>
  <si>
    <t>10.64 AU</t>
  </si>
  <si>
    <t>20.353°</t>
  </si>
  <si>
    <t>86.322°</t>
  </si>
  <si>
    <t>205.33°</t>
  </si>
  <si>
    <t>192.91°</t>
  </si>
  <si>
    <t>Echeclus</t>
  </si>
  <si>
    <t>10.68 AU</t>
  </si>
  <si>
    <t>4.345°</t>
  </si>
  <si>
    <t>162.889°</t>
  </si>
  <si>
    <t>173.335°</t>
  </si>
  <si>
    <t>7.511°</t>
  </si>
  <si>
    <t>Elatus</t>
  </si>
  <si>
    <t>11.811 AU</t>
  </si>
  <si>
    <t>5.245°</t>
  </si>
  <si>
    <t>281.62°</t>
  </si>
  <si>
    <t>87.158°</t>
  </si>
  <si>
    <t>170.74°</t>
  </si>
  <si>
    <t>Aphidas</t>
  </si>
  <si>
    <t>17.99 AU</t>
  </si>
  <si>
    <t>6.769°</t>
  </si>
  <si>
    <t>215.74°</t>
  </si>
  <si>
    <t>103.76°</t>
  </si>
  <si>
    <t>200.78°</t>
  </si>
  <si>
    <t>Asbolus</t>
  </si>
  <si>
    <t>17.966 AU</t>
  </si>
  <si>
    <t>17.638°</t>
  </si>
  <si>
    <t>290.06°</t>
  </si>
  <si>
    <t>6.132°</t>
  </si>
  <si>
    <t>71.41°</t>
  </si>
  <si>
    <t>Nessus</t>
  </si>
  <si>
    <t>24.639 AU</t>
  </si>
  <si>
    <t>15.663°</t>
  </si>
  <si>
    <t>170.96°</t>
  </si>
  <si>
    <t>31.183°</t>
  </si>
  <si>
    <t>80.046°</t>
  </si>
  <si>
    <t>Hylonome</t>
  </si>
  <si>
    <t>25.152 AU</t>
  </si>
  <si>
    <t>4.144°</t>
  </si>
  <si>
    <t>7.028°</t>
  </si>
  <si>
    <t>178.08°</t>
  </si>
  <si>
    <t>63.271°</t>
  </si>
  <si>
    <t>Cyllarus</t>
  </si>
  <si>
    <t>26.113 AU</t>
  </si>
  <si>
    <t>12.651°</t>
  </si>
  <si>
    <t>300.77°</t>
  </si>
  <si>
    <t>52.073°</t>
  </si>
  <si>
    <t>75.673°</t>
  </si>
  <si>
    <t>Toutatis</t>
  </si>
  <si>
    <t>2.532 AU</t>
  </si>
  <si>
    <t>0.446°</t>
  </si>
  <si>
    <t>278.75°</t>
  </si>
  <si>
    <t>124.3°</t>
  </si>
  <si>
    <t>5.122°</t>
  </si>
  <si>
    <t>190 m</t>
  </si>
  <si>
    <r>
      <t>2010 TK</t>
    </r>
    <r>
      <rPr>
        <vertAlign val="subscript"/>
        <sz val="10"/>
        <color theme="1"/>
        <rFont val="Aptos Narrow"/>
        <family val="2"/>
        <scheme val="minor"/>
      </rPr>
      <t>7</t>
    </r>
  </si>
  <si>
    <t>20.89°</t>
  </si>
  <si>
    <t>45.927°</t>
  </si>
  <si>
    <t>96.498°</t>
  </si>
  <si>
    <t>354.14°</t>
  </si>
  <si>
    <r>
      <t>2020 XL</t>
    </r>
    <r>
      <rPr>
        <vertAlign val="subscript"/>
        <sz val="10"/>
        <color theme="1"/>
        <rFont val="Aptos Narrow"/>
        <family val="2"/>
        <scheme val="minor"/>
      </rPr>
      <t>5</t>
    </r>
  </si>
  <si>
    <t>590 m</t>
  </si>
  <si>
    <t>1.001 AU</t>
  </si>
  <si>
    <t>13.847°</t>
  </si>
  <si>
    <t>87.981°</t>
  </si>
  <si>
    <t>153.598°</t>
  </si>
  <si>
    <t>316.42°</t>
  </si>
  <si>
    <r>
      <t>2013 KY</t>
    </r>
    <r>
      <rPr>
        <vertAlign val="subscript"/>
        <sz val="10"/>
        <color theme="1"/>
        <rFont val="Aptos Narrow"/>
        <family val="2"/>
        <scheme val="minor"/>
      </rPr>
      <t>18</t>
    </r>
  </si>
  <si>
    <t>30.059 AU</t>
  </si>
  <si>
    <t>6.671°</t>
  </si>
  <si>
    <t>272.741°</t>
  </si>
  <si>
    <t>84.424°</t>
  </si>
  <si>
    <t>290.781°</t>
  </si>
  <si>
    <r>
      <t>2015 VU</t>
    </r>
    <r>
      <rPr>
        <vertAlign val="subscript"/>
        <sz val="10"/>
        <color theme="1"/>
        <rFont val="Aptos Narrow"/>
        <family val="2"/>
        <scheme val="minor"/>
      </rPr>
      <t>207</t>
    </r>
  </si>
  <si>
    <t>30.241 AU</t>
  </si>
  <si>
    <t>38.902°</t>
  </si>
  <si>
    <t>30.626°</t>
  </si>
  <si>
    <t>114.214°</t>
  </si>
  <si>
    <t>258.698°</t>
  </si>
  <si>
    <r>
      <t>2014 QO</t>
    </r>
    <r>
      <rPr>
        <vertAlign val="subscript"/>
        <sz val="10"/>
        <color theme="1"/>
        <rFont val="Aptos Narrow"/>
        <family val="2"/>
        <scheme val="minor"/>
      </rPr>
      <t>441</t>
    </r>
  </si>
  <si>
    <t>30.01 AU</t>
  </si>
  <si>
    <t>18.8°</t>
  </si>
  <si>
    <t>107°</t>
  </si>
  <si>
    <t>170.4°</t>
  </si>
  <si>
    <r>
      <t>2014 RO</t>
    </r>
    <r>
      <rPr>
        <vertAlign val="subscript"/>
        <sz val="10"/>
        <color theme="1"/>
        <rFont val="Aptos Narrow"/>
        <family val="2"/>
        <scheme val="minor"/>
      </rPr>
      <t>74</t>
    </r>
  </si>
  <si>
    <t>30.237 AU</t>
  </si>
  <si>
    <t>29.529°</t>
  </si>
  <si>
    <t>118.7°</t>
  </si>
  <si>
    <t>152.416°</t>
  </si>
  <si>
    <t>137.96°</t>
  </si>
  <si>
    <r>
      <t>2014 UU</t>
    </r>
    <r>
      <rPr>
        <vertAlign val="subscript"/>
        <sz val="10"/>
        <color theme="1"/>
        <rFont val="Aptos Narrow"/>
        <family val="2"/>
        <scheme val="minor"/>
      </rPr>
      <t>240</t>
    </r>
  </si>
  <si>
    <t>30.245 AU</t>
  </si>
  <si>
    <t>35.678°</t>
  </si>
  <si>
    <t>65.96°</t>
  </si>
  <si>
    <t>82.059°</t>
  </si>
  <si>
    <t>266.338°</t>
  </si>
  <si>
    <r>
      <t>2013 RC</t>
    </r>
    <r>
      <rPr>
        <vertAlign val="subscript"/>
        <sz val="10"/>
        <color theme="1"/>
        <rFont val="Aptos Narrow"/>
        <family val="2"/>
        <scheme val="minor"/>
      </rPr>
      <t>158</t>
    </r>
  </si>
  <si>
    <t>30.256 AU</t>
  </si>
  <si>
    <t>7.438°</t>
  </si>
  <si>
    <t>79.988°</t>
  </si>
  <si>
    <t>81.629°</t>
  </si>
  <si>
    <t>243.222°</t>
  </si>
  <si>
    <r>
      <t>2014 SC</t>
    </r>
    <r>
      <rPr>
        <vertAlign val="subscript"/>
        <sz val="10"/>
        <color theme="1"/>
        <rFont val="Aptos Narrow"/>
        <family val="2"/>
        <scheme val="minor"/>
      </rPr>
      <t>374</t>
    </r>
  </si>
  <si>
    <t>30.263 AU</t>
  </si>
  <si>
    <t>33.699°</t>
  </si>
  <si>
    <t>43.941°</t>
  </si>
  <si>
    <t>176.192°</t>
  </si>
  <si>
    <t>196.136°</t>
  </si>
  <si>
    <r>
      <t>2010 TT</t>
    </r>
    <r>
      <rPr>
        <vertAlign val="subscript"/>
        <sz val="10"/>
        <color theme="1"/>
        <rFont val="Aptos Narrow"/>
        <family val="2"/>
        <scheme val="minor"/>
      </rPr>
      <t>191</t>
    </r>
  </si>
  <si>
    <t>30.275 AU</t>
  </si>
  <si>
    <t>4.263°</t>
  </si>
  <si>
    <t>8.261°</t>
  </si>
  <si>
    <t>249.249°</t>
  </si>
  <si>
    <t>183.212°</t>
  </si>
  <si>
    <r>
      <t>2013 RL</t>
    </r>
    <r>
      <rPr>
        <vertAlign val="subscript"/>
        <sz val="10"/>
        <color theme="1"/>
        <rFont val="Aptos Narrow"/>
        <family val="2"/>
        <scheme val="minor"/>
      </rPr>
      <t>124</t>
    </r>
  </si>
  <si>
    <t>30.285 AU</t>
  </si>
  <si>
    <t>10.13°</t>
  </si>
  <si>
    <t>243.861°</t>
  </si>
  <si>
    <t>166.833°</t>
  </si>
  <si>
    <t>354.863°</t>
  </si>
  <si>
    <r>
      <t>2013 VX</t>
    </r>
    <r>
      <rPr>
        <vertAlign val="subscript"/>
        <sz val="10"/>
        <color theme="1"/>
        <rFont val="Aptos Narrow"/>
        <family val="2"/>
        <scheme val="minor"/>
      </rPr>
      <t>30</t>
    </r>
  </si>
  <si>
    <t>30.306 AU</t>
  </si>
  <si>
    <t>31.221°</t>
  </si>
  <si>
    <t>216.603°</t>
  </si>
  <si>
    <t>192.462°</t>
  </si>
  <si>
    <t>10.907°</t>
  </si>
  <si>
    <r>
      <t>2015 VW</t>
    </r>
    <r>
      <rPr>
        <vertAlign val="subscript"/>
        <sz val="10"/>
        <color theme="1"/>
        <rFont val="Aptos Narrow"/>
        <family val="2"/>
        <scheme val="minor"/>
      </rPr>
      <t>165</t>
    </r>
  </si>
  <si>
    <t>30.31 AU</t>
  </si>
  <si>
    <t>4.988°</t>
  </si>
  <si>
    <t>78.941°</t>
  </si>
  <si>
    <t>295.885°</t>
  </si>
  <si>
    <r>
      <t>2013 TZ</t>
    </r>
    <r>
      <rPr>
        <vertAlign val="subscript"/>
        <sz val="10"/>
        <color theme="1"/>
        <rFont val="Aptos Narrow"/>
        <family val="2"/>
        <scheme val="minor"/>
      </rPr>
      <t>187</t>
    </r>
  </si>
  <si>
    <t>30.336 AU</t>
  </si>
  <si>
    <t>13.152°</t>
  </si>
  <si>
    <t>353.37°</t>
  </si>
  <si>
    <t>155.535°</t>
  </si>
  <si>
    <t>266.43°</t>
  </si>
  <si>
    <r>
      <t>2014 YB</t>
    </r>
    <r>
      <rPr>
        <vertAlign val="subscript"/>
        <sz val="10"/>
        <color theme="1"/>
        <rFont val="Aptos Narrow"/>
        <family val="2"/>
        <scheme val="minor"/>
      </rPr>
      <t>92</t>
    </r>
  </si>
  <si>
    <t>30.353 AU</t>
  </si>
  <si>
    <t>30.773°</t>
  </si>
  <si>
    <t>43.174°</t>
  </si>
  <si>
    <t>101.057°</t>
  </si>
  <si>
    <t>273.017°</t>
  </si>
  <si>
    <r>
      <t>2012 UD</t>
    </r>
    <r>
      <rPr>
        <vertAlign val="subscript"/>
        <sz val="10"/>
        <color theme="1"/>
        <rFont val="Aptos Narrow"/>
        <family val="2"/>
        <scheme val="minor"/>
      </rPr>
      <t>185</t>
    </r>
  </si>
  <si>
    <t>30.382 AU</t>
  </si>
  <si>
    <t>28.227°</t>
  </si>
  <si>
    <t>353.854°</t>
  </si>
  <si>
    <t>246.217°</t>
  </si>
  <si>
    <t>182.986°</t>
  </si>
  <si>
    <r>
      <t>2010 KR</t>
    </r>
    <r>
      <rPr>
        <vertAlign val="subscript"/>
        <sz val="10"/>
        <color theme="1"/>
        <rFont val="Aptos Narrow"/>
        <family val="2"/>
        <scheme val="minor"/>
      </rPr>
      <t>59</t>
    </r>
  </si>
  <si>
    <t>30.279 AU</t>
  </si>
  <si>
    <t>19.638°</t>
  </si>
  <si>
    <t>108.73°</t>
  </si>
  <si>
    <t>46.808°</t>
  </si>
  <si>
    <t>14.936°</t>
  </si>
  <si>
    <r>
      <t>2013 SF</t>
    </r>
    <r>
      <rPr>
        <vertAlign val="subscript"/>
        <sz val="10"/>
        <color theme="1"/>
        <rFont val="Aptos Narrow"/>
        <family val="2"/>
        <scheme val="minor"/>
      </rPr>
      <t>106</t>
    </r>
  </si>
  <si>
    <t>77.004 AU</t>
  </si>
  <si>
    <t>39.83°</t>
  </si>
  <si>
    <t>258.13°</t>
  </si>
  <si>
    <t>99 AU</t>
  </si>
  <si>
    <t>36.35°</t>
  </si>
  <si>
    <t>351.1°</t>
  </si>
  <si>
    <t>143.06°</t>
  </si>
  <si>
    <t>321°</t>
  </si>
  <si>
    <r>
      <t>2011 FX</t>
    </r>
    <r>
      <rPr>
        <vertAlign val="subscript"/>
        <sz val="10"/>
        <color theme="1"/>
        <rFont val="Aptos Narrow"/>
        <family val="2"/>
        <scheme val="minor"/>
      </rPr>
      <t>62</t>
    </r>
  </si>
  <si>
    <t>47.532 AU</t>
  </si>
  <si>
    <t>18.29°</t>
  </si>
  <si>
    <t>232.63°</t>
  </si>
  <si>
    <t>288.26°</t>
  </si>
  <si>
    <t>20.92°</t>
  </si>
  <si>
    <r>
      <t>2011 GN</t>
    </r>
    <r>
      <rPr>
        <vertAlign val="subscript"/>
        <sz val="10"/>
        <color theme="1"/>
        <rFont val="Aptos Narrow"/>
        <family val="2"/>
        <scheme val="minor"/>
      </rPr>
      <t>27</t>
    </r>
  </si>
  <si>
    <t>15.755 AU</t>
  </si>
  <si>
    <t>153.418°</t>
  </si>
  <si>
    <t>32.702°</t>
  </si>
  <si>
    <t>47.804°</t>
  </si>
  <si>
    <t>178.622°</t>
  </si>
  <si>
    <r>
      <t>2007 RH</t>
    </r>
    <r>
      <rPr>
        <vertAlign val="subscript"/>
        <sz val="10"/>
        <color theme="1"/>
        <rFont val="Aptos Narrow"/>
        <family val="2"/>
        <scheme val="minor"/>
      </rPr>
      <t>283</t>
    </r>
  </si>
  <si>
    <t>15.975 AU</t>
  </si>
  <si>
    <t>21.321°</t>
  </si>
  <si>
    <t>329.357°</t>
  </si>
  <si>
    <t>286.508°</t>
  </si>
  <si>
    <t>184.883°</t>
  </si>
  <si>
    <r>
      <t>2015 DB</t>
    </r>
    <r>
      <rPr>
        <vertAlign val="subscript"/>
        <sz val="10"/>
        <color theme="1"/>
        <rFont val="Aptos Narrow"/>
        <family val="2"/>
        <scheme val="minor"/>
      </rPr>
      <t>216</t>
    </r>
  </si>
  <si>
    <t>12.944 AU</t>
  </si>
  <si>
    <t>37.709°</t>
  </si>
  <si>
    <t>237.99°</t>
  </si>
  <si>
    <t>6.28°</t>
  </si>
  <si>
    <t>314.27°</t>
  </si>
  <si>
    <r>
      <t>2007 RG</t>
    </r>
    <r>
      <rPr>
        <vertAlign val="subscript"/>
        <sz val="10"/>
        <color theme="1"/>
        <rFont val="Aptos Narrow"/>
        <family val="2"/>
        <scheme val="minor"/>
      </rPr>
      <t>283</t>
    </r>
  </si>
  <si>
    <t>20.026 AU</t>
  </si>
  <si>
    <t>28.746°</t>
  </si>
  <si>
    <t>149.297°</t>
  </si>
  <si>
    <t>311.829°</t>
  </si>
  <si>
    <t>7.336°</t>
  </si>
  <si>
    <r>
      <t>2003 QC</t>
    </r>
    <r>
      <rPr>
        <vertAlign val="subscript"/>
        <sz val="10"/>
        <color theme="1"/>
        <rFont val="Aptos Narrow"/>
        <family val="2"/>
        <scheme val="minor"/>
      </rPr>
      <t>112</t>
    </r>
  </si>
  <si>
    <t>20.601 AU</t>
  </si>
  <si>
    <t>18.229°</t>
  </si>
  <si>
    <t>21.378°</t>
  </si>
  <si>
    <t>158.614°</t>
  </si>
  <si>
    <t>235.412°</t>
  </si>
  <si>
    <r>
      <t>2016 QF</t>
    </r>
    <r>
      <rPr>
        <vertAlign val="subscript"/>
        <sz val="10"/>
        <color theme="1"/>
        <rFont val="Aptos Narrow"/>
        <family val="2"/>
        <scheme val="minor"/>
      </rPr>
      <t>86</t>
    </r>
  </si>
  <si>
    <t>21.16 AU</t>
  </si>
  <si>
    <t>13.656°</t>
  </si>
  <si>
    <t>226.307°</t>
  </si>
  <si>
    <t>275.094°</t>
  </si>
  <si>
    <t>229.904°</t>
  </si>
  <si>
    <r>
      <t>2014 JG</t>
    </r>
    <r>
      <rPr>
        <vertAlign val="subscript"/>
        <sz val="10"/>
        <color theme="1"/>
        <rFont val="Aptos Narrow"/>
        <family val="2"/>
        <scheme val="minor"/>
      </rPr>
      <t>80</t>
    </r>
  </si>
  <si>
    <t>21.21 AU</t>
  </si>
  <si>
    <t>32.824°</t>
  </si>
  <si>
    <t>324.797°</t>
  </si>
  <si>
    <t>94.625°</t>
  </si>
  <si>
    <t>210.272°</t>
  </si>
  <si>
    <t>21.316 AU</t>
  </si>
  <si>
    <t>24.281°</t>
  </si>
  <si>
    <t>95.808°</t>
  </si>
  <si>
    <t>8.513°</t>
  </si>
  <si>
    <t>318.147°</t>
  </si>
  <si>
    <r>
      <t>2010 PL</t>
    </r>
    <r>
      <rPr>
        <vertAlign val="subscript"/>
        <sz val="10"/>
        <color theme="1"/>
        <rFont val="Aptos Narrow"/>
        <family val="2"/>
        <scheme val="minor"/>
      </rPr>
      <t>66</t>
    </r>
  </si>
  <si>
    <r>
      <t>2015 BJ</t>
    </r>
    <r>
      <rPr>
        <vertAlign val="subscript"/>
        <sz val="10"/>
        <color theme="1"/>
        <rFont val="Aptos Narrow"/>
        <family val="2"/>
        <scheme val="minor"/>
      </rPr>
      <t>518</t>
    </r>
  </si>
  <si>
    <t>21.428 AU</t>
  </si>
  <si>
    <t>6.426°</t>
  </si>
  <si>
    <t>325.851°</t>
  </si>
  <si>
    <t>328.457°</t>
  </si>
  <si>
    <t>299.573°</t>
  </si>
  <si>
    <r>
      <t>2010 UU</t>
    </r>
    <r>
      <rPr>
        <vertAlign val="subscript"/>
        <sz val="10"/>
        <color theme="1"/>
        <rFont val="Aptos Narrow"/>
        <family val="2"/>
        <scheme val="minor"/>
      </rPr>
      <t>110</t>
    </r>
  </si>
  <si>
    <t>22.519 AU</t>
  </si>
  <si>
    <t>26.796°</t>
  </si>
  <si>
    <t>10.948°</t>
  </si>
  <si>
    <t>15.532°</t>
  </si>
  <si>
    <t>100.612°</t>
  </si>
  <si>
    <r>
      <t>2010 FB</t>
    </r>
    <r>
      <rPr>
        <vertAlign val="subscript"/>
        <sz val="10"/>
        <color theme="1"/>
        <rFont val="Aptos Narrow"/>
        <family val="2"/>
        <scheme val="minor"/>
      </rPr>
      <t>49</t>
    </r>
  </si>
  <si>
    <t>22.448 AU</t>
  </si>
  <si>
    <t>24.423°</t>
  </si>
  <si>
    <t>172.078°</t>
  </si>
  <si>
    <t>184.907°</t>
  </si>
  <si>
    <t>233.187°</t>
  </si>
  <si>
    <r>
      <t>2010 LO</t>
    </r>
    <r>
      <rPr>
        <vertAlign val="subscript"/>
        <sz val="10"/>
        <color theme="1"/>
        <rFont val="Aptos Narrow"/>
        <family val="2"/>
        <scheme val="minor"/>
      </rPr>
      <t>33</t>
    </r>
  </si>
  <si>
    <t>22.947 AU</t>
  </si>
  <si>
    <t>17.864°</t>
  </si>
  <si>
    <t>81.7°</t>
  </si>
  <si>
    <t>241.205°</t>
  </si>
  <si>
    <t>356.591°</t>
  </si>
  <si>
    <r>
      <t>2014 FB</t>
    </r>
    <r>
      <rPr>
        <vertAlign val="subscript"/>
        <sz val="10"/>
        <color theme="1"/>
        <rFont val="Aptos Narrow"/>
        <family val="2"/>
        <scheme val="minor"/>
      </rPr>
      <t>72</t>
    </r>
  </si>
  <si>
    <t>23.723 AU</t>
  </si>
  <si>
    <t>17.045°</t>
  </si>
  <si>
    <t>283.482°</t>
  </si>
  <si>
    <t>245.256°</t>
  </si>
  <si>
    <t>49.389°</t>
  </si>
  <si>
    <r>
      <t>2013 HX</t>
    </r>
    <r>
      <rPr>
        <vertAlign val="subscript"/>
        <sz val="10"/>
        <color theme="1"/>
        <rFont val="Aptos Narrow"/>
        <family val="2"/>
        <scheme val="minor"/>
      </rPr>
      <t>156</t>
    </r>
  </si>
  <si>
    <t>24.338 AU</t>
  </si>
  <si>
    <t>14.913°</t>
  </si>
  <si>
    <t>260.477°</t>
  </si>
  <si>
    <t>137.188°</t>
  </si>
  <si>
    <t>220.009°</t>
  </si>
  <si>
    <r>
      <t>2013 MZ</t>
    </r>
    <r>
      <rPr>
        <vertAlign val="subscript"/>
        <sz val="10"/>
        <color theme="1"/>
        <rFont val="Aptos Narrow"/>
        <family val="2"/>
        <scheme val="minor"/>
      </rPr>
      <t>11</t>
    </r>
  </si>
  <si>
    <t>24.395 AU</t>
  </si>
  <si>
    <t>6.363°</t>
  </si>
  <si>
    <t>19.577°</t>
  </si>
  <si>
    <t>19.92°</t>
  </si>
  <si>
    <t>336.26°</t>
  </si>
  <si>
    <r>
      <t>2005 RL</t>
    </r>
    <r>
      <rPr>
        <vertAlign val="subscript"/>
        <sz val="10"/>
        <color theme="1"/>
        <rFont val="Aptos Narrow"/>
        <family val="2"/>
        <scheme val="minor"/>
      </rPr>
      <t>43</t>
    </r>
  </si>
  <si>
    <t>24.662 AU</t>
  </si>
  <si>
    <t>12.257°</t>
  </si>
  <si>
    <t>178.411°</t>
  </si>
  <si>
    <t>162.501°</t>
  </si>
  <si>
    <t>90.602°</t>
  </si>
  <si>
    <r>
      <t>2010 TV</t>
    </r>
    <r>
      <rPr>
        <vertAlign val="subscript"/>
        <sz val="10"/>
        <color theme="1"/>
        <rFont val="Aptos Narrow"/>
        <family val="2"/>
        <scheme val="minor"/>
      </rPr>
      <t>191</t>
    </r>
  </si>
  <si>
    <t>24.884 AU</t>
  </si>
  <si>
    <t>11.497°</t>
  </si>
  <si>
    <t>40.667°</t>
  </si>
  <si>
    <t>200.392°</t>
  </si>
  <si>
    <t>208.072°</t>
  </si>
  <si>
    <r>
      <t>2010 PC</t>
    </r>
    <r>
      <rPr>
        <vertAlign val="subscript"/>
        <sz val="10"/>
        <color theme="1"/>
        <rFont val="Aptos Narrow"/>
        <family val="2"/>
        <scheme val="minor"/>
      </rPr>
      <t>88</t>
    </r>
  </si>
  <si>
    <t>25.979 AU</t>
  </si>
  <si>
    <t>18.017°</t>
  </si>
  <si>
    <t>144.667°</t>
  </si>
  <si>
    <t>131.645°</t>
  </si>
  <si>
    <t>125.776°</t>
  </si>
  <si>
    <r>
      <t>2010 CD</t>
    </r>
    <r>
      <rPr>
        <vertAlign val="subscript"/>
        <sz val="10"/>
        <color theme="1"/>
        <rFont val="Aptos Narrow"/>
        <family val="2"/>
        <scheme val="minor"/>
      </rPr>
      <t>270</t>
    </r>
  </si>
  <si>
    <t>27.348 AU</t>
  </si>
  <si>
    <t>19.557°</t>
  </si>
  <si>
    <t>80.519°</t>
  </si>
  <si>
    <t>123.594°</t>
  </si>
  <si>
    <t>347.808°</t>
  </si>
  <si>
    <r>
      <t>2015 BH</t>
    </r>
    <r>
      <rPr>
        <vertAlign val="subscript"/>
        <sz val="10"/>
        <color theme="1"/>
        <rFont val="Aptos Narrow"/>
        <family val="2"/>
        <scheme val="minor"/>
      </rPr>
      <t>518</t>
    </r>
  </si>
  <si>
    <t>27.745 AU</t>
  </si>
  <si>
    <t>10.953°</t>
  </si>
  <si>
    <t>259.63°</t>
  </si>
  <si>
    <t>256.082°</t>
  </si>
  <si>
    <t>30.004°</t>
  </si>
  <si>
    <r>
      <t>2010 GX</t>
    </r>
    <r>
      <rPr>
        <vertAlign val="subscript"/>
        <sz val="10"/>
        <color theme="1"/>
        <rFont val="Aptos Narrow"/>
        <family val="2"/>
        <scheme val="minor"/>
      </rPr>
      <t>34</t>
    </r>
  </si>
  <si>
    <t>28.721 AU</t>
  </si>
  <si>
    <t>11.56°</t>
  </si>
  <si>
    <t>356.89°</t>
  </si>
  <si>
    <t>279.219°</t>
  </si>
  <si>
    <t>12.231°</t>
  </si>
  <si>
    <r>
      <t>2012 VU</t>
    </r>
    <r>
      <rPr>
        <vertAlign val="subscript"/>
        <sz val="10"/>
        <color theme="1"/>
        <rFont val="Aptos Narrow"/>
        <family val="2"/>
        <scheme val="minor"/>
      </rPr>
      <t>85</t>
    </r>
  </si>
  <si>
    <t>29.398 AU</t>
  </si>
  <si>
    <t>264.403°</t>
  </si>
  <si>
    <t>15.043°</t>
  </si>
  <si>
    <t>252.5°</t>
  </si>
  <si>
    <t>332.71°</t>
  </si>
  <si>
    <r>
      <t>2009 ME</t>
    </r>
    <r>
      <rPr>
        <vertAlign val="subscript"/>
        <sz val="10"/>
        <color theme="1"/>
        <rFont val="Aptos Narrow"/>
        <family val="2"/>
        <scheme val="minor"/>
      </rPr>
      <t>10</t>
    </r>
  </si>
  <si>
    <t>29.147 AU</t>
  </si>
  <si>
    <t>14.5°</t>
  </si>
  <si>
    <t>347.548°</t>
  </si>
  <si>
    <t>345.371°</t>
  </si>
  <si>
    <t>359.803°</t>
  </si>
  <si>
    <r>
      <t>2015 BE</t>
    </r>
    <r>
      <rPr>
        <vertAlign val="subscript"/>
        <sz val="10"/>
        <color theme="1"/>
        <rFont val="Aptos Narrow"/>
        <family val="2"/>
        <scheme val="minor"/>
      </rPr>
      <t>518</t>
    </r>
  </si>
  <si>
    <t>29.514 AU</t>
  </si>
  <si>
    <t>16.563°</t>
  </si>
  <si>
    <t>201.948°</t>
  </si>
  <si>
    <t>8.582°</t>
  </si>
  <si>
    <t>353.717°</t>
  </si>
  <si>
    <r>
      <t>2010 DF</t>
    </r>
    <r>
      <rPr>
        <vertAlign val="subscript"/>
        <sz val="10"/>
        <color theme="1"/>
        <rFont val="Aptos Narrow"/>
        <family val="2"/>
        <scheme val="minor"/>
      </rPr>
      <t>106</t>
    </r>
  </si>
  <si>
    <t>30.395 AU</t>
  </si>
  <si>
    <t>28.752°</t>
  </si>
  <si>
    <t>178.276°</t>
  </si>
  <si>
    <t>15.736°</t>
  </si>
  <si>
    <t>351.658°</t>
  </si>
  <si>
    <r>
      <t>2004 MO</t>
    </r>
    <r>
      <rPr>
        <vertAlign val="subscript"/>
        <sz val="10"/>
        <color theme="1"/>
        <rFont val="Aptos Narrow"/>
        <family val="2"/>
        <scheme val="minor"/>
      </rPr>
      <t>10</t>
    </r>
  </si>
  <si>
    <t>43.174 AU</t>
  </si>
  <si>
    <t>7.188°</t>
  </si>
  <si>
    <t>276.583°</t>
  </si>
  <si>
    <t>249.461°</t>
  </si>
  <si>
    <t>52.884°</t>
  </si>
  <si>
    <r>
      <t>2016 AE</t>
    </r>
    <r>
      <rPr>
        <vertAlign val="subscript"/>
        <sz val="10"/>
        <color theme="1"/>
        <rFont val="Aptos Narrow"/>
        <family val="2"/>
        <scheme val="minor"/>
      </rPr>
      <t>193</t>
    </r>
  </si>
  <si>
    <t>31.078 AU</t>
  </si>
  <si>
    <t>10.25°</t>
  </si>
  <si>
    <t>171.267°</t>
  </si>
  <si>
    <t>292.286°</t>
  </si>
  <si>
    <t>21.866°</t>
  </si>
  <si>
    <r>
      <t>2013 RA</t>
    </r>
    <r>
      <rPr>
        <vertAlign val="subscript"/>
        <sz val="10"/>
        <color theme="1"/>
        <rFont val="Aptos Narrow"/>
        <family val="2"/>
        <scheme val="minor"/>
      </rPr>
      <t>156</t>
    </r>
  </si>
  <si>
    <t>31.154 AU</t>
  </si>
  <si>
    <t>13.047°</t>
  </si>
  <si>
    <t>158.704°</t>
  </si>
  <si>
    <t>35.931°</t>
  </si>
  <si>
    <t>202.103°</t>
  </si>
  <si>
    <r>
      <t>2002 PN</t>
    </r>
    <r>
      <rPr>
        <vertAlign val="subscript"/>
        <sz val="10"/>
        <color theme="1"/>
        <rFont val="Aptos Narrow"/>
        <family val="2"/>
        <scheme val="minor"/>
      </rPr>
      <t>34</t>
    </r>
  </si>
  <si>
    <t>31.122 AU</t>
  </si>
  <si>
    <t>16.62°</t>
  </si>
  <si>
    <t>358.92°</t>
  </si>
  <si>
    <t>299.227°</t>
  </si>
  <si>
    <t>47.517°</t>
  </si>
  <si>
    <r>
      <t>2015 GV</t>
    </r>
    <r>
      <rPr>
        <vertAlign val="subscript"/>
        <sz val="10"/>
        <color theme="1"/>
        <rFont val="Aptos Narrow"/>
        <family val="2"/>
        <scheme val="minor"/>
      </rPr>
      <t>55</t>
    </r>
  </si>
  <si>
    <t>31.294 AU</t>
  </si>
  <si>
    <t>28.365°</t>
  </si>
  <si>
    <t>234.441°</t>
  </si>
  <si>
    <t>206.675°</t>
  </si>
  <si>
    <t>113.227°</t>
  </si>
  <si>
    <r>
      <t>2013 EH</t>
    </r>
    <r>
      <rPr>
        <vertAlign val="subscript"/>
        <sz val="10"/>
        <color theme="1"/>
        <rFont val="Aptos Narrow"/>
        <family val="2"/>
        <scheme val="minor"/>
      </rPr>
      <t>154</t>
    </r>
  </si>
  <si>
    <t>31.673 AU</t>
  </si>
  <si>
    <t>8.18°</t>
  </si>
  <si>
    <t>354.949°</t>
  </si>
  <si>
    <t>267.362°</t>
  </si>
  <si>
    <t>324.608°</t>
  </si>
  <si>
    <r>
      <t>2010 JG</t>
    </r>
    <r>
      <rPr>
        <vertAlign val="subscript"/>
        <sz val="10"/>
        <color theme="1"/>
        <rFont val="Aptos Narrow"/>
        <family val="2"/>
        <scheme val="minor"/>
      </rPr>
      <t>210</t>
    </r>
  </si>
  <si>
    <t>31.625 AU</t>
  </si>
  <si>
    <t>26.981°</t>
  </si>
  <si>
    <t>170.785°</t>
  </si>
  <si>
    <t>131.433°</t>
  </si>
  <si>
    <t>348.56°</t>
  </si>
  <si>
    <r>
      <t>2002 FY</t>
    </r>
    <r>
      <rPr>
        <vertAlign val="subscript"/>
        <sz val="10"/>
        <color theme="1"/>
        <rFont val="Aptos Narrow"/>
        <family val="2"/>
        <scheme val="minor"/>
      </rPr>
      <t>36</t>
    </r>
  </si>
  <si>
    <t>31.844 AU</t>
  </si>
  <si>
    <t>5.355°</t>
  </si>
  <si>
    <t>255.556°</t>
  </si>
  <si>
    <t>332.665°</t>
  </si>
  <si>
    <t>10.326°</t>
  </si>
  <si>
    <r>
      <t>2014 MX</t>
    </r>
    <r>
      <rPr>
        <vertAlign val="subscript"/>
        <sz val="10"/>
        <color theme="1"/>
        <rFont val="Aptos Narrow"/>
        <family val="2"/>
        <scheme val="minor"/>
      </rPr>
      <t>69</t>
    </r>
  </si>
  <si>
    <t>32.244 AU</t>
  </si>
  <si>
    <t>10.869°</t>
  </si>
  <si>
    <t>69.984°</t>
  </si>
  <si>
    <t>178.418°</t>
  </si>
  <si>
    <t>72.196°</t>
  </si>
  <si>
    <r>
      <t>2015 SP</t>
    </r>
    <r>
      <rPr>
        <vertAlign val="subscript"/>
        <sz val="10"/>
        <color theme="1"/>
        <rFont val="Aptos Narrow"/>
        <family val="2"/>
        <scheme val="minor"/>
      </rPr>
      <t>21</t>
    </r>
  </si>
  <si>
    <t>32.442 AU</t>
  </si>
  <si>
    <t>38.029°</t>
  </si>
  <si>
    <t>154.639°</t>
  </si>
  <si>
    <t>22.256°</t>
  </si>
  <si>
    <t>179.482°</t>
  </si>
  <si>
    <r>
      <t>2003 UR</t>
    </r>
    <r>
      <rPr>
        <vertAlign val="subscript"/>
        <sz val="10"/>
        <color theme="1"/>
        <rFont val="Aptos Narrow"/>
        <family val="2"/>
        <scheme val="minor"/>
      </rPr>
      <t>292</t>
    </r>
  </si>
  <si>
    <t>32.574 AU</t>
  </si>
  <si>
    <t>2.7°</t>
  </si>
  <si>
    <t>248.3°</t>
  </si>
  <si>
    <t>358.4°</t>
  </si>
  <si>
    <r>
      <t>1999 OX</t>
    </r>
    <r>
      <rPr>
        <vertAlign val="subscript"/>
        <sz val="10"/>
        <color theme="1"/>
        <rFont val="Aptos Narrow"/>
        <family val="2"/>
        <scheme val="minor"/>
      </rPr>
      <t>3</t>
    </r>
  </si>
  <si>
    <t>32.083 AU</t>
  </si>
  <si>
    <t>2.625°</t>
  </si>
  <si>
    <t>144.53°</t>
  </si>
  <si>
    <t>259.1°</t>
  </si>
  <si>
    <t>347.21°</t>
  </si>
  <si>
    <r>
      <t>2013 RD</t>
    </r>
    <r>
      <rPr>
        <vertAlign val="subscript"/>
        <sz val="10"/>
        <color theme="1"/>
        <rFont val="Aptos Narrow"/>
        <family val="2"/>
        <scheme val="minor"/>
      </rPr>
      <t>109</t>
    </r>
  </si>
  <si>
    <t>32.605 AU</t>
  </si>
  <si>
    <t>11.1°</t>
  </si>
  <si>
    <t>335.923°</t>
  </si>
  <si>
    <t>16.679°</t>
  </si>
  <si>
    <t>29.946°</t>
  </si>
  <si>
    <r>
      <t>2004 LB</t>
    </r>
    <r>
      <rPr>
        <vertAlign val="subscript"/>
        <sz val="10"/>
        <color theme="1"/>
        <rFont val="Aptos Narrow"/>
        <family val="2"/>
        <scheme val="minor"/>
      </rPr>
      <t>33</t>
    </r>
  </si>
  <si>
    <t>33.087 AU</t>
  </si>
  <si>
    <t>4.519°</t>
  </si>
  <si>
    <t>204.596°</t>
  </si>
  <si>
    <t>243.277°</t>
  </si>
  <si>
    <t>179.681°</t>
  </si>
  <si>
    <r>
      <t>2016 QB</t>
    </r>
    <r>
      <rPr>
        <vertAlign val="subscript"/>
        <sz val="10"/>
        <color theme="1"/>
        <rFont val="Aptos Narrow"/>
        <family val="2"/>
        <scheme val="minor"/>
      </rPr>
      <t>135</t>
    </r>
  </si>
  <si>
    <t>33.346 AU</t>
  </si>
  <si>
    <t>14.958°</t>
  </si>
  <si>
    <t>322.203°</t>
  </si>
  <si>
    <t>192.138°</t>
  </si>
  <si>
    <t>228.557°</t>
  </si>
  <si>
    <r>
      <t>2013 TS</t>
    </r>
    <r>
      <rPr>
        <vertAlign val="subscript"/>
        <sz val="10"/>
        <color theme="1"/>
        <rFont val="Aptos Narrow"/>
        <family val="2"/>
        <scheme val="minor"/>
      </rPr>
      <t>227</t>
    </r>
  </si>
  <si>
    <t>33.84 AU</t>
  </si>
  <si>
    <t>24.291°</t>
  </si>
  <si>
    <t>327.285°</t>
  </si>
  <si>
    <t>180.611°</t>
  </si>
  <si>
    <t>294.746°</t>
  </si>
  <si>
    <r>
      <t>2004 MW</t>
    </r>
    <r>
      <rPr>
        <vertAlign val="subscript"/>
        <sz val="10"/>
        <color theme="1"/>
        <rFont val="Aptos Narrow"/>
        <family val="2"/>
        <scheme val="minor"/>
      </rPr>
      <t>8</t>
    </r>
  </si>
  <si>
    <t>33.679 AU</t>
  </si>
  <si>
    <t>8.208°</t>
  </si>
  <si>
    <t>94.286°</t>
  </si>
  <si>
    <t>289.617°</t>
  </si>
  <si>
    <t>337.739°</t>
  </si>
  <si>
    <r>
      <t>2004 TE</t>
    </r>
    <r>
      <rPr>
        <vertAlign val="subscript"/>
        <sz val="10"/>
        <color theme="1"/>
        <rFont val="Aptos Narrow"/>
        <family val="2"/>
        <scheme val="minor"/>
      </rPr>
      <t>282</t>
    </r>
  </si>
  <si>
    <t>34.676 AU</t>
  </si>
  <si>
    <t>20.646°</t>
  </si>
  <si>
    <t>78.132°</t>
  </si>
  <si>
    <t>45.7°</t>
  </si>
  <si>
    <t>339.23°</t>
  </si>
  <si>
    <r>
      <t>2007 NC</t>
    </r>
    <r>
      <rPr>
        <vertAlign val="subscript"/>
        <sz val="10"/>
        <color theme="1"/>
        <rFont val="Aptos Narrow"/>
        <family val="2"/>
        <scheme val="minor"/>
      </rPr>
      <t>7</t>
    </r>
  </si>
  <si>
    <t>34.16 AU</t>
  </si>
  <si>
    <t>6.302°</t>
  </si>
  <si>
    <t>286.77°</t>
  </si>
  <si>
    <t>324.12°</t>
  </si>
  <si>
    <t>37.817°</t>
  </si>
  <si>
    <r>
      <t>2002 GG</t>
    </r>
    <r>
      <rPr>
        <vertAlign val="subscript"/>
        <sz val="10"/>
        <color theme="1"/>
        <rFont val="Aptos Narrow"/>
        <family val="2"/>
        <scheme val="minor"/>
      </rPr>
      <t>166</t>
    </r>
  </si>
  <si>
    <t>34.306 AU</t>
  </si>
  <si>
    <t>7.716°</t>
  </si>
  <si>
    <t>275.305°</t>
  </si>
  <si>
    <t>33.037°</t>
  </si>
  <si>
    <t>352.017°</t>
  </si>
  <si>
    <r>
      <t>2013 FJ</t>
    </r>
    <r>
      <rPr>
        <vertAlign val="subscript"/>
        <sz val="10"/>
        <color theme="1"/>
        <rFont val="Aptos Narrow"/>
        <family val="2"/>
        <scheme val="minor"/>
      </rPr>
      <t>28</t>
    </r>
  </si>
  <si>
    <t>34.841 AU</t>
  </si>
  <si>
    <t>21.891°</t>
  </si>
  <si>
    <t>78.96°</t>
  </si>
  <si>
    <t>184.94°</t>
  </si>
  <si>
    <t>333.51°</t>
  </si>
  <si>
    <r>
      <t>2013 FN</t>
    </r>
    <r>
      <rPr>
        <vertAlign val="subscript"/>
        <sz val="10"/>
        <color theme="1"/>
        <rFont val="Aptos Narrow"/>
        <family val="2"/>
        <scheme val="minor"/>
      </rPr>
      <t>28</t>
    </r>
  </si>
  <si>
    <t>35.184 AU</t>
  </si>
  <si>
    <t>8.656°</t>
  </si>
  <si>
    <t>250.437°</t>
  </si>
  <si>
    <t>299.153°</t>
  </si>
  <si>
    <t>12.601°</t>
  </si>
  <si>
    <t>35.604 AU</t>
  </si>
  <si>
    <t>110.154°</t>
  </si>
  <si>
    <t>322.174°</t>
  </si>
  <si>
    <t>243.778°</t>
  </si>
  <si>
    <t>29.487°</t>
  </si>
  <si>
    <r>
      <t>2013 TY</t>
    </r>
    <r>
      <rPr>
        <vertAlign val="subscript"/>
        <sz val="10"/>
        <color theme="1"/>
        <rFont val="Aptos Narrow"/>
        <family val="2"/>
        <scheme val="minor"/>
      </rPr>
      <t>227</t>
    </r>
  </si>
  <si>
    <t>36.249 AU</t>
  </si>
  <si>
    <t>36.427°</t>
  </si>
  <si>
    <t>234.612°</t>
  </si>
  <si>
    <t>97.475°</t>
  </si>
  <si>
    <t>32.418°</t>
  </si>
  <si>
    <r>
      <t>2005 GH</t>
    </r>
    <r>
      <rPr>
        <vertAlign val="subscript"/>
        <sz val="10"/>
        <color theme="1"/>
        <rFont val="Aptos Narrow"/>
        <family val="2"/>
        <scheme val="minor"/>
      </rPr>
      <t>228</t>
    </r>
  </si>
  <si>
    <t>36.619 AU</t>
  </si>
  <si>
    <t>17.146°</t>
  </si>
  <si>
    <t>208.835°</t>
  </si>
  <si>
    <t>311.815°</t>
  </si>
  <si>
    <t>7.542°</t>
  </si>
  <si>
    <r>
      <t>2014 LN</t>
    </r>
    <r>
      <rPr>
        <vertAlign val="subscript"/>
        <sz val="10"/>
        <color theme="1"/>
        <rFont val="Aptos Narrow"/>
        <family val="2"/>
        <scheme val="minor"/>
      </rPr>
      <t>28</t>
    </r>
  </si>
  <si>
    <t>36.549 AU</t>
  </si>
  <si>
    <t>8.695°</t>
  </si>
  <si>
    <t>159.453°</t>
  </si>
  <si>
    <t>197.191°</t>
  </si>
  <si>
    <t>1.737°</t>
  </si>
  <si>
    <r>
      <t>2012 GX</t>
    </r>
    <r>
      <rPr>
        <vertAlign val="subscript"/>
        <sz val="10"/>
        <color theme="1"/>
        <rFont val="Aptos Narrow"/>
        <family val="2"/>
        <scheme val="minor"/>
      </rPr>
      <t>17</t>
    </r>
  </si>
  <si>
    <t>37.385 AU</t>
  </si>
  <si>
    <t>32.54°</t>
  </si>
  <si>
    <t>243.627°</t>
  </si>
  <si>
    <t>209.239°</t>
  </si>
  <si>
    <t>49.289°</t>
  </si>
  <si>
    <r>
      <t>2014 VC</t>
    </r>
    <r>
      <rPr>
        <vertAlign val="subscript"/>
        <sz val="10"/>
        <color theme="1"/>
        <rFont val="Aptos Narrow"/>
        <family val="2"/>
        <scheme val="minor"/>
      </rPr>
      <t>41</t>
    </r>
  </si>
  <si>
    <t>38.048 AU</t>
  </si>
  <si>
    <t>46.484°</t>
  </si>
  <si>
    <t>315.443°</t>
  </si>
  <si>
    <t>97.803°</t>
  </si>
  <si>
    <t>1.034°</t>
  </si>
  <si>
    <r>
      <t>2013 SY</t>
    </r>
    <r>
      <rPr>
        <vertAlign val="subscript"/>
        <sz val="10"/>
        <color theme="1"/>
        <rFont val="Aptos Narrow"/>
        <family val="2"/>
        <scheme val="minor"/>
      </rPr>
      <t>112</t>
    </r>
  </si>
  <si>
    <t>38.282 AU</t>
  </si>
  <si>
    <t>13.463°</t>
  </si>
  <si>
    <t>257.266°</t>
  </si>
  <si>
    <t>343.719°</t>
  </si>
  <si>
    <t>95.106°</t>
  </si>
  <si>
    <r>
      <t>2015 BF</t>
    </r>
    <r>
      <rPr>
        <vertAlign val="subscript"/>
        <sz val="10"/>
        <color theme="1"/>
        <rFont val="Aptos Narrow"/>
        <family val="2"/>
        <scheme val="minor"/>
      </rPr>
      <t>519</t>
    </r>
  </si>
  <si>
    <t>39.091 AU</t>
  </si>
  <si>
    <t>19.187°</t>
  </si>
  <si>
    <t>266.11°</t>
  </si>
  <si>
    <t>290.282°</t>
  </si>
  <si>
    <t>352.873°</t>
  </si>
  <si>
    <r>
      <t>2014 SJ</t>
    </r>
    <r>
      <rPr>
        <vertAlign val="subscript"/>
        <sz val="10"/>
        <color theme="1"/>
        <rFont val="Aptos Narrow"/>
        <family val="2"/>
        <scheme val="minor"/>
      </rPr>
      <t>404</t>
    </r>
  </si>
  <si>
    <t>39.534 AU</t>
  </si>
  <si>
    <t>23.519°</t>
  </si>
  <si>
    <t>309.659°</t>
  </si>
  <si>
    <t>102.315°</t>
  </si>
  <si>
    <t>357.925°</t>
  </si>
  <si>
    <r>
      <t>2013 NL</t>
    </r>
    <r>
      <rPr>
        <vertAlign val="subscript"/>
        <sz val="10"/>
        <color theme="1"/>
        <rFont val="Aptos Narrow"/>
        <family val="2"/>
        <scheme val="minor"/>
      </rPr>
      <t>24</t>
    </r>
  </si>
  <si>
    <t>39.827 AU</t>
  </si>
  <si>
    <t>4.676°</t>
  </si>
  <si>
    <t>290.579°</t>
  </si>
  <si>
    <t>2.012°</t>
  </si>
  <si>
    <t>26.337°</t>
  </si>
  <si>
    <r>
      <t>2004 PY</t>
    </r>
    <r>
      <rPr>
        <vertAlign val="subscript"/>
        <sz val="10"/>
        <color theme="1"/>
        <rFont val="Aptos Narrow"/>
        <family val="2"/>
        <scheme val="minor"/>
      </rPr>
      <t>117</t>
    </r>
  </si>
  <si>
    <t>40.219 AU</t>
  </si>
  <si>
    <t>23.369°</t>
  </si>
  <si>
    <t>153.562°</t>
  </si>
  <si>
    <t>130.022°</t>
  </si>
  <si>
    <t>44.177°</t>
  </si>
  <si>
    <r>
      <t>2003 QZ</t>
    </r>
    <r>
      <rPr>
        <vertAlign val="subscript"/>
        <sz val="10"/>
        <color theme="1"/>
        <rFont val="Aptos Narrow"/>
        <family val="2"/>
        <scheme val="minor"/>
      </rPr>
      <t>91</t>
    </r>
  </si>
  <si>
    <t>41.671 AU</t>
  </si>
  <si>
    <t>34.819°</t>
  </si>
  <si>
    <t>137.833°</t>
  </si>
  <si>
    <t>130.875°</t>
  </si>
  <si>
    <t>44.51°</t>
  </si>
  <si>
    <r>
      <t>2013 VK</t>
    </r>
    <r>
      <rPr>
        <vertAlign val="subscript"/>
        <sz val="10"/>
        <color theme="1"/>
        <rFont val="Aptos Narrow"/>
        <family val="2"/>
        <scheme val="minor"/>
      </rPr>
      <t>46</t>
    </r>
  </si>
  <si>
    <t>41.948 AU</t>
  </si>
  <si>
    <t>13.566°</t>
  </si>
  <si>
    <t>179.685°</t>
  </si>
  <si>
    <t>149.464°</t>
  </si>
  <si>
    <t>34.778°</t>
  </si>
  <si>
    <r>
      <t>2003 HM</t>
    </r>
    <r>
      <rPr>
        <vertAlign val="subscript"/>
        <sz val="10"/>
        <color theme="1"/>
        <rFont val="Aptos Narrow"/>
        <family val="2"/>
        <scheme val="minor"/>
      </rPr>
      <t>57</t>
    </r>
  </si>
  <si>
    <t>41.954 AU</t>
  </si>
  <si>
    <t>10.783°</t>
  </si>
  <si>
    <t>294.22°</t>
  </si>
  <si>
    <t>358.645°</t>
  </si>
  <si>
    <r>
      <t>2014 JR</t>
    </r>
    <r>
      <rPr>
        <vertAlign val="subscript"/>
        <sz val="10"/>
        <color theme="1"/>
        <rFont val="Aptos Narrow"/>
        <family val="2"/>
        <scheme val="minor"/>
      </rPr>
      <t>92</t>
    </r>
  </si>
  <si>
    <t>42.682 AU</t>
  </si>
  <si>
    <t>28.479°</t>
  </si>
  <si>
    <t>46.764°</t>
  </si>
  <si>
    <t>139.543°</t>
  </si>
  <si>
    <t>37.865°</t>
  </si>
  <si>
    <r>
      <t>2009 XM</t>
    </r>
    <r>
      <rPr>
        <vertAlign val="subscript"/>
        <sz val="10"/>
        <color theme="1"/>
        <rFont val="Aptos Narrow"/>
        <family val="2"/>
        <scheme val="minor"/>
      </rPr>
      <t>26</t>
    </r>
  </si>
  <si>
    <t>43.641 AU</t>
  </si>
  <si>
    <t>21.585°</t>
  </si>
  <si>
    <t>145.898°</t>
  </si>
  <si>
    <t>282.246°</t>
  </si>
  <si>
    <t>29.967°</t>
  </si>
  <si>
    <r>
      <t>2004 TU</t>
    </r>
    <r>
      <rPr>
        <vertAlign val="subscript"/>
        <sz val="10"/>
        <color theme="1"/>
        <rFont val="Aptos Narrow"/>
        <family val="2"/>
        <scheme val="minor"/>
      </rPr>
      <t>357</t>
    </r>
  </si>
  <si>
    <t>48.586 AU</t>
  </si>
  <si>
    <t>7.016°</t>
  </si>
  <si>
    <t>343.609°</t>
  </si>
  <si>
    <t>14.377°</t>
  </si>
  <si>
    <t>15.525°</t>
  </si>
  <si>
    <r>
      <t>2006 HS</t>
    </r>
    <r>
      <rPr>
        <vertAlign val="subscript"/>
        <sz val="10"/>
        <color theme="1"/>
        <rFont val="Aptos Narrow"/>
        <family val="2"/>
        <scheme val="minor"/>
      </rPr>
      <t>122</t>
    </r>
  </si>
  <si>
    <t>45.006 AU</t>
  </si>
  <si>
    <t>4.294°</t>
  </si>
  <si>
    <t>298.633°</t>
  </si>
  <si>
    <t>18.118°</t>
  </si>
  <si>
    <t>307.081°</t>
  </si>
  <si>
    <r>
      <t>2014 BW</t>
    </r>
    <r>
      <rPr>
        <vertAlign val="subscript"/>
        <sz val="10"/>
        <color theme="1"/>
        <rFont val="Aptos Narrow"/>
        <family val="2"/>
        <scheme val="minor"/>
      </rPr>
      <t>64</t>
    </r>
  </si>
  <si>
    <t>45.59 AU</t>
  </si>
  <si>
    <t>15.74°</t>
  </si>
  <si>
    <t>101.44°</t>
  </si>
  <si>
    <t>320°</t>
  </si>
  <si>
    <t>46.83°</t>
  </si>
  <si>
    <r>
      <t>2013 RY</t>
    </r>
    <r>
      <rPr>
        <vertAlign val="subscript"/>
        <sz val="10"/>
        <color theme="1"/>
        <rFont val="Aptos Narrow"/>
        <family val="2"/>
        <scheme val="minor"/>
      </rPr>
      <t>108</t>
    </r>
  </si>
  <si>
    <t>46.133 AU</t>
  </si>
  <si>
    <t>10.75°</t>
  </si>
  <si>
    <t>4.427°</t>
  </si>
  <si>
    <t>93.342°</t>
  </si>
  <si>
    <t>334.849°</t>
  </si>
  <si>
    <r>
      <t>2007 JK</t>
    </r>
    <r>
      <rPr>
        <vertAlign val="subscript"/>
        <sz val="10"/>
        <color theme="1"/>
        <rFont val="Aptos Narrow"/>
        <family val="2"/>
        <scheme val="minor"/>
      </rPr>
      <t>43</t>
    </r>
  </si>
  <si>
    <t>46.6 AU</t>
  </si>
  <si>
    <t>44.83°</t>
  </si>
  <si>
    <t>10.38°</t>
  </si>
  <si>
    <t>233.54°</t>
  </si>
  <si>
    <t>6.473°</t>
  </si>
  <si>
    <r>
      <t>2016 SR</t>
    </r>
    <r>
      <rPr>
        <vertAlign val="subscript"/>
        <sz val="10"/>
        <color theme="1"/>
        <rFont val="Aptos Narrow"/>
        <family val="2"/>
        <scheme val="minor"/>
      </rPr>
      <t>105</t>
    </r>
  </si>
  <si>
    <t>18.73°</t>
  </si>
  <si>
    <t>122.359°</t>
  </si>
  <si>
    <t>339.176°</t>
  </si>
  <si>
    <r>
      <t>2013 RE</t>
    </r>
    <r>
      <rPr>
        <vertAlign val="subscript"/>
        <sz val="10"/>
        <color theme="1"/>
        <rFont val="Aptos Narrow"/>
        <family val="2"/>
        <scheme val="minor"/>
      </rPr>
      <t>158</t>
    </r>
  </si>
  <si>
    <t>48.078 AU</t>
  </si>
  <si>
    <t>28.249°</t>
  </si>
  <si>
    <t>84.697°</t>
  </si>
  <si>
    <t>173.934°</t>
  </si>
  <si>
    <t>42.166°</t>
  </si>
  <si>
    <r>
      <t>2014 JV</t>
    </r>
    <r>
      <rPr>
        <vertAlign val="subscript"/>
        <sz val="10"/>
        <color theme="1"/>
        <rFont val="Aptos Narrow"/>
        <family val="2"/>
        <scheme val="minor"/>
      </rPr>
      <t>80</t>
    </r>
  </si>
  <si>
    <t>48.033 AU</t>
  </si>
  <si>
    <t>149.511°</t>
  </si>
  <si>
    <t>127.063°</t>
  </si>
  <si>
    <t>1.875°</t>
  </si>
  <si>
    <r>
      <t>2000 EE</t>
    </r>
    <r>
      <rPr>
        <vertAlign val="subscript"/>
        <sz val="10"/>
        <color theme="1"/>
        <rFont val="Aptos Narrow"/>
        <family val="2"/>
        <scheme val="minor"/>
      </rPr>
      <t>173</t>
    </r>
  </si>
  <si>
    <t>49.948 AU</t>
  </si>
  <si>
    <t>5.949°</t>
  </si>
  <si>
    <t>235.75°</t>
  </si>
  <si>
    <t>294.044°</t>
  </si>
  <si>
    <t>9.349°</t>
  </si>
  <si>
    <r>
      <t>2007 RW</t>
    </r>
    <r>
      <rPr>
        <vertAlign val="subscript"/>
        <sz val="10"/>
        <color theme="1"/>
        <rFont val="Aptos Narrow"/>
        <family val="2"/>
        <scheme val="minor"/>
      </rPr>
      <t>10</t>
    </r>
  </si>
  <si>
    <t>124 km</t>
  </si>
  <si>
    <t>30.179 AU</t>
  </si>
  <si>
    <t>36.157°</t>
  </si>
  <si>
    <t>95.65°</t>
  </si>
  <si>
    <t>187.064°</t>
  </si>
  <si>
    <t>71.529°</t>
  </si>
  <si>
    <r>
      <t>2003 QW</t>
    </r>
    <r>
      <rPr>
        <vertAlign val="subscript"/>
        <sz val="10"/>
        <color theme="1"/>
        <rFont val="Aptos Narrow"/>
        <family val="2"/>
        <scheme val="minor"/>
      </rPr>
      <t>113</t>
    </r>
  </si>
  <si>
    <t>51.758 AU</t>
  </si>
  <si>
    <t>6.902°</t>
  </si>
  <si>
    <t>253.79°</t>
  </si>
  <si>
    <t>160.271°</t>
  </si>
  <si>
    <t>346.002°</t>
  </si>
  <si>
    <r>
      <t>2005 EB</t>
    </r>
    <r>
      <rPr>
        <vertAlign val="subscript"/>
        <sz val="10"/>
        <color theme="1"/>
        <rFont val="Aptos Narrow"/>
        <family val="2"/>
        <scheme val="minor"/>
      </rPr>
      <t>299</t>
    </r>
  </si>
  <si>
    <t>51.718 AU</t>
  </si>
  <si>
    <t>0.71°</t>
  </si>
  <si>
    <t>176.876°</t>
  </si>
  <si>
    <t>351.413°</t>
  </si>
  <si>
    <t>13.923°</t>
  </si>
  <si>
    <r>
      <t>2013 MY</t>
    </r>
    <r>
      <rPr>
        <vertAlign val="subscript"/>
        <sz val="10"/>
        <color theme="1"/>
        <rFont val="Aptos Narrow"/>
        <family val="2"/>
        <scheme val="minor"/>
      </rPr>
      <t>11</t>
    </r>
  </si>
  <si>
    <t>52.278 AU</t>
  </si>
  <si>
    <t>14.508°</t>
  </si>
  <si>
    <t>195.594°</t>
  </si>
  <si>
    <t>99.739°</t>
  </si>
  <si>
    <t>13.109°</t>
  </si>
  <si>
    <r>
      <t>2010 WG</t>
    </r>
    <r>
      <rPr>
        <vertAlign val="subscript"/>
        <sz val="10"/>
        <color theme="1"/>
        <rFont val="Aptos Narrow"/>
        <family val="2"/>
        <scheme val="minor"/>
      </rPr>
      <t>9</t>
    </r>
  </si>
  <si>
    <t>52.901 AU</t>
  </si>
  <si>
    <t>70.331°</t>
  </si>
  <si>
    <t>293°</t>
  </si>
  <si>
    <t>92.065°</t>
  </si>
  <si>
    <t>10.821°</t>
  </si>
  <si>
    <r>
      <t>2015 DV</t>
    </r>
    <r>
      <rPr>
        <vertAlign val="subscript"/>
        <sz val="10"/>
        <color theme="1"/>
        <rFont val="Aptos Narrow"/>
        <family val="2"/>
        <scheme val="minor"/>
      </rPr>
      <t>224</t>
    </r>
  </si>
  <si>
    <t>56.235 AU</t>
  </si>
  <si>
    <t>29.517°</t>
  </si>
  <si>
    <t>277.448°</t>
  </si>
  <si>
    <t>209.282°</t>
  </si>
  <si>
    <t>17.878°</t>
  </si>
  <si>
    <r>
      <t>2009 MF</t>
    </r>
    <r>
      <rPr>
        <vertAlign val="subscript"/>
        <sz val="10"/>
        <color theme="1"/>
        <rFont val="Aptos Narrow"/>
        <family val="2"/>
        <scheme val="minor"/>
      </rPr>
      <t>10</t>
    </r>
  </si>
  <si>
    <t>41.788 AU</t>
  </si>
  <si>
    <t>26.76°</t>
  </si>
  <si>
    <t>331.9°</t>
  </si>
  <si>
    <t>320.1°</t>
  </si>
  <si>
    <t>20.37°</t>
  </si>
  <si>
    <r>
      <t>2014 XO</t>
    </r>
    <r>
      <rPr>
        <vertAlign val="subscript"/>
        <sz val="10"/>
        <color theme="1"/>
        <rFont val="Aptos Narrow"/>
        <family val="2"/>
        <scheme val="minor"/>
      </rPr>
      <t>40</t>
    </r>
  </si>
  <si>
    <t>57.655 AU</t>
  </si>
  <si>
    <t>26.922°</t>
  </si>
  <si>
    <t>23.974°</t>
  </si>
  <si>
    <t>212.08°</t>
  </si>
  <si>
    <t>358.367°</t>
  </si>
  <si>
    <r>
      <t>2015 RA</t>
    </r>
    <r>
      <rPr>
        <vertAlign val="subscript"/>
        <sz val="10"/>
        <color theme="1"/>
        <rFont val="Aptos Narrow"/>
        <family val="2"/>
        <scheme val="minor"/>
      </rPr>
      <t>279</t>
    </r>
  </si>
  <si>
    <t>60.516 AU</t>
  </si>
  <si>
    <t>30.188°</t>
  </si>
  <si>
    <t>303.53°</t>
  </si>
  <si>
    <t>189.634°</t>
  </si>
  <si>
    <t>328.078°</t>
  </si>
  <si>
    <r>
      <t>2014 WB</t>
    </r>
    <r>
      <rPr>
        <vertAlign val="subscript"/>
        <sz val="10"/>
        <color theme="1"/>
        <rFont val="Aptos Narrow"/>
        <family val="2"/>
        <scheme val="minor"/>
      </rPr>
      <t>536</t>
    </r>
  </si>
  <si>
    <t>60.109 AU</t>
  </si>
  <si>
    <t>6.908°</t>
  </si>
  <si>
    <t>121.821°</t>
  </si>
  <si>
    <t>79.094°</t>
  </si>
  <si>
    <t>1.153°</t>
  </si>
  <si>
    <r>
      <t>2013 UE</t>
    </r>
    <r>
      <rPr>
        <vertAlign val="subscript"/>
        <sz val="10"/>
        <color theme="1"/>
        <rFont val="Aptos Narrow"/>
        <family val="2"/>
        <scheme val="minor"/>
      </rPr>
      <t>15</t>
    </r>
  </si>
  <si>
    <t>61.09 AU</t>
  </si>
  <si>
    <t>6.731°</t>
  </si>
  <si>
    <t>18.935°</t>
  </si>
  <si>
    <t>24.108°</t>
  </si>
  <si>
    <t>9.805°</t>
  </si>
  <si>
    <r>
      <t>2010 JE</t>
    </r>
    <r>
      <rPr>
        <vertAlign val="subscript"/>
        <sz val="10"/>
        <color theme="1"/>
        <rFont val="Aptos Narrow"/>
        <family val="2"/>
        <scheme val="minor"/>
      </rPr>
      <t>215</t>
    </r>
  </si>
  <si>
    <t>61.65 AU</t>
  </si>
  <si>
    <t>11.206°</t>
  </si>
  <si>
    <t>119.737°</t>
  </si>
  <si>
    <t>128.47°</t>
  </si>
  <si>
    <t>7.856°</t>
  </si>
  <si>
    <r>
      <t>2015 SP</t>
    </r>
    <r>
      <rPr>
        <vertAlign val="subscript"/>
        <sz val="10"/>
        <color theme="1"/>
        <rFont val="Aptos Narrow"/>
        <family val="2"/>
        <scheme val="minor"/>
      </rPr>
      <t>20</t>
    </r>
  </si>
  <si>
    <t>45.25 AU</t>
  </si>
  <si>
    <t>3.088°</t>
  </si>
  <si>
    <t>122.78°</t>
  </si>
  <si>
    <t>99.1°</t>
  </si>
  <si>
    <t>107.85°</t>
  </si>
  <si>
    <r>
      <t>2004 LX</t>
    </r>
    <r>
      <rPr>
        <vertAlign val="subscript"/>
        <sz val="10"/>
        <color theme="1"/>
        <rFont val="Aptos Narrow"/>
        <family val="2"/>
        <scheme val="minor"/>
      </rPr>
      <t>32</t>
    </r>
  </si>
  <si>
    <t>66.381 AU</t>
  </si>
  <si>
    <t>4.838°</t>
  </si>
  <si>
    <t>106.333°</t>
  </si>
  <si>
    <t>22.857°</t>
  </si>
  <si>
    <r>
      <t>2002 XU</t>
    </r>
    <r>
      <rPr>
        <vertAlign val="subscript"/>
        <sz val="10"/>
        <color theme="1"/>
        <rFont val="Aptos Narrow"/>
        <family val="2"/>
        <scheme val="minor"/>
      </rPr>
      <t>93</t>
    </r>
  </si>
  <si>
    <t>67.299 AU</t>
  </si>
  <si>
    <t>77.954°</t>
  </si>
  <si>
    <t>28.135°</t>
  </si>
  <si>
    <t>90.404°</t>
  </si>
  <si>
    <t>6.179°</t>
  </si>
  <si>
    <r>
      <t>2004 VM</t>
    </r>
    <r>
      <rPr>
        <vertAlign val="subscript"/>
        <sz val="10"/>
        <color theme="1"/>
        <rFont val="Aptos Narrow"/>
        <family val="2"/>
        <scheme val="minor"/>
      </rPr>
      <t>131</t>
    </r>
  </si>
  <si>
    <t>69.568 AU</t>
  </si>
  <si>
    <t>14.006°</t>
  </si>
  <si>
    <t>138.366°</t>
  </si>
  <si>
    <t>225.771°</t>
  </si>
  <si>
    <t>17.77°</t>
  </si>
  <si>
    <r>
      <t>2003 FH</t>
    </r>
    <r>
      <rPr>
        <vertAlign val="subscript"/>
        <sz val="10"/>
        <color theme="1"/>
        <rFont val="Aptos Narrow"/>
        <family val="2"/>
        <scheme val="minor"/>
      </rPr>
      <t>129</t>
    </r>
  </si>
  <si>
    <t>70.635 AU</t>
  </si>
  <si>
    <t>18.724°</t>
  </si>
  <si>
    <t>296.305°</t>
  </si>
  <si>
    <t>171.625°</t>
  </si>
  <si>
    <t>26.359°</t>
  </si>
  <si>
    <r>
      <t>2002 PR</t>
    </r>
    <r>
      <rPr>
        <vertAlign val="subscript"/>
        <sz val="10"/>
        <color theme="1"/>
        <rFont val="Aptos Narrow"/>
        <family val="2"/>
        <scheme val="minor"/>
      </rPr>
      <t>170</t>
    </r>
  </si>
  <si>
    <t>44.358 AU</t>
  </si>
  <si>
    <t>0.856°</t>
  </si>
  <si>
    <t>191.439°</t>
  </si>
  <si>
    <t>23.145°</t>
  </si>
  <si>
    <t>129.455°</t>
  </si>
  <si>
    <r>
      <t>2014 WZ</t>
    </r>
    <r>
      <rPr>
        <vertAlign val="subscript"/>
        <sz val="10"/>
        <color theme="1"/>
        <rFont val="Aptos Narrow"/>
        <family val="2"/>
        <scheme val="minor"/>
      </rPr>
      <t>508</t>
    </r>
  </si>
  <si>
    <t>77.516 AU</t>
  </si>
  <si>
    <t>24.235°</t>
  </si>
  <si>
    <t>149.934°</t>
  </si>
  <si>
    <t>338.783°</t>
  </si>
  <si>
    <t>8.802°</t>
  </si>
  <si>
    <r>
      <t>2013 TB</t>
    </r>
    <r>
      <rPr>
        <vertAlign val="subscript"/>
        <sz val="10"/>
        <color theme="1"/>
        <rFont val="Aptos Narrow"/>
        <family val="2"/>
        <scheme val="minor"/>
      </rPr>
      <t>187</t>
    </r>
  </si>
  <si>
    <t>78.433 AU</t>
  </si>
  <si>
    <t>50.743°</t>
  </si>
  <si>
    <t>24.631°</t>
  </si>
  <si>
    <t>82.084°</t>
  </si>
  <si>
    <t>351.288°</t>
  </si>
  <si>
    <r>
      <t>2013 OR</t>
    </r>
    <r>
      <rPr>
        <vertAlign val="subscript"/>
        <sz val="10"/>
        <color theme="1"/>
        <rFont val="Aptos Narrow"/>
        <family val="2"/>
        <scheme val="minor"/>
      </rPr>
      <t>11</t>
    </r>
  </si>
  <si>
    <t>81.06 AU</t>
  </si>
  <si>
    <t>21.128°</t>
  </si>
  <si>
    <t>317.102°</t>
  </si>
  <si>
    <t>53.21°</t>
  </si>
  <si>
    <t>9.78°</t>
  </si>
  <si>
    <r>
      <t>2014 SJ</t>
    </r>
    <r>
      <rPr>
        <vertAlign val="subscript"/>
        <sz val="10"/>
        <color theme="1"/>
        <rFont val="Aptos Narrow"/>
        <family val="2"/>
        <scheme val="minor"/>
      </rPr>
      <t>378</t>
    </r>
  </si>
  <si>
    <t>83.717 AU</t>
  </si>
  <si>
    <t>37.116°</t>
  </si>
  <si>
    <t>214.965°</t>
  </si>
  <si>
    <t>167.64°</t>
  </si>
  <si>
    <t>4.443°</t>
  </si>
  <si>
    <r>
      <t>2015 PZ</t>
    </r>
    <r>
      <rPr>
        <vertAlign val="subscript"/>
        <sz val="10"/>
        <color theme="1"/>
        <rFont val="Aptos Narrow"/>
        <family val="2"/>
        <scheme val="minor"/>
      </rPr>
      <t>315</t>
    </r>
  </si>
  <si>
    <t>82.574 AU</t>
  </si>
  <si>
    <t>4.358°</t>
  </si>
  <si>
    <t>30.486°</t>
  </si>
  <si>
    <t>34.741°</t>
  </si>
  <si>
    <t>333.652°</t>
  </si>
  <si>
    <r>
      <t>2004 MK</t>
    </r>
    <r>
      <rPr>
        <vertAlign val="subscript"/>
        <sz val="10"/>
        <color theme="1"/>
        <rFont val="Aptos Narrow"/>
        <family val="2"/>
        <scheme val="minor"/>
      </rPr>
      <t>10</t>
    </r>
  </si>
  <si>
    <t>109.315 AU</t>
  </si>
  <si>
    <t>8.881°</t>
  </si>
  <si>
    <t>86.193°</t>
  </si>
  <si>
    <t>103.139°</t>
  </si>
  <si>
    <t>8.887°</t>
  </si>
  <si>
    <r>
      <t>1999 TD</t>
    </r>
    <r>
      <rPr>
        <vertAlign val="subscript"/>
        <sz val="10"/>
        <color theme="1"/>
        <rFont val="Aptos Narrow"/>
        <family val="2"/>
        <scheme val="minor"/>
      </rPr>
      <t>10</t>
    </r>
  </si>
  <si>
    <t>97.233 AU</t>
  </si>
  <si>
    <t>5.959°</t>
  </si>
  <si>
    <t>172.755°</t>
  </si>
  <si>
    <t>184.73°</t>
  </si>
  <si>
    <t>5.676°</t>
  </si>
  <si>
    <r>
      <t>2014 WY</t>
    </r>
    <r>
      <rPr>
        <vertAlign val="subscript"/>
        <sz val="10"/>
        <color theme="1"/>
        <rFont val="Aptos Narrow"/>
        <family val="2"/>
        <scheme val="minor"/>
      </rPr>
      <t>508</t>
    </r>
  </si>
  <si>
    <t>98.03 AU</t>
  </si>
  <si>
    <t>21.26°</t>
  </si>
  <si>
    <t>170.76°</t>
  </si>
  <si>
    <t>343.64°</t>
  </si>
  <si>
    <t>2.65°</t>
  </si>
  <si>
    <r>
      <t>2015 VD</t>
    </r>
    <r>
      <rPr>
        <vertAlign val="subscript"/>
        <sz val="10"/>
        <color theme="1"/>
        <rFont val="Aptos Narrow"/>
        <family val="2"/>
        <scheme val="minor"/>
      </rPr>
      <t>168</t>
    </r>
  </si>
  <si>
    <t>118.089 AU</t>
  </si>
  <si>
    <t>22.418°</t>
  </si>
  <si>
    <t>113.159°</t>
  </si>
  <si>
    <t>223.078°</t>
  </si>
  <si>
    <r>
      <t>2013 GJ</t>
    </r>
    <r>
      <rPr>
        <vertAlign val="subscript"/>
        <sz val="10"/>
        <color theme="1"/>
        <rFont val="Aptos Narrow"/>
        <family val="2"/>
        <scheme val="minor"/>
      </rPr>
      <t>138</t>
    </r>
  </si>
  <si>
    <t>120.98 AU</t>
  </si>
  <si>
    <t>27.996°</t>
  </si>
  <si>
    <t>158.065°</t>
  </si>
  <si>
    <t>17.267°</t>
  </si>
  <si>
    <t>4.362°</t>
  </si>
  <si>
    <r>
      <t>2000 PJ</t>
    </r>
    <r>
      <rPr>
        <vertAlign val="subscript"/>
        <sz val="10"/>
        <color theme="1"/>
        <rFont val="Aptos Narrow"/>
        <family val="2"/>
        <scheme val="minor"/>
      </rPr>
      <t>30</t>
    </r>
  </si>
  <si>
    <t>122 AU</t>
  </si>
  <si>
    <t>5.719°</t>
  </si>
  <si>
    <t>303.3°</t>
  </si>
  <si>
    <t>293.33°</t>
  </si>
  <si>
    <t>11.2°</t>
  </si>
  <si>
    <r>
      <t>2011 QY</t>
    </r>
    <r>
      <rPr>
        <vertAlign val="subscript"/>
        <sz val="10"/>
        <color theme="1"/>
        <rFont val="Aptos Narrow"/>
        <family val="2"/>
        <scheme val="minor"/>
      </rPr>
      <t>100</t>
    </r>
  </si>
  <si>
    <t>169.78 AU</t>
  </si>
  <si>
    <t>26.23°</t>
  </si>
  <si>
    <t>273.22°</t>
  </si>
  <si>
    <t>169.34°</t>
  </si>
  <si>
    <t>0.264°</t>
  </si>
  <si>
    <r>
      <t>2017 DO</t>
    </r>
    <r>
      <rPr>
        <vertAlign val="subscript"/>
        <sz val="10"/>
        <color theme="1"/>
        <rFont val="Aptos Narrow"/>
        <family val="2"/>
        <scheme val="minor"/>
      </rPr>
      <t>121</t>
    </r>
  </si>
  <si>
    <t>178.554 AU</t>
  </si>
  <si>
    <t>16.008°</t>
  </si>
  <si>
    <t>150.494°</t>
  </si>
  <si>
    <t>98.367°</t>
  </si>
  <si>
    <t>351.217°</t>
  </si>
  <si>
    <r>
      <t>2013 LU</t>
    </r>
    <r>
      <rPr>
        <vertAlign val="subscript"/>
        <sz val="10"/>
        <color theme="1"/>
        <rFont val="Aptos Narrow"/>
        <family val="2"/>
        <scheme val="minor"/>
      </rPr>
      <t>28</t>
    </r>
  </si>
  <si>
    <t>180.92 AU</t>
  </si>
  <si>
    <t>125.35°</t>
  </si>
  <si>
    <t>153.09°</t>
  </si>
  <si>
    <t>275.97°</t>
  </si>
  <si>
    <t>359.24°</t>
  </si>
  <si>
    <r>
      <t>2014 GR</t>
    </r>
    <r>
      <rPr>
        <vertAlign val="subscript"/>
        <sz val="10"/>
        <color theme="1"/>
        <rFont val="Aptos Narrow"/>
        <family val="2"/>
        <scheme val="minor"/>
      </rPr>
      <t>53</t>
    </r>
  </si>
  <si>
    <t>215.8 AU</t>
  </si>
  <si>
    <t>42.03°</t>
  </si>
  <si>
    <t>178.05°</t>
  </si>
  <si>
    <t>52.56°</t>
  </si>
  <si>
    <t>0.345°</t>
  </si>
  <si>
    <r>
      <t>2014 QW</t>
    </r>
    <r>
      <rPr>
        <vertAlign val="subscript"/>
        <sz val="10"/>
        <color theme="1"/>
        <rFont val="Aptos Narrow"/>
        <family val="2"/>
        <scheme val="minor"/>
      </rPr>
      <t>510</t>
    </r>
  </si>
  <si>
    <t>220.682 AU</t>
  </si>
  <si>
    <t>26.118°</t>
  </si>
  <si>
    <t>298.313°</t>
  </si>
  <si>
    <t>148.49°</t>
  </si>
  <si>
    <t>358.841°</t>
  </si>
  <si>
    <r>
      <t>2015 AD</t>
    </r>
    <r>
      <rPr>
        <vertAlign val="subscript"/>
        <sz val="10"/>
        <color theme="1"/>
        <rFont val="Aptos Narrow"/>
        <family val="2"/>
        <scheme val="minor"/>
      </rPr>
      <t>298</t>
    </r>
  </si>
  <si>
    <t>457.897 AU</t>
  </si>
  <si>
    <t>47.195°</t>
  </si>
  <si>
    <t>311.971°</t>
  </si>
  <si>
    <t>158.061°</t>
  </si>
  <si>
    <t>359.791°</t>
  </si>
  <si>
    <r>
      <t>2014 RK</t>
    </r>
    <r>
      <rPr>
        <vertAlign val="subscript"/>
        <sz val="10"/>
        <color theme="1"/>
        <rFont val="Aptos Narrow"/>
        <family val="2"/>
        <scheme val="minor"/>
      </rPr>
      <t>86</t>
    </r>
  </si>
  <si>
    <t>375.122 AU</t>
  </si>
  <si>
    <t>26.355°</t>
  </si>
  <si>
    <t>223.252°</t>
  </si>
  <si>
    <t>8.282°</t>
  </si>
  <si>
    <t>1.391°</t>
  </si>
  <si>
    <r>
      <t>2013 GW</t>
    </r>
    <r>
      <rPr>
        <vertAlign val="subscript"/>
        <sz val="10"/>
        <color theme="1"/>
        <rFont val="Aptos Narrow"/>
        <family val="2"/>
        <scheme val="minor"/>
      </rPr>
      <t>141</t>
    </r>
  </si>
  <si>
    <t>610.09 AU</t>
  </si>
  <si>
    <t>32.08°</t>
  </si>
  <si>
    <t>206.58°</t>
  </si>
  <si>
    <t>23.47°</t>
  </si>
  <si>
    <r>
      <t>359.85</t>
    </r>
    <r>
      <rPr>
        <b/>
        <sz val="11"/>
        <color theme="1"/>
        <rFont val="Aptos Narrow"/>
        <family val="2"/>
        <scheme val="minor"/>
      </rPr>
      <t>°</t>
    </r>
  </si>
  <si>
    <r>
      <t>2006 SQ</t>
    </r>
    <r>
      <rPr>
        <vertAlign val="subscript"/>
        <sz val="10"/>
        <color theme="1"/>
        <rFont val="Aptos Narrow"/>
        <family val="2"/>
        <scheme val="minor"/>
      </rPr>
      <t>372</t>
    </r>
  </si>
  <si>
    <t>905.012 AU</t>
  </si>
  <si>
    <t>19.496°</t>
  </si>
  <si>
    <t>122.28°</t>
  </si>
  <si>
    <t>197.34°</t>
  </si>
  <si>
    <t>0.18°</t>
  </si>
  <si>
    <r>
      <t>2000 PE</t>
    </r>
    <r>
      <rPr>
        <vertAlign val="subscript"/>
        <sz val="10"/>
        <color theme="1"/>
        <rFont val="Aptos Narrow"/>
        <family val="2"/>
        <scheme val="minor"/>
      </rPr>
      <t>30</t>
    </r>
  </si>
  <si>
    <t>133 km</t>
  </si>
  <si>
    <t>54.06 AU</t>
  </si>
  <si>
    <t>18.44°</t>
  </si>
  <si>
    <t>147°</t>
  </si>
  <si>
    <t>26.8°</t>
  </si>
  <si>
    <r>
      <t>2002 GD</t>
    </r>
    <r>
      <rPr>
        <vertAlign val="subscript"/>
        <sz val="10"/>
        <color theme="1"/>
        <rFont val="Aptos Narrow"/>
        <family val="2"/>
        <scheme val="minor"/>
      </rPr>
      <t>32</t>
    </r>
  </si>
  <si>
    <t>152 km</t>
  </si>
  <si>
    <t>44.57 AU</t>
  </si>
  <si>
    <t>6.578°</t>
  </si>
  <si>
    <t>25.97°</t>
  </si>
  <si>
    <t>22.145°</t>
  </si>
  <si>
    <t>319.8°</t>
  </si>
  <si>
    <r>
      <t>2010 VW</t>
    </r>
    <r>
      <rPr>
        <vertAlign val="subscript"/>
        <sz val="10"/>
        <color theme="1"/>
        <rFont val="Aptos Narrow"/>
        <family val="2"/>
        <scheme val="minor"/>
      </rPr>
      <t>11</t>
    </r>
  </si>
  <si>
    <t>172 km</t>
  </si>
  <si>
    <t>50.7 AU</t>
  </si>
  <si>
    <t>259°</t>
  </si>
  <si>
    <t>158.1°</t>
  </si>
  <si>
    <t>359°</t>
  </si>
  <si>
    <r>
      <t>2010 EP</t>
    </r>
    <r>
      <rPr>
        <vertAlign val="subscript"/>
        <sz val="10"/>
        <color theme="1"/>
        <rFont val="Aptos Narrow"/>
        <family val="2"/>
        <scheme val="minor"/>
      </rPr>
      <t>65</t>
    </r>
  </si>
  <si>
    <t>47.88 AU</t>
  </si>
  <si>
    <t>351.7°</t>
  </si>
  <si>
    <t>205°</t>
  </si>
  <si>
    <t>359.8°</t>
  </si>
  <si>
    <r>
      <t>2007 JF</t>
    </r>
    <r>
      <rPr>
        <vertAlign val="subscript"/>
        <sz val="10"/>
        <color theme="1"/>
        <rFont val="Aptos Narrow"/>
        <family val="2"/>
        <scheme val="minor"/>
      </rPr>
      <t>43</t>
    </r>
  </si>
  <si>
    <t>188 km</t>
  </si>
  <si>
    <t>39.181 AU</t>
  </si>
  <si>
    <t>15.106°</t>
  </si>
  <si>
    <t>124.009°</t>
  </si>
  <si>
    <t>207.605°</t>
  </si>
  <si>
    <t>304.067°</t>
  </si>
  <si>
    <r>
      <t>2010 PK</t>
    </r>
    <r>
      <rPr>
        <vertAlign val="subscript"/>
        <sz val="10"/>
        <color theme="1"/>
        <rFont val="Aptos Narrow"/>
        <family val="2"/>
        <scheme val="minor"/>
      </rPr>
      <t>66</t>
    </r>
  </si>
  <si>
    <t>182 km</t>
  </si>
  <si>
    <t>40.65 AU</t>
  </si>
  <si>
    <t>13.646°</t>
  </si>
  <si>
    <t>85.811°</t>
  </si>
  <si>
    <t>331.635°</t>
  </si>
  <si>
    <t>266.694°</t>
  </si>
  <si>
    <t>40.47 AU</t>
  </si>
  <si>
    <t>47.5°</t>
  </si>
  <si>
    <t>130.9°</t>
  </si>
  <si>
    <t>0.132°</t>
  </si>
  <si>
    <t>47.45 AU</t>
  </si>
  <si>
    <t>6.77°</t>
  </si>
  <si>
    <t>314.1°</t>
  </si>
  <si>
    <t>303.58°</t>
  </si>
  <si>
    <t>285.1°</t>
  </si>
  <si>
    <r>
      <t>2002 PJ</t>
    </r>
    <r>
      <rPr>
        <vertAlign val="subscript"/>
        <sz val="10"/>
        <color theme="1"/>
        <rFont val="Aptos Narrow"/>
        <family val="2"/>
        <scheme val="minor"/>
      </rPr>
      <t>149</t>
    </r>
  </si>
  <si>
    <t>187 km</t>
  </si>
  <si>
    <t>45.359 AU</t>
  </si>
  <si>
    <t>9.661°</t>
  </si>
  <si>
    <t>193.476°</t>
  </si>
  <si>
    <t>316.403°</t>
  </si>
  <si>
    <t>180.66°</t>
  </si>
  <si>
    <r>
      <t>2010 JK</t>
    </r>
    <r>
      <rPr>
        <vertAlign val="subscript"/>
        <sz val="10"/>
        <color theme="1"/>
        <rFont val="Aptos Narrow"/>
        <family val="2"/>
        <scheme val="minor"/>
      </rPr>
      <t>124</t>
    </r>
  </si>
  <si>
    <t>39.8 AU</t>
  </si>
  <si>
    <r>
      <t>2014 CO</t>
    </r>
    <r>
      <rPr>
        <vertAlign val="subscript"/>
        <sz val="10"/>
        <color theme="1"/>
        <rFont val="Aptos Narrow"/>
        <family val="2"/>
        <scheme val="minor"/>
      </rPr>
      <t>23</t>
    </r>
  </si>
  <si>
    <t>44.14 AU</t>
  </si>
  <si>
    <t>7.911°</t>
  </si>
  <si>
    <t>51.63°</t>
  </si>
  <si>
    <t>20.41°</t>
  </si>
  <si>
    <r>
      <t>2014 WW</t>
    </r>
    <r>
      <rPr>
        <vertAlign val="subscript"/>
        <sz val="10"/>
        <color theme="1"/>
        <rFont val="Aptos Narrow"/>
        <family val="2"/>
        <scheme val="minor"/>
      </rPr>
      <t>509</t>
    </r>
  </si>
  <si>
    <t>185 km</t>
  </si>
  <si>
    <t>42.6 AU</t>
  </si>
  <si>
    <t>20.38°</t>
  </si>
  <si>
    <t>170.6°</t>
  </si>
  <si>
    <t>110.43°</t>
  </si>
  <si>
    <t>151.92°</t>
  </si>
  <si>
    <r>
      <t>2000 GP</t>
    </r>
    <r>
      <rPr>
        <vertAlign val="subscript"/>
        <sz val="10"/>
        <color theme="1"/>
        <rFont val="Aptos Narrow"/>
        <family val="2"/>
        <scheme val="minor"/>
      </rPr>
      <t>183</t>
    </r>
  </si>
  <si>
    <t>39.854 AU</t>
  </si>
  <si>
    <t>4.91°</t>
  </si>
  <si>
    <t>221.7°</t>
  </si>
  <si>
    <t>23.4°</t>
  </si>
  <si>
    <t>342.7°</t>
  </si>
  <si>
    <r>
      <t>2014 YF</t>
    </r>
    <r>
      <rPr>
        <vertAlign val="subscript"/>
        <sz val="10"/>
        <color theme="1"/>
        <rFont val="Aptos Narrow"/>
        <family val="2"/>
        <scheme val="minor"/>
      </rPr>
      <t>50</t>
    </r>
  </si>
  <si>
    <t>81.12 AU</t>
  </si>
  <si>
    <t>18.19°</t>
  </si>
  <si>
    <t>87.04°</t>
  </si>
  <si>
    <t>72.89°</t>
  </si>
  <si>
    <t>357.83°</t>
  </si>
  <si>
    <r>
      <t>2010 OE</t>
    </r>
    <r>
      <rPr>
        <vertAlign val="subscript"/>
        <sz val="10"/>
        <color theme="1"/>
        <rFont val="Aptos Narrow"/>
        <family val="2"/>
        <scheme val="minor"/>
      </rPr>
      <t>153</t>
    </r>
  </si>
  <si>
    <t>171 km</t>
  </si>
  <si>
    <t>58.304 AU</t>
  </si>
  <si>
    <t>33.17°</t>
  </si>
  <si>
    <t>132.204°</t>
  </si>
  <si>
    <t>134.68°</t>
  </si>
  <si>
    <t>17.83°</t>
  </si>
  <si>
    <r>
      <t>2008 NW</t>
    </r>
    <r>
      <rPr>
        <vertAlign val="subscript"/>
        <sz val="10"/>
        <color theme="1"/>
        <rFont val="Aptos Narrow"/>
        <family val="2"/>
        <scheme val="minor"/>
      </rPr>
      <t>4</t>
    </r>
  </si>
  <si>
    <t>175 km</t>
  </si>
  <si>
    <t>44 AU</t>
  </si>
  <si>
    <t>23.15°</t>
  </si>
  <si>
    <t>41.2°</t>
  </si>
  <si>
    <t>285.12°</t>
  </si>
  <si>
    <t>356.5°</t>
  </si>
  <si>
    <r>
      <t>2013 RM</t>
    </r>
    <r>
      <rPr>
        <vertAlign val="subscript"/>
        <sz val="10"/>
        <color theme="1"/>
        <rFont val="Aptos Narrow"/>
        <family val="2"/>
        <scheme val="minor"/>
      </rPr>
      <t>98</t>
    </r>
  </si>
  <si>
    <t>174 km</t>
  </si>
  <si>
    <t>43.18 AU</t>
  </si>
  <si>
    <t>28.16°</t>
  </si>
  <si>
    <t>251.33°</t>
  </si>
  <si>
    <t>352.44°</t>
  </si>
  <si>
    <t>98.8°</t>
  </si>
  <si>
    <r>
      <t>2014 QS</t>
    </r>
    <r>
      <rPr>
        <vertAlign val="subscript"/>
        <sz val="10"/>
        <color theme="1"/>
        <rFont val="Aptos Narrow"/>
        <family val="2"/>
        <scheme val="minor"/>
      </rPr>
      <t>441</t>
    </r>
  </si>
  <si>
    <t>46.69 AU</t>
  </si>
  <si>
    <t>37.93°</t>
  </si>
  <si>
    <t>251°</t>
  </si>
  <si>
    <t>185.97°</t>
  </si>
  <si>
    <t>322.2°</t>
  </si>
  <si>
    <r>
      <t>2003 UY</t>
    </r>
    <r>
      <rPr>
        <vertAlign val="subscript"/>
        <sz val="10"/>
        <color theme="1"/>
        <rFont val="Aptos Narrow"/>
        <family val="2"/>
        <scheme val="minor"/>
      </rPr>
      <t>413</t>
    </r>
  </si>
  <si>
    <t>47.492 AU</t>
  </si>
  <si>
    <t>20.705°</t>
  </si>
  <si>
    <t>345.57°</t>
  </si>
  <si>
    <t>341.106°</t>
  </si>
  <si>
    <t>48.22°</t>
  </si>
  <si>
    <r>
      <t>2012 HG</t>
    </r>
    <r>
      <rPr>
        <vertAlign val="subscript"/>
        <sz val="10"/>
        <color theme="1"/>
        <rFont val="Aptos Narrow"/>
        <family val="2"/>
        <scheme val="minor"/>
      </rPr>
      <t>84</t>
    </r>
  </si>
  <si>
    <t>43.1 AU</t>
  </si>
  <si>
    <t>10.87°</t>
  </si>
  <si>
    <t>26.01°</t>
  </si>
  <si>
    <t>266.42°</t>
  </si>
  <si>
    <t>323°</t>
  </si>
  <si>
    <r>
      <t>2014 SH</t>
    </r>
    <r>
      <rPr>
        <vertAlign val="subscript"/>
        <sz val="10"/>
        <color theme="1"/>
        <rFont val="Aptos Narrow"/>
        <family val="2"/>
        <scheme val="minor"/>
      </rPr>
      <t>349</t>
    </r>
  </si>
  <si>
    <t>43.07 AU</t>
  </si>
  <si>
    <t>17.32°</t>
  </si>
  <si>
    <t>95.6°</t>
  </si>
  <si>
    <t>202.67°</t>
  </si>
  <si>
    <t>96.7°</t>
  </si>
  <si>
    <r>
      <t>2014 XS</t>
    </r>
    <r>
      <rPr>
        <vertAlign val="subscript"/>
        <sz val="10"/>
        <color theme="1"/>
        <rFont val="Aptos Narrow"/>
        <family val="2"/>
        <scheme val="minor"/>
      </rPr>
      <t>40</t>
    </r>
  </si>
  <si>
    <t>180 km</t>
  </si>
  <si>
    <t>42.64 AU</t>
  </si>
  <si>
    <t>27.52°</t>
  </si>
  <si>
    <t>263°</t>
  </si>
  <si>
    <t>186.7°</t>
  </si>
  <si>
    <t>46.243 AU</t>
  </si>
  <si>
    <t>7.049°</t>
  </si>
  <si>
    <t>336.77°</t>
  </si>
  <si>
    <t>300.74°</t>
  </si>
  <si>
    <t>233.51°</t>
  </si>
  <si>
    <r>
      <t>2010 MQ</t>
    </r>
    <r>
      <rPr>
        <vertAlign val="subscript"/>
        <sz val="10"/>
        <color theme="1"/>
        <rFont val="Aptos Narrow"/>
        <family val="2"/>
        <scheme val="minor"/>
      </rPr>
      <t>116</t>
    </r>
  </si>
  <si>
    <t>42.21 AU</t>
  </si>
  <si>
    <t>30.98°</t>
  </si>
  <si>
    <t>165.2°</t>
  </si>
  <si>
    <t>5.23°</t>
  </si>
  <si>
    <t>232.3°</t>
  </si>
  <si>
    <r>
      <t>2014 EA</t>
    </r>
    <r>
      <rPr>
        <vertAlign val="subscript"/>
        <sz val="10"/>
        <color theme="1"/>
        <rFont val="Aptos Narrow"/>
        <family val="2"/>
        <scheme val="minor"/>
      </rPr>
      <t>52</t>
    </r>
  </si>
  <si>
    <t>18.96°</t>
  </si>
  <si>
    <t>88°</t>
  </si>
  <si>
    <t>140.5°</t>
  </si>
  <si>
    <t>339.3°</t>
  </si>
  <si>
    <r>
      <t>2014 FY</t>
    </r>
    <r>
      <rPr>
        <vertAlign val="subscript"/>
        <sz val="10"/>
        <color theme="1"/>
        <rFont val="Aptos Narrow"/>
        <family val="2"/>
        <scheme val="minor"/>
      </rPr>
      <t>71</t>
    </r>
  </si>
  <si>
    <t>44.79 AU</t>
  </si>
  <si>
    <t>18.55°</t>
  </si>
  <si>
    <t>244°</t>
  </si>
  <si>
    <t>241.8°</t>
  </si>
  <si>
    <t>44.7°</t>
  </si>
  <si>
    <r>
      <t>2014 GX</t>
    </r>
    <r>
      <rPr>
        <vertAlign val="subscript"/>
        <sz val="10"/>
        <color theme="1"/>
        <rFont val="Aptos Narrow"/>
        <family val="2"/>
        <scheme val="minor"/>
      </rPr>
      <t>53</t>
    </r>
  </si>
  <si>
    <t>40.98 AU</t>
  </si>
  <si>
    <t>14°</t>
  </si>
  <si>
    <t>128.81°</t>
  </si>
  <si>
    <t>97.14°</t>
  </si>
  <si>
    <t>353.18°</t>
  </si>
  <si>
    <r>
      <t>2014 LO</t>
    </r>
    <r>
      <rPr>
        <vertAlign val="subscript"/>
        <sz val="10"/>
        <color theme="1"/>
        <rFont val="Aptos Narrow"/>
        <family val="2"/>
        <scheme val="minor"/>
      </rPr>
      <t>28</t>
    </r>
  </si>
  <si>
    <t>42.801 AU</t>
  </si>
  <si>
    <t>27.6°</t>
  </si>
  <si>
    <t>108.18°</t>
  </si>
  <si>
    <t>287.21°</t>
  </si>
  <si>
    <t>304.4°</t>
  </si>
  <si>
    <r>
      <t>2001 FZ</t>
    </r>
    <r>
      <rPr>
        <vertAlign val="subscript"/>
        <sz val="10"/>
        <color theme="1"/>
        <rFont val="Aptos Narrow"/>
        <family val="2"/>
        <scheme val="minor"/>
      </rPr>
      <t>173</t>
    </r>
  </si>
  <si>
    <t>86.99 AU</t>
  </si>
  <si>
    <t>12.7°</t>
  </si>
  <si>
    <t>199.35°</t>
  </si>
  <si>
    <t>2.36°</t>
  </si>
  <si>
    <t>2.5°</t>
  </si>
  <si>
    <r>
      <t>2008 QY</t>
    </r>
    <r>
      <rPr>
        <vertAlign val="subscript"/>
        <sz val="10"/>
        <color theme="1"/>
        <rFont val="Aptos Narrow"/>
        <family val="2"/>
        <scheme val="minor"/>
      </rPr>
      <t>40</t>
    </r>
  </si>
  <si>
    <t>164 km</t>
  </si>
  <si>
    <t>61.75 AU</t>
  </si>
  <si>
    <t>25.15°</t>
  </si>
  <si>
    <t>332.05°</t>
  </si>
  <si>
    <t>43.2°</t>
  </si>
  <si>
    <t>353.4°</t>
  </si>
  <si>
    <r>
      <t>2014 UR</t>
    </r>
    <r>
      <rPr>
        <vertAlign val="subscript"/>
        <sz val="10"/>
        <color theme="1"/>
        <rFont val="Aptos Narrow"/>
        <family val="2"/>
        <scheme val="minor"/>
      </rPr>
      <t>224</t>
    </r>
  </si>
  <si>
    <t>50.31 AU</t>
  </si>
  <si>
    <t>10.67°</t>
  </si>
  <si>
    <t>208.9°</t>
  </si>
  <si>
    <t>244.23°</t>
  </si>
  <si>
    <t>342.8°</t>
  </si>
  <si>
    <r>
      <t>2012 AZ</t>
    </r>
    <r>
      <rPr>
        <vertAlign val="subscript"/>
        <sz val="10"/>
        <color theme="1"/>
        <rFont val="Aptos Narrow"/>
        <family val="2"/>
        <scheme val="minor"/>
      </rPr>
      <t>25</t>
    </r>
  </si>
  <si>
    <t>161 km</t>
  </si>
  <si>
    <t>54.3 AU</t>
  </si>
  <si>
    <t>17.74°</t>
  </si>
  <si>
    <t>37.99°</t>
  </si>
  <si>
    <t>187.49°</t>
  </si>
  <si>
    <t>311.51°</t>
  </si>
  <si>
    <r>
      <t>2013 TC</t>
    </r>
    <r>
      <rPr>
        <vertAlign val="subscript"/>
        <sz val="10"/>
        <color theme="1"/>
        <rFont val="Aptos Narrow"/>
        <family val="2"/>
        <scheme val="minor"/>
      </rPr>
      <t>172</t>
    </r>
  </si>
  <si>
    <t>44.06 AU</t>
  </si>
  <si>
    <t>7.45°</t>
  </si>
  <si>
    <t>150.6°</t>
  </si>
  <si>
    <t>291.95°</t>
  </si>
  <si>
    <t>281.5°</t>
  </si>
  <si>
    <r>
      <t>2014 UN</t>
    </r>
    <r>
      <rPr>
        <vertAlign val="subscript"/>
        <sz val="10"/>
        <color theme="1"/>
        <rFont val="Aptos Narrow"/>
        <family val="2"/>
        <scheme val="minor"/>
      </rPr>
      <t>225</t>
    </r>
  </si>
  <si>
    <t>159 km</t>
  </si>
  <si>
    <t>59.93 AU</t>
  </si>
  <si>
    <t>53.134°</t>
  </si>
  <si>
    <t>322.21°</t>
  </si>
  <si>
    <t>68.64°</t>
  </si>
  <si>
    <t>329.11°</t>
  </si>
  <si>
    <r>
      <t>2014 YE</t>
    </r>
    <r>
      <rPr>
        <vertAlign val="subscript"/>
        <sz val="10"/>
        <color theme="1"/>
        <rFont val="Aptos Narrow"/>
        <family val="2"/>
        <scheme val="minor"/>
      </rPr>
      <t>50</t>
    </r>
  </si>
  <si>
    <t>59.103 AU</t>
  </si>
  <si>
    <t>26.92°</t>
  </si>
  <si>
    <t>286.71°</t>
  </si>
  <si>
    <t>121.24°</t>
  </si>
  <si>
    <t>41.72°</t>
  </si>
  <si>
    <r>
      <t>2015 KF</t>
    </r>
    <r>
      <rPr>
        <vertAlign val="subscript"/>
        <sz val="10"/>
        <color theme="1"/>
        <rFont val="Aptos Narrow"/>
        <family val="2"/>
        <scheme val="minor"/>
      </rPr>
      <t>172</t>
    </r>
  </si>
  <si>
    <t>165 km</t>
  </si>
  <si>
    <t>69.783 AU</t>
  </si>
  <si>
    <t>12.026°</t>
  </si>
  <si>
    <t>319.225°</t>
  </si>
  <si>
    <t>19.007°</t>
  </si>
  <si>
    <t>305.699°</t>
  </si>
  <si>
    <r>
      <t>2001 YH</t>
    </r>
    <r>
      <rPr>
        <vertAlign val="subscript"/>
        <sz val="10"/>
        <color theme="1"/>
        <rFont val="Aptos Narrow"/>
        <family val="2"/>
        <scheme val="minor"/>
      </rPr>
      <t>140</t>
    </r>
  </si>
  <si>
    <t>173 km</t>
  </si>
  <si>
    <t>48.725 AU</t>
  </si>
  <si>
    <t>11.069°</t>
  </si>
  <si>
    <t>356.62°</t>
  </si>
  <si>
    <t>108.84°</t>
  </si>
  <si>
    <t>19.455°</t>
  </si>
  <si>
    <r>
      <t>2015 BE</t>
    </r>
    <r>
      <rPr>
        <vertAlign val="subscript"/>
        <sz val="10"/>
        <color theme="1"/>
        <rFont val="Aptos Narrow"/>
        <family val="2"/>
        <scheme val="minor"/>
      </rPr>
      <t>519</t>
    </r>
  </si>
  <si>
    <t>314 km</t>
  </si>
  <si>
    <t>47.976 AU</t>
  </si>
  <si>
    <t>24.68°</t>
  </si>
  <si>
    <t>294.87°</t>
  </si>
  <si>
    <t>153.1°</t>
  </si>
  <si>
    <t>69.2°</t>
  </si>
  <si>
    <r>
      <t>2014 JJ</t>
    </r>
    <r>
      <rPr>
        <vertAlign val="subscript"/>
        <sz val="10"/>
        <color theme="1"/>
        <rFont val="Aptos Narrow"/>
        <family val="2"/>
        <scheme val="minor"/>
      </rPr>
      <t>80</t>
    </r>
  </si>
  <si>
    <t>43.182 AU</t>
  </si>
  <si>
    <t>18.674°</t>
  </si>
  <si>
    <t>97.702°</t>
  </si>
  <si>
    <t>261.43°</t>
  </si>
  <si>
    <t>342.32°</t>
  </si>
  <si>
    <r>
      <t>2014 DF</t>
    </r>
    <r>
      <rPr>
        <vertAlign val="subscript"/>
        <sz val="10"/>
        <color theme="1"/>
        <rFont val="Aptos Narrow"/>
        <family val="2"/>
        <scheme val="minor"/>
      </rPr>
      <t>143</t>
    </r>
  </si>
  <si>
    <t>42.829 AU</t>
  </si>
  <si>
    <t>23.681°</t>
  </si>
  <si>
    <t>73.516°</t>
  </si>
  <si>
    <t>35.614°</t>
  </si>
  <si>
    <t>92.056°</t>
  </si>
  <si>
    <r>
      <t>2014 DK</t>
    </r>
    <r>
      <rPr>
        <vertAlign val="subscript"/>
        <sz val="10"/>
        <color theme="1"/>
        <rFont val="Aptos Narrow"/>
        <family val="2"/>
        <scheme val="minor"/>
      </rPr>
      <t>143</t>
    </r>
  </si>
  <si>
    <t>42.52 AU</t>
  </si>
  <si>
    <t>10.86°</t>
  </si>
  <si>
    <t>153.33°</t>
  </si>
  <si>
    <t>84.7°</t>
  </si>
  <si>
    <r>
      <t>2014 GW</t>
    </r>
    <r>
      <rPr>
        <vertAlign val="subscript"/>
        <sz val="10"/>
        <color theme="1"/>
        <rFont val="Aptos Narrow"/>
        <family val="2"/>
        <scheme val="minor"/>
      </rPr>
      <t>53</t>
    </r>
  </si>
  <si>
    <t>41.5 AU</t>
  </si>
  <si>
    <t>21.88°</t>
  </si>
  <si>
    <t>235.4°</t>
  </si>
  <si>
    <t>54.86°</t>
  </si>
  <si>
    <t>294.08°</t>
  </si>
  <si>
    <r>
      <t>2014 QX</t>
    </r>
    <r>
      <rPr>
        <vertAlign val="subscript"/>
        <sz val="10"/>
        <color theme="1"/>
        <rFont val="Aptos Narrow"/>
        <family val="2"/>
        <scheme val="minor"/>
      </rPr>
      <t>441</t>
    </r>
  </si>
  <si>
    <t>38.32 AU</t>
  </si>
  <si>
    <t>26.02°</t>
  </si>
  <si>
    <t>295°</t>
  </si>
  <si>
    <t>43.84°</t>
  </si>
  <si>
    <t>26.33°</t>
  </si>
  <si>
    <r>
      <t>2014 QA</t>
    </r>
    <r>
      <rPr>
        <vertAlign val="subscript"/>
        <sz val="10"/>
        <color theme="1"/>
        <rFont val="Aptos Narrow"/>
        <family val="2"/>
        <scheme val="minor"/>
      </rPr>
      <t>442</t>
    </r>
  </si>
  <si>
    <t>43.101 AU</t>
  </si>
  <si>
    <t>27.4°</t>
  </si>
  <si>
    <t>281.28°</t>
  </si>
  <si>
    <t>109.3°</t>
  </si>
  <si>
    <t>346.55°</t>
  </si>
  <si>
    <r>
      <t>2014 WZ</t>
    </r>
    <r>
      <rPr>
        <vertAlign val="subscript"/>
        <sz val="10"/>
        <color theme="1"/>
        <rFont val="Aptos Narrow"/>
        <family val="2"/>
        <scheme val="minor"/>
      </rPr>
      <t>509</t>
    </r>
  </si>
  <si>
    <t>40.281 AU</t>
  </si>
  <si>
    <t>15.872°</t>
  </si>
  <si>
    <t>63.423°</t>
  </si>
  <si>
    <t>251.017°</t>
  </si>
  <si>
    <t>198.024°</t>
  </si>
  <si>
    <r>
      <t>2010 RN</t>
    </r>
    <r>
      <rPr>
        <vertAlign val="subscript"/>
        <sz val="10"/>
        <color theme="1"/>
        <rFont val="Aptos Narrow"/>
        <family val="2"/>
        <scheme val="minor"/>
      </rPr>
      <t>64</t>
    </r>
  </si>
  <si>
    <t>40.7 AU</t>
  </si>
  <si>
    <t>19.8°</t>
  </si>
  <si>
    <t>68.5°</t>
  </si>
  <si>
    <t>269.6°</t>
  </si>
  <si>
    <r>
      <t>2010 VW</t>
    </r>
    <r>
      <rPr>
        <vertAlign val="subscript"/>
        <sz val="10"/>
        <color theme="1"/>
        <rFont val="Aptos Narrow"/>
        <family val="2"/>
        <scheme val="minor"/>
      </rPr>
      <t>224</t>
    </r>
  </si>
  <si>
    <t>43.627 AU</t>
  </si>
  <si>
    <t>8.917°</t>
  </si>
  <si>
    <t>148.8°</t>
  </si>
  <si>
    <t>102.348°</t>
  </si>
  <si>
    <t>186.86°</t>
  </si>
  <si>
    <r>
      <t>2012 JH</t>
    </r>
    <r>
      <rPr>
        <vertAlign val="subscript"/>
        <sz val="10"/>
        <color theme="1"/>
        <rFont val="Aptos Narrow"/>
        <family val="2"/>
        <scheme val="minor"/>
      </rPr>
      <t>67</t>
    </r>
  </si>
  <si>
    <t>158 km</t>
  </si>
  <si>
    <t>48.12 AU</t>
  </si>
  <si>
    <t>165.01°</t>
  </si>
  <si>
    <t>329.09°</t>
  </si>
  <si>
    <t>64.6°</t>
  </si>
  <si>
    <r>
      <t>2013 HU</t>
    </r>
    <r>
      <rPr>
        <vertAlign val="subscript"/>
        <sz val="10"/>
        <color theme="1"/>
        <rFont val="Aptos Narrow"/>
        <family val="2"/>
        <scheme val="minor"/>
      </rPr>
      <t>156</t>
    </r>
  </si>
  <si>
    <t>184 km</t>
  </si>
  <si>
    <t>39.72 AU</t>
  </si>
  <si>
    <t>20.76°</t>
  </si>
  <si>
    <t>343.1°</t>
  </si>
  <si>
    <t>185.17°</t>
  </si>
  <si>
    <t>62.9°</t>
  </si>
  <si>
    <r>
      <t>2014 BD</t>
    </r>
    <r>
      <rPr>
        <vertAlign val="subscript"/>
        <sz val="10"/>
        <color theme="1"/>
        <rFont val="Aptos Narrow"/>
        <family val="2"/>
        <scheme val="minor"/>
      </rPr>
      <t>70</t>
    </r>
  </si>
  <si>
    <t>41.24 AU</t>
  </si>
  <si>
    <t>22.95°</t>
  </si>
  <si>
    <t>10.026°</t>
  </si>
  <si>
    <t>276.61°</t>
  </si>
  <si>
    <t>218.99°</t>
  </si>
  <si>
    <r>
      <t>2017 OG</t>
    </r>
    <r>
      <rPr>
        <vertAlign val="subscript"/>
        <sz val="10"/>
        <color theme="1"/>
        <rFont val="Aptos Narrow"/>
        <family val="2"/>
        <scheme val="minor"/>
      </rPr>
      <t>69</t>
    </r>
  </si>
  <si>
    <t>40.253 AU</t>
  </si>
  <si>
    <t>25.24°</t>
  </si>
  <si>
    <t>228.8°</t>
  </si>
  <si>
    <t>140.04°</t>
  </si>
  <si>
    <t>38.68°</t>
  </si>
  <si>
    <r>
      <t>2001 QT</t>
    </r>
    <r>
      <rPr>
        <vertAlign val="subscript"/>
        <sz val="10"/>
        <color theme="1"/>
        <rFont val="Aptos Narrow"/>
        <family val="2"/>
        <scheme val="minor"/>
      </rPr>
      <t>322</t>
    </r>
  </si>
  <si>
    <t>37 AU</t>
  </si>
  <si>
    <t>1.8°</t>
  </si>
  <si>
    <t>68.7°</t>
  </si>
  <si>
    <t>224.4°</t>
  </si>
  <si>
    <t>71.8°</t>
  </si>
  <si>
    <r>
      <t>2005 SD</t>
    </r>
    <r>
      <rPr>
        <vertAlign val="subscript"/>
        <sz val="10"/>
        <color theme="1"/>
        <rFont val="Aptos Narrow"/>
        <family val="2"/>
        <scheme val="minor"/>
      </rPr>
      <t>278</t>
    </r>
  </si>
  <si>
    <t>143 km</t>
  </si>
  <si>
    <t>55.58 AU</t>
  </si>
  <si>
    <t>17.85°</t>
  </si>
  <si>
    <t>218.8°</t>
  </si>
  <si>
    <t>24.9°</t>
  </si>
  <si>
    <r>
      <t>1999 CL</t>
    </r>
    <r>
      <rPr>
        <vertAlign val="subscript"/>
        <sz val="10"/>
        <color theme="1"/>
        <rFont val="Aptos Narrow"/>
        <family val="2"/>
        <scheme val="minor"/>
      </rPr>
      <t>119</t>
    </r>
  </si>
  <si>
    <t>148 km</t>
  </si>
  <si>
    <t>46.712 AU</t>
  </si>
  <si>
    <t>23.3°</t>
  </si>
  <si>
    <t>65.25°</t>
  </si>
  <si>
    <t>125.17°</t>
  </si>
  <si>
    <t>324.2°</t>
  </si>
  <si>
    <t>227.23 AU</t>
  </si>
  <si>
    <t>30.763°</t>
  </si>
  <si>
    <t>7.164°</t>
  </si>
  <si>
    <t>179.31°</t>
  </si>
  <si>
    <t>1.429°</t>
  </si>
  <si>
    <r>
      <t>2013 PV</t>
    </r>
    <r>
      <rPr>
        <vertAlign val="subscript"/>
        <sz val="10"/>
        <color theme="1"/>
        <rFont val="Aptos Narrow"/>
        <family val="2"/>
        <scheme val="minor"/>
      </rPr>
      <t>74</t>
    </r>
  </si>
  <si>
    <t>49.79 AU</t>
  </si>
  <si>
    <t>2.27°</t>
  </si>
  <si>
    <t>236.5°</t>
  </si>
  <si>
    <t>48.87°</t>
  </si>
  <si>
    <t>28.81°</t>
  </si>
  <si>
    <r>
      <t>2013 JQ</t>
    </r>
    <r>
      <rPr>
        <vertAlign val="subscript"/>
        <sz val="10"/>
        <color theme="1"/>
        <rFont val="Aptos Narrow"/>
        <family val="2"/>
        <scheme val="minor"/>
      </rPr>
      <t>64</t>
    </r>
  </si>
  <si>
    <r>
      <t>2013 YJ</t>
    </r>
    <r>
      <rPr>
        <vertAlign val="subscript"/>
        <sz val="10"/>
        <color theme="1"/>
        <rFont val="Aptos Narrow"/>
        <family val="2"/>
        <scheme val="minor"/>
      </rPr>
      <t>151</t>
    </r>
  </si>
  <si>
    <t>72.87 AU</t>
  </si>
  <si>
    <t>33.58°</t>
  </si>
  <si>
    <t>142°</t>
  </si>
  <si>
    <t>302.89°</t>
  </si>
  <si>
    <t>9.97°</t>
  </si>
  <si>
    <r>
      <t>2014 WS</t>
    </r>
    <r>
      <rPr>
        <vertAlign val="subscript"/>
        <sz val="10"/>
        <color theme="1"/>
        <rFont val="Aptos Narrow"/>
        <family val="2"/>
        <scheme val="minor"/>
      </rPr>
      <t>510</t>
    </r>
  </si>
  <si>
    <t>156 km</t>
  </si>
  <si>
    <t>55.51 AU</t>
  </si>
  <si>
    <t>8.89°</t>
  </si>
  <si>
    <t>270.15°</t>
  </si>
  <si>
    <t>161.9°</t>
  </si>
  <si>
    <r>
      <t>2013 AP</t>
    </r>
    <r>
      <rPr>
        <vertAlign val="subscript"/>
        <sz val="10"/>
        <color theme="1"/>
        <rFont val="Aptos Narrow"/>
        <family val="2"/>
        <scheme val="minor"/>
      </rPr>
      <t>183</t>
    </r>
  </si>
  <si>
    <t>153 km</t>
  </si>
  <si>
    <t>58.07 AU</t>
  </si>
  <si>
    <t>3.332°</t>
  </si>
  <si>
    <t>217.5°</t>
  </si>
  <si>
    <t>193.3°</t>
  </si>
  <si>
    <r>
      <t>2014 FJ</t>
    </r>
    <r>
      <rPr>
        <vertAlign val="subscript"/>
        <sz val="10"/>
        <color theme="1"/>
        <rFont val="Aptos Narrow"/>
        <family val="2"/>
        <scheme val="minor"/>
      </rPr>
      <t>72</t>
    </r>
  </si>
  <si>
    <t>151 km</t>
  </si>
  <si>
    <t>95 AU</t>
  </si>
  <si>
    <t>15.36°</t>
  </si>
  <si>
    <t>135.5°</t>
  </si>
  <si>
    <t>302.6°</t>
  </si>
  <si>
    <t>33°</t>
  </si>
  <si>
    <r>
      <t>2015 VG</t>
    </r>
    <r>
      <rPr>
        <vertAlign val="subscript"/>
        <sz val="10"/>
        <color theme="1"/>
        <rFont val="Aptos Narrow"/>
        <family val="2"/>
        <scheme val="minor"/>
      </rPr>
      <t>168</t>
    </r>
  </si>
  <si>
    <t>154 km</t>
  </si>
  <si>
    <t>65.1 AU</t>
  </si>
  <si>
    <t>13.835°</t>
  </si>
  <si>
    <t>259.35°</t>
  </si>
  <si>
    <t>56.56°</t>
  </si>
  <si>
    <t>50.8°</t>
  </si>
  <si>
    <r>
      <t>2001 XD</t>
    </r>
    <r>
      <rPr>
        <vertAlign val="subscript"/>
        <sz val="10"/>
        <color theme="1"/>
        <rFont val="Aptos Narrow"/>
        <family val="2"/>
        <scheme val="minor"/>
      </rPr>
      <t>255</t>
    </r>
  </si>
  <si>
    <t>39.554 AU</t>
  </si>
  <si>
    <t>18.09°</t>
  </si>
  <si>
    <t>108.58°</t>
  </si>
  <si>
    <t>106.67°</t>
  </si>
  <si>
    <t>282°</t>
  </si>
  <si>
    <r>
      <t>2014 GU</t>
    </r>
    <r>
      <rPr>
        <vertAlign val="subscript"/>
        <sz val="10"/>
        <color theme="1"/>
        <rFont val="Aptos Narrow"/>
        <family val="2"/>
        <scheme val="minor"/>
      </rPr>
      <t>53</t>
    </r>
  </si>
  <si>
    <t>43.864 AU</t>
  </si>
  <si>
    <t>23.485°</t>
  </si>
  <si>
    <t>115.98°</t>
  </si>
  <si>
    <t>178.52°</t>
  </si>
  <si>
    <t>323.1°</t>
  </si>
  <si>
    <r>
      <t>2007 PS</t>
    </r>
    <r>
      <rPr>
        <vertAlign val="subscript"/>
        <sz val="10"/>
        <color theme="1"/>
        <rFont val="Aptos Narrow"/>
        <family val="2"/>
        <scheme val="minor"/>
      </rPr>
      <t>45</t>
    </r>
  </si>
  <si>
    <t>47.32 AU</t>
  </si>
  <si>
    <t>19.55°</t>
  </si>
  <si>
    <t>188.18°</t>
  </si>
  <si>
    <t>131°</t>
  </si>
  <si>
    <t>31.37°</t>
  </si>
  <si>
    <r>
      <t>2013 MA</t>
    </r>
    <r>
      <rPr>
        <vertAlign val="subscript"/>
        <sz val="10"/>
        <color theme="1"/>
        <rFont val="Aptos Narrow"/>
        <family val="2"/>
        <scheme val="minor"/>
      </rPr>
      <t>12</t>
    </r>
  </si>
  <si>
    <t>41.677 AU</t>
  </si>
  <si>
    <t>23.334°</t>
  </si>
  <si>
    <t>314.83°</t>
  </si>
  <si>
    <t>114.98°</t>
  </si>
  <si>
    <t>254.4°</t>
  </si>
  <si>
    <r>
      <t>2014 WJ</t>
    </r>
    <r>
      <rPr>
        <vertAlign val="subscript"/>
        <sz val="10"/>
        <color theme="1"/>
        <rFont val="Aptos Narrow"/>
        <family val="2"/>
        <scheme val="minor"/>
      </rPr>
      <t>509</t>
    </r>
  </si>
  <si>
    <t>93.57°</t>
  </si>
  <si>
    <t>100.32°</t>
  </si>
  <si>
    <t>307.44°</t>
  </si>
  <si>
    <r>
      <t>2014 WQ</t>
    </r>
    <r>
      <rPr>
        <vertAlign val="subscript"/>
        <sz val="10"/>
        <color theme="1"/>
        <rFont val="Aptos Narrow"/>
        <family val="2"/>
        <scheme val="minor"/>
      </rPr>
      <t>510</t>
    </r>
  </si>
  <si>
    <t>130 km</t>
  </si>
  <si>
    <t>39.66 AU</t>
  </si>
  <si>
    <t>17.5°</t>
  </si>
  <si>
    <t>334.53°</t>
  </si>
  <si>
    <t>146.1°</t>
  </si>
  <si>
    <r>
      <t>2010 EL</t>
    </r>
    <r>
      <rPr>
        <vertAlign val="subscript"/>
        <sz val="10"/>
        <color theme="1"/>
        <rFont val="Aptos Narrow"/>
        <family val="2"/>
        <scheme val="minor"/>
      </rPr>
      <t>139</t>
    </r>
  </si>
  <si>
    <t>138 km</t>
  </si>
  <si>
    <t>22.8°</t>
  </si>
  <si>
    <t>278.1°</t>
  </si>
  <si>
    <t>53.6°</t>
  </si>
  <si>
    <t>93.6°</t>
  </si>
  <si>
    <r>
      <t>2010 VQ</t>
    </r>
    <r>
      <rPr>
        <vertAlign val="subscript"/>
        <sz val="10"/>
        <color theme="1"/>
        <rFont val="Aptos Narrow"/>
        <family val="2"/>
        <scheme val="minor"/>
      </rPr>
      <t>11</t>
    </r>
  </si>
  <si>
    <t>147 km</t>
  </si>
  <si>
    <t>45.11 AU</t>
  </si>
  <si>
    <t>13.3°</t>
  </si>
  <si>
    <t>213.6°</t>
  </si>
  <si>
    <t>174.59°</t>
  </si>
  <si>
    <t>41.9°</t>
  </si>
  <si>
    <r>
      <t>2014 OD</t>
    </r>
    <r>
      <rPr>
        <vertAlign val="subscript"/>
        <sz val="10"/>
        <color theme="1"/>
        <rFont val="Aptos Narrow"/>
        <family val="2"/>
        <scheme val="minor"/>
      </rPr>
      <t>394</t>
    </r>
  </si>
  <si>
    <t>44.711 AU</t>
  </si>
  <si>
    <t>11.239°</t>
  </si>
  <si>
    <t>84.43°</t>
  </si>
  <si>
    <t>130.11°</t>
  </si>
  <si>
    <t>158.99°</t>
  </si>
  <si>
    <r>
      <t>2015 BX</t>
    </r>
    <r>
      <rPr>
        <vertAlign val="subscript"/>
        <sz val="10"/>
        <color theme="1"/>
        <rFont val="Aptos Narrow"/>
        <family val="2"/>
        <scheme val="minor"/>
      </rPr>
      <t>518</t>
    </r>
  </si>
  <si>
    <t>42.712 AU</t>
  </si>
  <si>
    <t>28.18°</t>
  </si>
  <si>
    <t>53.93°</t>
  </si>
  <si>
    <t>210.04°</t>
  </si>
  <si>
    <t>289.11°</t>
  </si>
  <si>
    <t>227.95 AU</t>
  </si>
  <si>
    <t>22.718°</t>
  </si>
  <si>
    <t>317.219°</t>
  </si>
  <si>
    <t>128.246°</t>
  </si>
  <si>
    <t>5.283°</t>
  </si>
  <si>
    <r>
      <t>2000 CQ</t>
    </r>
    <r>
      <rPr>
        <vertAlign val="subscript"/>
        <sz val="10"/>
        <color theme="1"/>
        <rFont val="Aptos Narrow"/>
        <family val="2"/>
        <scheme val="minor"/>
      </rPr>
      <t>105</t>
    </r>
  </si>
  <si>
    <t>137 km</t>
  </si>
  <si>
    <t>57.44 AU</t>
  </si>
  <si>
    <t>19.64°</t>
  </si>
  <si>
    <t>102.44°</t>
  </si>
  <si>
    <t>130.61°</t>
  </si>
  <si>
    <t>320.59°</t>
  </si>
  <si>
    <r>
      <t>2001 QX</t>
    </r>
    <r>
      <rPr>
        <vertAlign val="subscript"/>
        <sz val="10"/>
        <color theme="1"/>
        <rFont val="Aptos Narrow"/>
        <family val="2"/>
        <scheme val="minor"/>
      </rPr>
      <t>322</t>
    </r>
  </si>
  <si>
    <t>129 km</t>
  </si>
  <si>
    <t>57.94 AU</t>
  </si>
  <si>
    <t>28.514°</t>
  </si>
  <si>
    <t>65.2°</t>
  </si>
  <si>
    <t>254.92°</t>
  </si>
  <si>
    <t>30.44°</t>
  </si>
  <si>
    <t>47.34 AU</t>
  </si>
  <si>
    <t>125.4°</t>
  </si>
  <si>
    <t>239.1°</t>
  </si>
  <si>
    <t>268.3°</t>
  </si>
  <si>
    <r>
      <t>2002 KW</t>
    </r>
    <r>
      <rPr>
        <vertAlign val="subscript"/>
        <sz val="10"/>
        <color theme="1"/>
        <rFont val="Aptos Narrow"/>
        <family val="2"/>
        <scheme val="minor"/>
      </rPr>
      <t>14</t>
    </r>
  </si>
  <si>
    <t>46.65 AU</t>
  </si>
  <si>
    <t>7.75°</t>
  </si>
  <si>
    <t>18.48°</t>
  </si>
  <si>
    <t>309.19°</t>
  </si>
  <si>
    <t>294.63°</t>
  </si>
  <si>
    <r>
      <t>1999 CC</t>
    </r>
    <r>
      <rPr>
        <vertAlign val="subscript"/>
        <sz val="10"/>
        <color theme="1"/>
        <rFont val="Aptos Narrow"/>
        <family val="2"/>
        <scheme val="minor"/>
      </rPr>
      <t>158</t>
    </r>
  </si>
  <si>
    <t>145 km</t>
  </si>
  <si>
    <t>54.32 AU</t>
  </si>
  <si>
    <t>18.7°</t>
  </si>
  <si>
    <t>101.92°</t>
  </si>
  <si>
    <t>337.007°</t>
  </si>
  <si>
    <t>39.94°</t>
  </si>
  <si>
    <r>
      <t>2003 UY</t>
    </r>
    <r>
      <rPr>
        <vertAlign val="subscript"/>
        <sz val="10"/>
        <color theme="1"/>
        <rFont val="Aptos Narrow"/>
        <family val="2"/>
        <scheme val="minor"/>
      </rPr>
      <t>117</t>
    </r>
  </si>
  <si>
    <t>141 km</t>
  </si>
  <si>
    <t>55.569 AU</t>
  </si>
  <si>
    <t>7.53°</t>
  </si>
  <si>
    <t>112.652°</t>
  </si>
  <si>
    <t>265.257°</t>
  </si>
  <si>
    <t>8.763°</t>
  </si>
  <si>
    <r>
      <t>2014 LV</t>
    </r>
    <r>
      <rPr>
        <vertAlign val="subscript"/>
        <sz val="10"/>
        <color theme="1"/>
        <rFont val="Aptos Narrow"/>
        <family val="2"/>
        <scheme val="minor"/>
      </rPr>
      <t>28</t>
    </r>
  </si>
  <si>
    <t>68.64 AU</t>
  </si>
  <si>
    <t>10.71°</t>
  </si>
  <si>
    <t>27.12°</t>
  </si>
  <si>
    <t>316.69°</t>
  </si>
  <si>
    <t>347.88°</t>
  </si>
  <si>
    <r>
      <t>2007 VK</t>
    </r>
    <r>
      <rPr>
        <vertAlign val="subscript"/>
        <sz val="10"/>
        <color theme="1"/>
        <rFont val="Aptos Narrow"/>
        <family val="2"/>
        <scheme val="minor"/>
      </rPr>
      <t>305</t>
    </r>
  </si>
  <si>
    <t>57.15 AU</t>
  </si>
  <si>
    <t>172.47°</t>
  </si>
  <si>
    <t>59.54°</t>
  </si>
  <si>
    <r>
      <t>2014 JM</t>
    </r>
    <r>
      <rPr>
        <vertAlign val="subscript"/>
        <sz val="10"/>
        <color theme="1"/>
        <rFont val="Aptos Narrow"/>
        <family val="2"/>
        <scheme val="minor"/>
      </rPr>
      <t>80</t>
    </r>
  </si>
  <si>
    <t>63.074 AU</t>
  </si>
  <si>
    <t>20.479°</t>
  </si>
  <si>
    <t>96.342°</t>
  </si>
  <si>
    <t>182.43°</t>
  </si>
  <si>
    <t>343.18°</t>
  </si>
  <si>
    <r>
      <t>2014 JU</t>
    </r>
    <r>
      <rPr>
        <vertAlign val="subscript"/>
        <sz val="10"/>
        <color theme="1"/>
        <rFont val="Aptos Narrow"/>
        <family val="2"/>
        <scheme val="minor"/>
      </rPr>
      <t>80</t>
    </r>
  </si>
  <si>
    <t>53.68 AU</t>
  </si>
  <si>
    <t>11.5°</t>
  </si>
  <si>
    <t>34.61°</t>
  </si>
  <si>
    <t>157.98°</t>
  </si>
  <si>
    <t>34.32°</t>
  </si>
  <si>
    <r>
      <t>2010 FC</t>
    </r>
    <r>
      <rPr>
        <vertAlign val="subscript"/>
        <sz val="10"/>
        <color theme="1"/>
        <rFont val="Aptos Narrow"/>
        <family val="2"/>
        <scheme val="minor"/>
      </rPr>
      <t>49</t>
    </r>
  </si>
  <si>
    <t>38.82 AU</t>
  </si>
  <si>
    <t>39.804°</t>
  </si>
  <si>
    <t>304.847°</t>
  </si>
  <si>
    <t>1.788°</t>
  </si>
  <si>
    <t>259.808°</t>
  </si>
  <si>
    <r>
      <t>2014 WT</t>
    </r>
    <r>
      <rPr>
        <vertAlign val="subscript"/>
        <sz val="10"/>
        <color theme="1"/>
        <rFont val="Aptos Narrow"/>
        <family val="2"/>
        <scheme val="minor"/>
      </rPr>
      <t>69</t>
    </r>
  </si>
  <si>
    <t>47.43 AU</t>
  </si>
  <si>
    <t>11.92°</t>
  </si>
  <si>
    <t>74.93°</t>
  </si>
  <si>
    <t>260.84°</t>
  </si>
  <si>
    <t>65.8°</t>
  </si>
  <si>
    <r>
      <t>2014 CQ</t>
    </r>
    <r>
      <rPr>
        <vertAlign val="subscript"/>
        <sz val="10"/>
        <color theme="1"/>
        <rFont val="Aptos Narrow"/>
        <family val="2"/>
        <scheme val="minor"/>
      </rPr>
      <t>23</t>
    </r>
  </si>
  <si>
    <t>46.164 AU</t>
  </si>
  <si>
    <t>8.687°</t>
  </si>
  <si>
    <t>236.86°</t>
  </si>
  <si>
    <t>30.646°</t>
  </si>
  <si>
    <t>302.71°</t>
  </si>
  <si>
    <r>
      <t>2014 DO</t>
    </r>
    <r>
      <rPr>
        <vertAlign val="subscript"/>
        <sz val="10"/>
        <color theme="1"/>
        <rFont val="Aptos Narrow"/>
        <family val="2"/>
        <scheme val="minor"/>
      </rPr>
      <t>143</t>
    </r>
  </si>
  <si>
    <t>47.85 AU</t>
  </si>
  <si>
    <t>4.17°</t>
  </si>
  <si>
    <t>180.62°</t>
  </si>
  <si>
    <t>349°</t>
  </si>
  <si>
    <r>
      <t>2014 WQ</t>
    </r>
    <r>
      <rPr>
        <vertAlign val="subscript"/>
        <sz val="10"/>
        <color theme="1"/>
        <rFont val="Aptos Narrow"/>
        <family val="2"/>
        <scheme val="minor"/>
      </rPr>
      <t>509</t>
    </r>
  </si>
  <si>
    <t>162 km</t>
  </si>
  <si>
    <t>39.39 AU</t>
  </si>
  <si>
    <t>9.82°</t>
  </si>
  <si>
    <t>207.6°</t>
  </si>
  <si>
    <t>40.78°</t>
  </si>
  <si>
    <t>224.7°</t>
  </si>
  <si>
    <t>44.16 AU</t>
  </si>
  <si>
    <t>4.98°</t>
  </si>
  <si>
    <t>183°</t>
  </si>
  <si>
    <t>80.44°</t>
  </si>
  <si>
    <t>213.8°</t>
  </si>
  <si>
    <t>S/2009 (524531) 1</t>
  </si>
  <si>
    <t>22,430 km</t>
  </si>
  <si>
    <r>
      <t>2003 UB</t>
    </r>
    <r>
      <rPr>
        <vertAlign val="subscript"/>
        <sz val="10"/>
        <color theme="1"/>
        <rFont val="Aptos Narrow"/>
        <family val="2"/>
        <scheme val="minor"/>
      </rPr>
      <t>292</t>
    </r>
  </si>
  <si>
    <t>47.1 AU</t>
  </si>
  <si>
    <t>19.29°</t>
  </si>
  <si>
    <t>191°</t>
  </si>
  <si>
    <t>28.22°</t>
  </si>
  <si>
    <t>186°</t>
  </si>
  <si>
    <r>
      <t>2010 RF</t>
    </r>
    <r>
      <rPr>
        <vertAlign val="subscript"/>
        <sz val="10"/>
        <color theme="1"/>
        <rFont val="Aptos Narrow"/>
        <family val="2"/>
        <scheme val="minor"/>
      </rPr>
      <t>64</t>
    </r>
  </si>
  <si>
    <t>42.874 AU</t>
  </si>
  <si>
    <t>28.7°</t>
  </si>
  <si>
    <t>211.9°</t>
  </si>
  <si>
    <t>131.1°</t>
  </si>
  <si>
    <t>17.1°</t>
  </si>
  <si>
    <r>
      <t>2010 VR</t>
    </r>
    <r>
      <rPr>
        <vertAlign val="subscript"/>
        <sz val="10"/>
        <color theme="1"/>
        <rFont val="Aptos Narrow"/>
        <family val="2"/>
        <scheme val="minor"/>
      </rPr>
      <t>11</t>
    </r>
  </si>
  <si>
    <t>41.503 AU</t>
  </si>
  <si>
    <t>30.924°</t>
  </si>
  <si>
    <t>36.398°</t>
  </si>
  <si>
    <t>86.702°</t>
  </si>
  <si>
    <t>320.69°</t>
  </si>
  <si>
    <r>
      <t>2011 UT</t>
    </r>
    <r>
      <rPr>
        <vertAlign val="subscript"/>
        <sz val="10"/>
        <color theme="1"/>
        <rFont val="Aptos Narrow"/>
        <family val="2"/>
        <scheme val="minor"/>
      </rPr>
      <t>410</t>
    </r>
  </si>
  <si>
    <r>
      <t>2012 BW</t>
    </r>
    <r>
      <rPr>
        <vertAlign val="subscript"/>
        <sz val="10"/>
        <color theme="1"/>
        <rFont val="Aptos Narrow"/>
        <family val="2"/>
        <scheme val="minor"/>
      </rPr>
      <t>154</t>
    </r>
  </si>
  <si>
    <t>45.578 AU</t>
  </si>
  <si>
    <t>7.86°</t>
  </si>
  <si>
    <t>54.55°</t>
  </si>
  <si>
    <t>65.97°</t>
  </si>
  <si>
    <t>34.06°</t>
  </si>
  <si>
    <r>
      <t>2013 EJ</t>
    </r>
    <r>
      <rPr>
        <vertAlign val="subscript"/>
        <sz val="10"/>
        <color theme="1"/>
        <rFont val="Aptos Narrow"/>
        <family val="2"/>
        <scheme val="minor"/>
      </rPr>
      <t>154</t>
    </r>
  </si>
  <si>
    <t>44.29 AU</t>
  </si>
  <si>
    <t>9.77°</t>
  </si>
  <si>
    <t>97°</t>
  </si>
  <si>
    <t>290.3°</t>
  </si>
  <si>
    <t>147.7°</t>
  </si>
  <si>
    <r>
      <t>2014 DM</t>
    </r>
    <r>
      <rPr>
        <vertAlign val="subscript"/>
        <sz val="10"/>
        <color theme="1"/>
        <rFont val="Aptos Narrow"/>
        <family val="2"/>
        <scheme val="minor"/>
      </rPr>
      <t>143</t>
    </r>
  </si>
  <si>
    <t>45.14 AU</t>
  </si>
  <si>
    <t>10.74°</t>
  </si>
  <si>
    <t>267.8°</t>
  </si>
  <si>
    <t>67.4°</t>
  </si>
  <si>
    <r>
      <t>2014 DR</t>
    </r>
    <r>
      <rPr>
        <vertAlign val="subscript"/>
        <sz val="10"/>
        <color theme="1"/>
        <rFont val="Aptos Narrow"/>
        <family val="2"/>
        <scheme val="minor"/>
      </rPr>
      <t>143</t>
    </r>
  </si>
  <si>
    <t>39.13 AU</t>
  </si>
  <si>
    <t>10.31°</t>
  </si>
  <si>
    <t>355.8°</t>
  </si>
  <si>
    <t>39.88°</t>
  </si>
  <si>
    <t>141.05°</t>
  </si>
  <si>
    <r>
      <t>2014 GT</t>
    </r>
    <r>
      <rPr>
        <vertAlign val="subscript"/>
        <sz val="10"/>
        <color theme="1"/>
        <rFont val="Aptos Narrow"/>
        <family val="2"/>
        <scheme val="minor"/>
      </rPr>
      <t>53</t>
    </r>
  </si>
  <si>
    <t>46.49 AU</t>
  </si>
  <si>
    <t>12.11°</t>
  </si>
  <si>
    <t>281.02°</t>
  </si>
  <si>
    <t>33.76°</t>
  </si>
  <si>
    <t>284.15°</t>
  </si>
  <si>
    <r>
      <t>2014 QY</t>
    </r>
    <r>
      <rPr>
        <vertAlign val="subscript"/>
        <sz val="10"/>
        <color theme="1"/>
        <rFont val="Aptos Narrow"/>
        <family val="2"/>
        <scheme val="minor"/>
      </rPr>
      <t>441</t>
    </r>
  </si>
  <si>
    <t>36.4 AU</t>
  </si>
  <si>
    <t>10.17°</t>
  </si>
  <si>
    <t>119.2°</t>
  </si>
  <si>
    <t>79.67°</t>
  </si>
  <si>
    <t>243.9°</t>
  </si>
  <si>
    <t>42.15 AU</t>
  </si>
  <si>
    <t>7.33°</t>
  </si>
  <si>
    <t>226.08°</t>
  </si>
  <si>
    <t>253.23°</t>
  </si>
  <si>
    <t>328.9°</t>
  </si>
  <si>
    <r>
      <t>2014 UO</t>
    </r>
    <r>
      <rPr>
        <vertAlign val="subscript"/>
        <sz val="10"/>
        <color theme="1"/>
        <rFont val="Aptos Narrow"/>
        <family val="2"/>
        <scheme val="minor"/>
      </rPr>
      <t>224</t>
    </r>
  </si>
  <si>
    <r>
      <t>2015 DZ</t>
    </r>
    <r>
      <rPr>
        <vertAlign val="subscript"/>
        <sz val="10"/>
        <color theme="1"/>
        <rFont val="Aptos Narrow"/>
        <family val="2"/>
        <scheme val="minor"/>
      </rPr>
      <t>250</t>
    </r>
  </si>
  <si>
    <t>21.9°</t>
  </si>
  <si>
    <t>260°</t>
  </si>
  <si>
    <t>157.6°</t>
  </si>
  <si>
    <r>
      <t>2007 OC</t>
    </r>
    <r>
      <rPr>
        <vertAlign val="subscript"/>
        <sz val="10"/>
        <color theme="1"/>
        <rFont val="Aptos Narrow"/>
        <family val="2"/>
        <scheme val="minor"/>
      </rPr>
      <t>10</t>
    </r>
  </si>
  <si>
    <t>49.49 AU</t>
  </si>
  <si>
    <t>21.66°</t>
  </si>
  <si>
    <t>52.096°</t>
  </si>
  <si>
    <t>258.149°</t>
  </si>
  <si>
    <t>9.47°</t>
  </si>
  <si>
    <r>
      <t>2004 OJ</t>
    </r>
    <r>
      <rPr>
        <vertAlign val="subscript"/>
        <sz val="10"/>
        <color theme="1"/>
        <rFont val="Aptos Narrow"/>
        <family val="2"/>
        <scheme val="minor"/>
      </rPr>
      <t>14</t>
    </r>
  </si>
  <si>
    <t>55.1 AU</t>
  </si>
  <si>
    <t>22.5°</t>
  </si>
  <si>
    <t>130.2°</t>
  </si>
  <si>
    <t>104.24°</t>
  </si>
  <si>
    <t>44°</t>
  </si>
  <si>
    <r>
      <t>2000 KK</t>
    </r>
    <r>
      <rPr>
        <vertAlign val="subscript"/>
        <sz val="10"/>
        <color theme="1"/>
        <rFont val="Aptos Narrow"/>
        <family val="2"/>
        <scheme val="minor"/>
      </rPr>
      <t>4</t>
    </r>
  </si>
  <si>
    <t>144 km</t>
  </si>
  <si>
    <t>41.22 AU</t>
  </si>
  <si>
    <t>19.14°</t>
  </si>
  <si>
    <t>304.5°</t>
  </si>
  <si>
    <t>145.89°</t>
  </si>
  <si>
    <t>164.8°</t>
  </si>
  <si>
    <r>
      <t>2013 JH</t>
    </r>
    <r>
      <rPr>
        <vertAlign val="subscript"/>
        <sz val="10"/>
        <color theme="1"/>
        <rFont val="Aptos Narrow"/>
        <family val="2"/>
        <scheme val="minor"/>
      </rPr>
      <t>64</t>
    </r>
  </si>
  <si>
    <t>59.6 AU</t>
  </si>
  <si>
    <t>13.73°</t>
  </si>
  <si>
    <t>60.68°</t>
  </si>
  <si>
    <t>86°</t>
  </si>
  <si>
    <t>49.02°</t>
  </si>
  <si>
    <t>53.25 AU</t>
  </si>
  <si>
    <t>38.82°</t>
  </si>
  <si>
    <t>47.74°</t>
  </si>
  <si>
    <t>103.59°</t>
  </si>
  <si>
    <t>2.76°</t>
  </si>
  <si>
    <t>S/2012 (523624) 1</t>
  </si>
  <si>
    <r>
      <t>2007 LF</t>
    </r>
    <r>
      <rPr>
        <vertAlign val="subscript"/>
        <sz val="10"/>
        <color theme="1"/>
        <rFont val="Aptos Narrow"/>
        <family val="2"/>
        <scheme val="minor"/>
      </rPr>
      <t>38</t>
    </r>
  </si>
  <si>
    <t>87.78 AU</t>
  </si>
  <si>
    <t>35.81°</t>
  </si>
  <si>
    <t>12.68°</t>
  </si>
  <si>
    <t>169.17°</t>
  </si>
  <si>
    <t>20.73°</t>
  </si>
  <si>
    <r>
      <t>2007 TB</t>
    </r>
    <r>
      <rPr>
        <vertAlign val="subscript"/>
        <sz val="10"/>
        <color theme="1"/>
        <rFont val="Aptos Narrow"/>
        <family val="2"/>
        <scheme val="minor"/>
      </rPr>
      <t>418</t>
    </r>
  </si>
  <si>
    <t>57.243 AU</t>
  </si>
  <si>
    <t>6.545°</t>
  </si>
  <si>
    <t>41.715°</t>
  </si>
  <si>
    <t>94.542°</t>
  </si>
  <si>
    <t>297.66°</t>
  </si>
  <si>
    <r>
      <t>2008 UA</t>
    </r>
    <r>
      <rPr>
        <vertAlign val="subscript"/>
        <sz val="10"/>
        <color theme="1"/>
        <rFont val="Aptos Narrow"/>
        <family val="2"/>
        <scheme val="minor"/>
      </rPr>
      <t>332</t>
    </r>
  </si>
  <si>
    <t>76.55 AU</t>
  </si>
  <si>
    <t>30.76°</t>
  </si>
  <si>
    <t>226.82°</t>
  </si>
  <si>
    <t>108.87°</t>
  </si>
  <si>
    <t>21.98°</t>
  </si>
  <si>
    <r>
      <t>2013 AR</t>
    </r>
    <r>
      <rPr>
        <vertAlign val="subscript"/>
        <sz val="10"/>
        <color theme="1"/>
        <rFont val="Aptos Narrow"/>
        <family val="2"/>
        <scheme val="minor"/>
      </rPr>
      <t>183</t>
    </r>
  </si>
  <si>
    <t>72 AU</t>
  </si>
  <si>
    <t>7°</t>
  </si>
  <si>
    <t>261.8°</t>
  </si>
  <si>
    <t>165.09°</t>
  </si>
  <si>
    <t>24.6°</t>
  </si>
  <si>
    <r>
      <t>2013 SR</t>
    </r>
    <r>
      <rPr>
        <vertAlign val="subscript"/>
        <sz val="10"/>
        <color theme="1"/>
        <rFont val="Aptos Narrow"/>
        <family val="2"/>
        <scheme val="minor"/>
      </rPr>
      <t>102</t>
    </r>
  </si>
  <si>
    <t>53.325 AU</t>
  </si>
  <si>
    <t>29.912°</t>
  </si>
  <si>
    <t>8.71°</t>
  </si>
  <si>
    <t>41.62°</t>
  </si>
  <si>
    <t>308.4°</t>
  </si>
  <si>
    <r>
      <t>2014 JW</t>
    </r>
    <r>
      <rPr>
        <vertAlign val="subscript"/>
        <sz val="10"/>
        <color theme="1"/>
        <rFont val="Aptos Narrow"/>
        <family val="2"/>
        <scheme val="minor"/>
      </rPr>
      <t>80</t>
    </r>
  </si>
  <si>
    <t>141.83 AU</t>
  </si>
  <si>
    <t>40.71°</t>
  </si>
  <si>
    <t>131.74°</t>
  </si>
  <si>
    <t>60.77°</t>
  </si>
  <si>
    <t>6.31°</t>
  </si>
  <si>
    <r>
      <t>2014 UH</t>
    </r>
    <r>
      <rPr>
        <vertAlign val="subscript"/>
        <sz val="10"/>
        <color theme="1"/>
        <rFont val="Aptos Narrow"/>
        <family val="2"/>
        <scheme val="minor"/>
      </rPr>
      <t>192</t>
    </r>
  </si>
  <si>
    <t>47.646 AU</t>
  </si>
  <si>
    <t>15.884°</t>
  </si>
  <si>
    <t>47.242°</t>
  </si>
  <si>
    <r>
      <t>2015 GN</t>
    </r>
    <r>
      <rPr>
        <vertAlign val="subscript"/>
        <sz val="10"/>
        <color theme="1"/>
        <rFont val="Aptos Narrow"/>
        <family val="2"/>
        <scheme val="minor"/>
      </rPr>
      <t>55</t>
    </r>
  </si>
  <si>
    <t>55.5 AU</t>
  </si>
  <si>
    <t>8.307°</t>
  </si>
  <si>
    <t>164°</t>
  </si>
  <si>
    <t>188.6°</t>
  </si>
  <si>
    <t>243°</t>
  </si>
  <si>
    <r>
      <t>2015 VJ</t>
    </r>
    <r>
      <rPr>
        <vertAlign val="subscript"/>
        <sz val="10"/>
        <color theme="1"/>
        <rFont val="Aptos Narrow"/>
        <family val="2"/>
        <scheme val="minor"/>
      </rPr>
      <t>168</t>
    </r>
  </si>
  <si>
    <t>59.951 AU</t>
  </si>
  <si>
    <t>9.867°</t>
  </si>
  <si>
    <t>212.965°</t>
  </si>
  <si>
    <t>58.549°</t>
  </si>
  <si>
    <t>115.21°</t>
  </si>
  <si>
    <r>
      <t>2017 OK</t>
    </r>
    <r>
      <rPr>
        <vertAlign val="subscript"/>
        <sz val="10"/>
        <color theme="1"/>
        <rFont val="Aptos Narrow"/>
        <family val="2"/>
        <scheme val="minor"/>
      </rPr>
      <t>69</t>
    </r>
  </si>
  <si>
    <t>23.59°</t>
  </si>
  <si>
    <t>290°</t>
  </si>
  <si>
    <t>154.69°</t>
  </si>
  <si>
    <t>239°</t>
  </si>
  <si>
    <r>
      <t>2017 SN</t>
    </r>
    <r>
      <rPr>
        <vertAlign val="subscript"/>
        <sz val="10"/>
        <color theme="1"/>
        <rFont val="Aptos Narrow"/>
        <family val="2"/>
        <scheme val="minor"/>
      </rPr>
      <t>132</t>
    </r>
  </si>
  <si>
    <t>96 AU</t>
  </si>
  <si>
    <t>24.2°</t>
  </si>
  <si>
    <t>137.72°</t>
  </si>
  <si>
    <t>42°</t>
  </si>
  <si>
    <r>
      <t>1999 DF</t>
    </r>
    <r>
      <rPr>
        <vertAlign val="subscript"/>
        <sz val="10"/>
        <color theme="1"/>
        <rFont val="Aptos Narrow"/>
        <family val="2"/>
        <scheme val="minor"/>
      </rPr>
      <t>9</t>
    </r>
  </si>
  <si>
    <t>46.698 AU</t>
  </si>
  <si>
    <t>9.811°</t>
  </si>
  <si>
    <t>178.63°</t>
  </si>
  <si>
    <t>334.84°</t>
  </si>
  <si>
    <t>19.489°</t>
  </si>
  <si>
    <r>
      <t>2004 PT</t>
    </r>
    <r>
      <rPr>
        <vertAlign val="subscript"/>
        <sz val="10"/>
        <color theme="1"/>
        <rFont val="Aptos Narrow"/>
        <family val="2"/>
        <scheme val="minor"/>
      </rPr>
      <t>107</t>
    </r>
  </si>
  <si>
    <t>40.42 AU</t>
  </si>
  <si>
    <t>26.18°</t>
  </si>
  <si>
    <t>20.5°</t>
  </si>
  <si>
    <t>350.4°</t>
  </si>
  <si>
    <r>
      <t>2014 FW</t>
    </r>
    <r>
      <rPr>
        <vertAlign val="subscript"/>
        <sz val="10"/>
        <color theme="1"/>
        <rFont val="Aptos Narrow"/>
        <family val="2"/>
        <scheme val="minor"/>
      </rPr>
      <t>71</t>
    </r>
  </si>
  <si>
    <t>43.037 AU</t>
  </si>
  <si>
    <t>35.96°</t>
  </si>
  <si>
    <t>247.65°</t>
  </si>
  <si>
    <t>282.6°</t>
  </si>
  <si>
    <r>
      <t>2010 AH</t>
    </r>
    <r>
      <rPr>
        <vertAlign val="subscript"/>
        <sz val="10"/>
        <color theme="1"/>
        <rFont val="Aptos Narrow"/>
        <family val="2"/>
        <scheme val="minor"/>
      </rPr>
      <t>2</t>
    </r>
  </si>
  <si>
    <t>40.717 AU</t>
  </si>
  <si>
    <t>50.54°</t>
  </si>
  <si>
    <t>127.635°</t>
  </si>
  <si>
    <t>320.3°</t>
  </si>
  <si>
    <r>
      <t>2014 JS</t>
    </r>
    <r>
      <rPr>
        <vertAlign val="subscript"/>
        <sz val="10"/>
        <color theme="1"/>
        <rFont val="Aptos Narrow"/>
        <family val="2"/>
        <scheme val="minor"/>
      </rPr>
      <t>80</t>
    </r>
  </si>
  <si>
    <t>48.03 AU</t>
  </si>
  <si>
    <t>15.1°</t>
  </si>
  <si>
    <t>174.5°</t>
  </si>
  <si>
    <t>125.88°</t>
  </si>
  <si>
    <t>357.1°</t>
  </si>
  <si>
    <r>
      <t>2014 MY</t>
    </r>
    <r>
      <rPr>
        <vertAlign val="subscript"/>
        <sz val="10"/>
        <color theme="1"/>
        <rFont val="Aptos Narrow"/>
        <family val="2"/>
        <scheme val="minor"/>
      </rPr>
      <t>69</t>
    </r>
  </si>
  <si>
    <t>40.52 AU</t>
  </si>
  <si>
    <t>17.43°</t>
  </si>
  <si>
    <t>205.12°</t>
  </si>
  <si>
    <t>1.03°</t>
  </si>
  <si>
    <t>126.7°</t>
  </si>
  <si>
    <r>
      <t>2000 AF</t>
    </r>
    <r>
      <rPr>
        <vertAlign val="subscript"/>
        <sz val="10"/>
        <color theme="1"/>
        <rFont val="Aptos Narrow"/>
        <family val="2"/>
        <scheme val="minor"/>
      </rPr>
      <t>255</t>
    </r>
  </si>
  <si>
    <t>48.87 AU</t>
  </si>
  <si>
    <t>30.8°</t>
  </si>
  <si>
    <t>197.9°</t>
  </si>
  <si>
    <t>23.69°</t>
  </si>
  <si>
    <t>277.2°</t>
  </si>
  <si>
    <r>
      <t>2010 WN</t>
    </r>
    <r>
      <rPr>
        <vertAlign val="subscript"/>
        <sz val="10"/>
        <color theme="1"/>
        <rFont val="Aptos Narrow"/>
        <family val="2"/>
        <scheme val="minor"/>
      </rPr>
      <t>75</t>
    </r>
  </si>
  <si>
    <t>40.69 AU</t>
  </si>
  <si>
    <t>28.205°</t>
  </si>
  <si>
    <t>312.98°</t>
  </si>
  <si>
    <t>161.68°</t>
  </si>
  <si>
    <t>337.11°</t>
  </si>
  <si>
    <r>
      <t>2013 CD</t>
    </r>
    <r>
      <rPr>
        <vertAlign val="subscript"/>
        <sz val="10"/>
        <color theme="1"/>
        <rFont val="Aptos Narrow"/>
        <family val="2"/>
        <scheme val="minor"/>
      </rPr>
      <t>223</t>
    </r>
  </si>
  <si>
    <t>39.55 AU</t>
  </si>
  <si>
    <t>5.27°</t>
  </si>
  <si>
    <t>260.5°</t>
  </si>
  <si>
    <t>73.66°</t>
  </si>
  <si>
    <t>176.2°</t>
  </si>
  <si>
    <r>
      <t>2014 BX</t>
    </r>
    <r>
      <rPr>
        <vertAlign val="subscript"/>
        <sz val="10"/>
        <color theme="1"/>
        <rFont val="Aptos Narrow"/>
        <family val="2"/>
        <scheme val="minor"/>
      </rPr>
      <t>64</t>
    </r>
  </si>
  <si>
    <t>42.62 AU</t>
  </si>
  <si>
    <t>11.19°</t>
  </si>
  <si>
    <t>71.45°</t>
  </si>
  <si>
    <t>323.08°</t>
  </si>
  <si>
    <t>102.46°</t>
  </si>
  <si>
    <r>
      <t>2014 WG</t>
    </r>
    <r>
      <rPr>
        <vertAlign val="subscript"/>
        <sz val="10"/>
        <color theme="1"/>
        <rFont val="Aptos Narrow"/>
        <family val="2"/>
        <scheme val="minor"/>
      </rPr>
      <t>509</t>
    </r>
  </si>
  <si>
    <t>42.46 AU</t>
  </si>
  <si>
    <t>21.38°</t>
  </si>
  <si>
    <t>178.2°</t>
  </si>
  <si>
    <t>129.82°</t>
  </si>
  <si>
    <r>
      <t>2014 WY</t>
    </r>
    <r>
      <rPr>
        <vertAlign val="subscript"/>
        <sz val="10"/>
        <color theme="1"/>
        <rFont val="Aptos Narrow"/>
        <family val="2"/>
        <scheme val="minor"/>
      </rPr>
      <t>509</t>
    </r>
  </si>
  <si>
    <t>44.31 AU</t>
  </si>
  <si>
    <t>11.47°</t>
  </si>
  <si>
    <t>313.8°</t>
  </si>
  <si>
    <t>298.86°</t>
  </si>
  <si>
    <t>280.9°</t>
  </si>
  <si>
    <r>
      <t>2015 AQ</t>
    </r>
    <r>
      <rPr>
        <vertAlign val="subscript"/>
        <sz val="10"/>
        <color theme="1"/>
        <rFont val="Aptos Narrow"/>
        <family val="2"/>
        <scheme val="minor"/>
      </rPr>
      <t>293</t>
    </r>
  </si>
  <si>
    <t>43.91 AU</t>
  </si>
  <si>
    <t>32.96°</t>
  </si>
  <si>
    <t>113.38°</t>
  </si>
  <si>
    <t>199.95°</t>
  </si>
  <si>
    <t>113.7°</t>
  </si>
  <si>
    <r>
      <t>1998 VG</t>
    </r>
    <r>
      <rPr>
        <vertAlign val="subscript"/>
        <sz val="10"/>
        <color theme="1"/>
        <rFont val="Aptos Narrow"/>
        <family val="2"/>
        <scheme val="minor"/>
      </rPr>
      <t>44</t>
    </r>
  </si>
  <si>
    <t>39.382 AU</t>
  </si>
  <si>
    <t>3.034°</t>
  </si>
  <si>
    <t>324.78°</t>
  </si>
  <si>
    <t>127.99°</t>
  </si>
  <si>
    <t>2.745°</t>
  </si>
  <si>
    <r>
      <t>2004 EW</t>
    </r>
    <r>
      <rPr>
        <vertAlign val="subscript"/>
        <sz val="10"/>
        <color theme="1"/>
        <rFont val="Aptos Narrow"/>
        <family val="2"/>
        <scheme val="minor"/>
      </rPr>
      <t>95</t>
    </r>
  </si>
  <si>
    <t>146 km</t>
  </si>
  <si>
    <t>39.783 AU</t>
  </si>
  <si>
    <t>29.234°</t>
  </si>
  <si>
    <t>204.67°</t>
  </si>
  <si>
    <t>25.704°</t>
  </si>
  <si>
    <t>359.95°</t>
  </si>
  <si>
    <r>
      <t>2002 TX</t>
    </r>
    <r>
      <rPr>
        <vertAlign val="subscript"/>
        <sz val="10"/>
        <color theme="1"/>
        <rFont val="Aptos Narrow"/>
        <family val="2"/>
        <scheme val="minor"/>
      </rPr>
      <t>300</t>
    </r>
  </si>
  <si>
    <t>25.878°</t>
  </si>
  <si>
    <t>338.958°</t>
  </si>
  <si>
    <t>324.698°</t>
  </si>
  <si>
    <t>73.762°</t>
  </si>
  <si>
    <r>
      <t>2001 QW</t>
    </r>
    <r>
      <rPr>
        <vertAlign val="subscript"/>
        <sz val="10"/>
        <color theme="1"/>
        <rFont val="Aptos Narrow"/>
        <family val="2"/>
        <scheme val="minor"/>
      </rPr>
      <t>297</t>
    </r>
  </si>
  <si>
    <t>51.439 AU</t>
  </si>
  <si>
    <t>17.08°</t>
  </si>
  <si>
    <t>107.58°</t>
  </si>
  <si>
    <t>141.06°</t>
  </si>
  <si>
    <t>65.674°</t>
  </si>
  <si>
    <r>
      <t>2010 JC</t>
    </r>
    <r>
      <rPr>
        <vertAlign val="subscript"/>
        <sz val="10"/>
        <color theme="1"/>
        <rFont val="Aptos Narrow"/>
        <family val="2"/>
        <scheme val="minor"/>
      </rPr>
      <t>80</t>
    </r>
  </si>
  <si>
    <t>128 km</t>
  </si>
  <si>
    <t>3.12°</t>
  </si>
  <si>
    <t>218.5°</t>
  </si>
  <si>
    <t>348°</t>
  </si>
  <si>
    <r>
      <t>2014 HF</t>
    </r>
    <r>
      <rPr>
        <vertAlign val="subscript"/>
        <sz val="10"/>
        <color theme="1"/>
        <rFont val="Aptos Narrow"/>
        <family val="2"/>
        <scheme val="minor"/>
      </rPr>
      <t>200</t>
    </r>
  </si>
  <si>
    <t>61.759 AU</t>
  </si>
  <si>
    <t>9.71°</t>
  </si>
  <si>
    <t>253.41°</t>
  </si>
  <si>
    <t>21.497°</t>
  </si>
  <si>
    <t>348.48°</t>
  </si>
  <si>
    <r>
      <t>2014 YK</t>
    </r>
    <r>
      <rPr>
        <vertAlign val="subscript"/>
        <sz val="10"/>
        <color theme="1"/>
        <rFont val="Aptos Narrow"/>
        <family val="2"/>
        <scheme val="minor"/>
      </rPr>
      <t>50</t>
    </r>
  </si>
  <si>
    <t>121 AU</t>
  </si>
  <si>
    <t>29.57°</t>
  </si>
  <si>
    <t>169°</t>
  </si>
  <si>
    <t>27.91°</t>
  </si>
  <si>
    <t>358.31°</t>
  </si>
  <si>
    <r>
      <t>2006 HX</t>
    </r>
    <r>
      <rPr>
        <vertAlign val="subscript"/>
        <sz val="10"/>
        <color theme="1"/>
        <rFont val="Aptos Narrow"/>
        <family val="2"/>
        <scheme val="minor"/>
      </rPr>
      <t>122</t>
    </r>
  </si>
  <si>
    <t>69 AU</t>
  </si>
  <si>
    <t>12.87°</t>
  </si>
  <si>
    <t>258°</t>
  </si>
  <si>
    <t>250.51°</t>
  </si>
  <si>
    <t>39°</t>
  </si>
  <si>
    <r>
      <t>2010 PT</t>
    </r>
    <r>
      <rPr>
        <vertAlign val="subscript"/>
        <sz val="10"/>
        <color theme="1"/>
        <rFont val="Aptos Narrow"/>
        <family val="2"/>
        <scheme val="minor"/>
      </rPr>
      <t>66</t>
    </r>
  </si>
  <si>
    <t>61.8 AU</t>
  </si>
  <si>
    <t>18.45°</t>
  </si>
  <si>
    <t>203.4°</t>
  </si>
  <si>
    <t>108.86°</t>
  </si>
  <si>
    <t>12.72°</t>
  </si>
  <si>
    <r>
      <t>2015 BD</t>
    </r>
    <r>
      <rPr>
        <vertAlign val="subscript"/>
        <sz val="10"/>
        <color theme="1"/>
        <rFont val="Aptos Narrow"/>
        <family val="2"/>
        <scheme val="minor"/>
      </rPr>
      <t>519</t>
    </r>
  </si>
  <si>
    <t>55.13 AU</t>
  </si>
  <si>
    <t>10.388°</t>
  </si>
  <si>
    <t>95.13°</t>
  </si>
  <si>
    <t>120.595°</t>
  </si>
  <si>
    <t>317.4°</t>
  </si>
  <si>
    <r>
      <t>2015 VO</t>
    </r>
    <r>
      <rPr>
        <vertAlign val="subscript"/>
        <sz val="10"/>
        <color theme="1"/>
        <rFont val="Aptos Narrow"/>
        <family val="2"/>
        <scheme val="minor"/>
      </rPr>
      <t>166</t>
    </r>
  </si>
  <si>
    <t>75.48 AU</t>
  </si>
  <si>
    <t>11.315°</t>
  </si>
  <si>
    <t>213.92°</t>
  </si>
  <si>
    <t>74°</t>
  </si>
  <si>
    <r>
      <t>2016 FX</t>
    </r>
    <r>
      <rPr>
        <vertAlign val="subscript"/>
        <sz val="10"/>
        <color theme="1"/>
        <rFont val="Aptos Narrow"/>
        <family val="2"/>
        <scheme val="minor"/>
      </rPr>
      <t>58</t>
    </r>
  </si>
  <si>
    <t>54.125 AU</t>
  </si>
  <si>
    <t>23°</t>
  </si>
  <si>
    <t>327.8°</t>
  </si>
  <si>
    <t>332.1°</t>
  </si>
  <si>
    <t>271.8°</t>
  </si>
  <si>
    <t>169.1 AU</t>
  </si>
  <si>
    <t>21.373°</t>
  </si>
  <si>
    <t>281.03°</t>
  </si>
  <si>
    <t>173.156°</t>
  </si>
  <si>
    <t>355.107°</t>
  </si>
  <si>
    <r>
      <t>2003 YO</t>
    </r>
    <r>
      <rPr>
        <vertAlign val="subscript"/>
        <sz val="10"/>
        <color theme="1"/>
        <rFont val="Aptos Narrow"/>
        <family val="2"/>
        <scheme val="minor"/>
      </rPr>
      <t>179</t>
    </r>
  </si>
  <si>
    <t>44.568 AU</t>
  </si>
  <si>
    <t>19.4°</t>
  </si>
  <si>
    <t>66.1°</t>
  </si>
  <si>
    <t>66.95°</t>
  </si>
  <si>
    <r>
      <t>2001 CZ</t>
    </r>
    <r>
      <rPr>
        <vertAlign val="subscript"/>
        <sz val="10"/>
        <color theme="1"/>
        <rFont val="Aptos Narrow"/>
        <family val="2"/>
        <scheme val="minor"/>
      </rPr>
      <t>31</t>
    </r>
  </si>
  <si>
    <t>45.339 AU</t>
  </si>
  <si>
    <t>10.2°</t>
  </si>
  <si>
    <t>46.7°</t>
  </si>
  <si>
    <t>136.2°</t>
  </si>
  <si>
    <t>332.5°</t>
  </si>
  <si>
    <r>
      <t>2006 RC</t>
    </r>
    <r>
      <rPr>
        <vertAlign val="subscript"/>
        <sz val="10"/>
        <color theme="1"/>
        <rFont val="Aptos Narrow"/>
        <family val="2"/>
        <scheme val="minor"/>
      </rPr>
      <t>103</t>
    </r>
  </si>
  <si>
    <t>41.79 AU</t>
  </si>
  <si>
    <t>17.202°</t>
  </si>
  <si>
    <t>87.1°</t>
  </si>
  <si>
    <t>310.43°</t>
  </si>
  <si>
    <t>325.96°</t>
  </si>
  <si>
    <r>
      <t>2008 SP</t>
    </r>
    <r>
      <rPr>
        <vertAlign val="subscript"/>
        <sz val="10"/>
        <color theme="1"/>
        <rFont val="Aptos Narrow"/>
        <family val="2"/>
        <scheme val="minor"/>
      </rPr>
      <t>266</t>
    </r>
  </si>
  <si>
    <t>40.9 AU</t>
  </si>
  <si>
    <t>19.52°</t>
  </si>
  <si>
    <t>240°</t>
  </si>
  <si>
    <t>141.29°</t>
  </si>
  <si>
    <t>355°</t>
  </si>
  <si>
    <r>
      <t>2010 SS</t>
    </r>
    <r>
      <rPr>
        <vertAlign val="subscript"/>
        <sz val="10"/>
        <color theme="1"/>
        <rFont val="Aptos Narrow"/>
        <family val="2"/>
        <scheme val="minor"/>
      </rPr>
      <t>43</t>
    </r>
  </si>
  <si>
    <t>34.53°</t>
  </si>
  <si>
    <t>111.8°</t>
  </si>
  <si>
    <t>314.8°</t>
  </si>
  <si>
    <r>
      <t>2010 VL</t>
    </r>
    <r>
      <rPr>
        <vertAlign val="subscript"/>
        <sz val="10"/>
        <color theme="1"/>
        <rFont val="Aptos Narrow"/>
        <family val="2"/>
        <scheme val="minor"/>
      </rPr>
      <t>201</t>
    </r>
  </si>
  <si>
    <t>36.51 AU</t>
  </si>
  <si>
    <t>5.53°</t>
  </si>
  <si>
    <t>342.4°</t>
  </si>
  <si>
    <t>104.003°</t>
  </si>
  <si>
    <t>336.7°</t>
  </si>
  <si>
    <r>
      <t>2011 VJ</t>
    </r>
    <r>
      <rPr>
        <vertAlign val="subscript"/>
        <sz val="10"/>
        <color theme="1"/>
        <rFont val="Aptos Narrow"/>
        <family val="2"/>
        <scheme val="minor"/>
      </rPr>
      <t>24</t>
    </r>
  </si>
  <si>
    <t>39.747 AU</t>
  </si>
  <si>
    <t>121.01°</t>
  </si>
  <si>
    <t>12.912°</t>
  </si>
  <si>
    <t>343.5°</t>
  </si>
  <si>
    <r>
      <t>2014 WU</t>
    </r>
    <r>
      <rPr>
        <vertAlign val="subscript"/>
        <sz val="10"/>
        <color theme="1"/>
        <rFont val="Aptos Narrow"/>
        <family val="2"/>
        <scheme val="minor"/>
      </rPr>
      <t>509</t>
    </r>
  </si>
  <si>
    <t>41.548 AU</t>
  </si>
  <si>
    <t>19.616°</t>
  </si>
  <si>
    <t>332.94°</t>
  </si>
  <si>
    <t>193.29°</t>
  </si>
  <si>
    <t>285.42°</t>
  </si>
  <si>
    <r>
      <t>2000 CJ</t>
    </r>
    <r>
      <rPr>
        <vertAlign val="subscript"/>
        <sz val="10"/>
        <color theme="1"/>
        <rFont val="Aptos Narrow"/>
        <family val="2"/>
        <scheme val="minor"/>
      </rPr>
      <t>105</t>
    </r>
  </si>
  <si>
    <t>44.3 AU</t>
  </si>
  <si>
    <t>229.7°</t>
  </si>
  <si>
    <t>154.14°</t>
  </si>
  <si>
    <r>
      <t>2000 CO</t>
    </r>
    <r>
      <rPr>
        <vertAlign val="subscript"/>
        <sz val="10"/>
        <color theme="1"/>
        <rFont val="Aptos Narrow"/>
        <family val="2"/>
        <scheme val="minor"/>
      </rPr>
      <t>105</t>
    </r>
  </si>
  <si>
    <t>47.313 AU</t>
  </si>
  <si>
    <t>19.216°</t>
  </si>
  <si>
    <t>57.3°</t>
  </si>
  <si>
    <t>307.24°</t>
  </si>
  <si>
    <t>115.9°</t>
  </si>
  <si>
    <r>
      <t>2001 UP</t>
    </r>
    <r>
      <rPr>
        <vertAlign val="subscript"/>
        <sz val="10"/>
        <color theme="1"/>
        <rFont val="Aptos Narrow"/>
        <family val="2"/>
        <scheme val="minor"/>
      </rPr>
      <t>18</t>
    </r>
  </si>
  <si>
    <t>1.17°</t>
  </si>
  <si>
    <t>141.5°</t>
  </si>
  <si>
    <t>105.5°</t>
  </si>
  <si>
    <t>148.3°</t>
  </si>
  <si>
    <r>
      <t>2003 WQ</t>
    </r>
    <r>
      <rPr>
        <vertAlign val="subscript"/>
        <sz val="10"/>
        <color theme="1"/>
        <rFont val="Aptos Narrow"/>
        <family val="2"/>
        <scheme val="minor"/>
      </rPr>
      <t>188</t>
    </r>
  </si>
  <si>
    <t>46.327 AU</t>
  </si>
  <si>
    <t>5.876°</t>
  </si>
  <si>
    <t>209.317°</t>
  </si>
  <si>
    <t>42.915°</t>
  </si>
  <si>
    <t>203.335°</t>
  </si>
  <si>
    <r>
      <t>2004 PV</t>
    </r>
    <r>
      <rPr>
        <vertAlign val="subscript"/>
        <sz val="10"/>
        <color theme="1"/>
        <rFont val="Aptos Narrow"/>
        <family val="2"/>
        <scheme val="minor"/>
      </rPr>
      <t>107</t>
    </r>
  </si>
  <si>
    <t>44.741 AU</t>
  </si>
  <si>
    <t>31.971°</t>
  </si>
  <si>
    <t>184.162°</t>
  </si>
  <si>
    <t>342.207°</t>
  </si>
  <si>
    <t>181.334°</t>
  </si>
  <si>
    <r>
      <t>2007 JF</t>
    </r>
    <r>
      <rPr>
        <vertAlign val="subscript"/>
        <sz val="10"/>
        <color theme="1"/>
        <rFont val="Aptos Narrow"/>
        <family val="2"/>
        <scheme val="minor"/>
      </rPr>
      <t>45</t>
    </r>
  </si>
  <si>
    <t>150 km</t>
  </si>
  <si>
    <t>39.306 AU</t>
  </si>
  <si>
    <t>11.016°</t>
  </si>
  <si>
    <t>175.45°</t>
  </si>
  <si>
    <t>95.93°</t>
  </si>
  <si>
    <r>
      <t>2010 RN</t>
    </r>
    <r>
      <rPr>
        <vertAlign val="subscript"/>
        <sz val="10"/>
        <color theme="1"/>
        <rFont val="Aptos Narrow"/>
        <family val="2"/>
        <scheme val="minor"/>
      </rPr>
      <t>45</t>
    </r>
  </si>
  <si>
    <t>41.137 AU</t>
  </si>
  <si>
    <t>32.752°</t>
  </si>
  <si>
    <t>320.11°</t>
  </si>
  <si>
    <t>123.34°</t>
  </si>
  <si>
    <t>293.29°</t>
  </si>
  <si>
    <r>
      <t>2011 GZ</t>
    </r>
    <r>
      <rPr>
        <vertAlign val="subscript"/>
        <sz val="10"/>
        <color theme="1"/>
        <rFont val="Aptos Narrow"/>
        <family val="2"/>
        <scheme val="minor"/>
      </rPr>
      <t>61</t>
    </r>
  </si>
  <si>
    <t>42.632 AU</t>
  </si>
  <si>
    <t>8.62°</t>
  </si>
  <si>
    <t>257.156°</t>
  </si>
  <si>
    <t>284.1°</t>
  </si>
  <si>
    <t>27.97°</t>
  </si>
  <si>
    <r>
      <t>2013 PX</t>
    </r>
    <r>
      <rPr>
        <vertAlign val="subscript"/>
        <sz val="10"/>
        <color theme="1"/>
        <rFont val="Aptos Narrow"/>
        <family val="2"/>
        <scheme val="minor"/>
      </rPr>
      <t>74</t>
    </r>
  </si>
  <si>
    <t>39.452 AU</t>
  </si>
  <si>
    <t>7.843°</t>
  </si>
  <si>
    <t>126.9°</t>
  </si>
  <si>
    <t>43.006°</t>
  </si>
  <si>
    <t>173.8°</t>
  </si>
  <si>
    <r>
      <t>2014 MH</t>
    </r>
    <r>
      <rPr>
        <vertAlign val="subscript"/>
        <sz val="10"/>
        <color theme="1"/>
        <rFont val="Aptos Narrow"/>
        <family val="2"/>
        <scheme val="minor"/>
      </rPr>
      <t>70</t>
    </r>
  </si>
  <si>
    <t>39.27 AU</t>
  </si>
  <si>
    <t>3.28°</t>
  </si>
  <si>
    <t>89.4°</t>
  </si>
  <si>
    <t>97.63°</t>
  </si>
  <si>
    <t>138.5°</t>
  </si>
  <si>
    <r>
      <t>2014 QZ</t>
    </r>
    <r>
      <rPr>
        <vertAlign val="subscript"/>
        <sz val="10"/>
        <color theme="1"/>
        <rFont val="Aptos Narrow"/>
        <family val="2"/>
        <scheme val="minor"/>
      </rPr>
      <t>441</t>
    </r>
  </si>
  <si>
    <t>42.578 AU</t>
  </si>
  <si>
    <t>6.537°</t>
  </si>
  <si>
    <t>170.73°</t>
  </si>
  <si>
    <t>335.07°</t>
  </si>
  <si>
    <t>251.01°</t>
  </si>
  <si>
    <r>
      <t>2015 AL</t>
    </r>
    <r>
      <rPr>
        <vertAlign val="subscript"/>
        <sz val="10"/>
        <color theme="1"/>
        <rFont val="Aptos Narrow"/>
        <family val="2"/>
        <scheme val="minor"/>
      </rPr>
      <t>281</t>
    </r>
  </si>
  <si>
    <t>120 km</t>
  </si>
  <si>
    <t>45.77 AU</t>
  </si>
  <si>
    <t>3.48°</t>
  </si>
  <si>
    <t>133.78°</t>
  </si>
  <si>
    <t>65.26°</t>
  </si>
  <si>
    <t>308.6°</t>
  </si>
  <si>
    <r>
      <t>2015 BT</t>
    </r>
    <r>
      <rPr>
        <vertAlign val="subscript"/>
        <sz val="10"/>
        <color theme="1"/>
        <rFont val="Aptos Narrow"/>
        <family val="2"/>
        <scheme val="minor"/>
      </rPr>
      <t>518</t>
    </r>
  </si>
  <si>
    <t>43.874 AU</t>
  </si>
  <si>
    <t>8.087°</t>
  </si>
  <si>
    <t>60.3°</t>
  </si>
  <si>
    <t>101.606°</t>
  </si>
  <si>
    <t>45.1°</t>
  </si>
  <si>
    <r>
      <t>2015 FL</t>
    </r>
    <r>
      <rPr>
        <vertAlign val="subscript"/>
        <sz val="10"/>
        <color theme="1"/>
        <rFont val="Aptos Narrow"/>
        <family val="2"/>
        <scheme val="minor"/>
      </rPr>
      <t>345</t>
    </r>
  </si>
  <si>
    <t>45.86 AU</t>
  </si>
  <si>
    <t>5.35°</t>
  </si>
  <si>
    <t>177.6°</t>
  </si>
  <si>
    <t>116.9°</t>
  </si>
  <si>
    <t>294.54°</t>
  </si>
  <si>
    <t>139 km</t>
  </si>
  <si>
    <t>47.417 AU</t>
  </si>
  <si>
    <t>13.521°</t>
  </si>
  <si>
    <t>130.22°</t>
  </si>
  <si>
    <t>183.21°</t>
  </si>
  <si>
    <t>47.484°</t>
  </si>
  <si>
    <t>S/2001 (26308) 1</t>
  </si>
  <si>
    <t>11,310 km</t>
  </si>
  <si>
    <r>
      <t>2000 CG</t>
    </r>
    <r>
      <rPr>
        <vertAlign val="subscript"/>
        <sz val="10"/>
        <color theme="1"/>
        <rFont val="Aptos Narrow"/>
        <family val="2"/>
        <scheme val="minor"/>
      </rPr>
      <t>105</t>
    </r>
  </si>
  <si>
    <t>46.5 AU</t>
  </si>
  <si>
    <t>27.936°</t>
  </si>
  <si>
    <t>91°</t>
  </si>
  <si>
    <t>314.035°</t>
  </si>
  <si>
    <t>102°</t>
  </si>
  <si>
    <r>
      <t>2014 WD</t>
    </r>
    <r>
      <rPr>
        <vertAlign val="subscript"/>
        <sz val="10"/>
        <color theme="1"/>
        <rFont val="Aptos Narrow"/>
        <family val="2"/>
        <scheme val="minor"/>
      </rPr>
      <t>510</t>
    </r>
  </si>
  <si>
    <t>58.43 AU</t>
  </si>
  <si>
    <t>19.04°</t>
  </si>
  <si>
    <t>12.47°</t>
  </si>
  <si>
    <t>79.37°</t>
  </si>
  <si>
    <t>6.36°</t>
  </si>
  <si>
    <r>
      <t>2014 OK</t>
    </r>
    <r>
      <rPr>
        <vertAlign val="subscript"/>
        <sz val="10"/>
        <color theme="1"/>
        <rFont val="Aptos Narrow"/>
        <family val="2"/>
        <scheme val="minor"/>
      </rPr>
      <t>394</t>
    </r>
  </si>
  <si>
    <t>42.252 AU</t>
  </si>
  <si>
    <t>4.14°</t>
  </si>
  <si>
    <t>247.58°</t>
  </si>
  <si>
    <t>128.384°</t>
  </si>
  <si>
    <t>30.889°</t>
  </si>
  <si>
    <r>
      <t>2005 RP</t>
    </r>
    <r>
      <rPr>
        <vertAlign val="subscript"/>
        <sz val="10"/>
        <color theme="1"/>
        <rFont val="Aptos Narrow"/>
        <family val="2"/>
        <scheme val="minor"/>
      </rPr>
      <t>43</t>
    </r>
  </si>
  <si>
    <t>95.78 AU</t>
  </si>
  <si>
    <t>22.87°</t>
  </si>
  <si>
    <t>346.82°</t>
  </si>
  <si>
    <t>344.13°</t>
  </si>
  <si>
    <t>10.44°</t>
  </si>
  <si>
    <r>
      <t>2010 PU</t>
    </r>
    <r>
      <rPr>
        <vertAlign val="subscript"/>
        <sz val="10"/>
        <color theme="1"/>
        <rFont val="Aptos Narrow"/>
        <family val="2"/>
        <scheme val="minor"/>
      </rPr>
      <t>75</t>
    </r>
  </si>
  <si>
    <t>84.74 AU</t>
  </si>
  <si>
    <t>256.3°</t>
  </si>
  <si>
    <t>78.24°</t>
  </si>
  <si>
    <t>354.88°</t>
  </si>
  <si>
    <r>
      <t>2010 QQ</t>
    </r>
    <r>
      <rPr>
        <vertAlign val="subscript"/>
        <sz val="10"/>
        <color theme="1"/>
        <rFont val="Aptos Narrow"/>
        <family val="2"/>
        <scheme val="minor"/>
      </rPr>
      <t>7</t>
    </r>
  </si>
  <si>
    <t>113.83 AU</t>
  </si>
  <si>
    <t>18.169°</t>
  </si>
  <si>
    <t>215.372°</t>
  </si>
  <si>
    <t>76.237°</t>
  </si>
  <si>
    <t>9.737°</t>
  </si>
  <si>
    <r>
      <t>2011 BT</t>
    </r>
    <r>
      <rPr>
        <vertAlign val="subscript"/>
        <sz val="10"/>
        <color theme="1"/>
        <rFont val="Aptos Narrow"/>
        <family val="2"/>
        <scheme val="minor"/>
      </rPr>
      <t>163</t>
    </r>
  </si>
  <si>
    <t>54.14 AU</t>
  </si>
  <si>
    <t>32.611°</t>
  </si>
  <si>
    <t>112.24°</t>
  </si>
  <si>
    <t>323.52°</t>
  </si>
  <si>
    <t>42.7°</t>
  </si>
  <si>
    <r>
      <t>2011 BM</t>
    </r>
    <r>
      <rPr>
        <vertAlign val="subscript"/>
        <sz val="10"/>
        <color theme="1"/>
        <rFont val="Aptos Narrow"/>
        <family val="2"/>
        <scheme val="minor"/>
      </rPr>
      <t>170</t>
    </r>
  </si>
  <si>
    <t>55.446 AU</t>
  </si>
  <si>
    <t>46.81°</t>
  </si>
  <si>
    <t>97.53°</t>
  </si>
  <si>
    <t>24.836°</t>
  </si>
  <si>
    <t>18.061°</t>
  </si>
  <si>
    <r>
      <t>2013 FQ</t>
    </r>
    <r>
      <rPr>
        <vertAlign val="subscript"/>
        <sz val="10"/>
        <color theme="1"/>
        <rFont val="Aptos Narrow"/>
        <family val="2"/>
        <scheme val="minor"/>
      </rPr>
      <t>28</t>
    </r>
  </si>
  <si>
    <t>62.948 AU</t>
  </si>
  <si>
    <t>25.705°</t>
  </si>
  <si>
    <t>229.51°</t>
  </si>
  <si>
    <t>214.89°</t>
  </si>
  <si>
    <t>92.132°</t>
  </si>
  <si>
    <r>
      <t>2013 RO</t>
    </r>
    <r>
      <rPr>
        <vertAlign val="subscript"/>
        <sz val="10"/>
        <color theme="1"/>
        <rFont val="Aptos Narrow"/>
        <family val="2"/>
        <scheme val="minor"/>
      </rPr>
      <t>98</t>
    </r>
  </si>
  <si>
    <t>58.661 AU</t>
  </si>
  <si>
    <t>18.775°</t>
  </si>
  <si>
    <t>99.484°</t>
  </si>
  <si>
    <t>292.62°</t>
  </si>
  <si>
    <t>341°</t>
  </si>
  <si>
    <r>
      <t>2013 SQ</t>
    </r>
    <r>
      <rPr>
        <vertAlign val="subscript"/>
        <sz val="10"/>
        <color theme="1"/>
        <rFont val="Aptos Narrow"/>
        <family val="2"/>
        <scheme val="minor"/>
      </rPr>
      <t>102</t>
    </r>
  </si>
  <si>
    <t>96.3 AU</t>
  </si>
  <si>
    <t>1.47°</t>
  </si>
  <si>
    <t>357.741°</t>
  </si>
  <si>
    <t>14.45°</t>
  </si>
  <si>
    <t>347.5°</t>
  </si>
  <si>
    <r>
      <t>2014 FX</t>
    </r>
    <r>
      <rPr>
        <vertAlign val="subscript"/>
        <sz val="10"/>
        <color theme="1"/>
        <rFont val="Aptos Narrow"/>
        <family val="2"/>
        <scheme val="minor"/>
      </rPr>
      <t>71</t>
    </r>
  </si>
  <si>
    <t>62.04 AU</t>
  </si>
  <si>
    <t>17.73°</t>
  </si>
  <si>
    <t>192.69°</t>
  </si>
  <si>
    <t>275.84°</t>
  </si>
  <si>
    <t>32.74°</t>
  </si>
  <si>
    <r>
      <t>2015 FG</t>
    </r>
    <r>
      <rPr>
        <vertAlign val="subscript"/>
        <sz val="10"/>
        <color theme="1"/>
        <rFont val="Aptos Narrow"/>
        <family val="2"/>
        <scheme val="minor"/>
      </rPr>
      <t>415</t>
    </r>
  </si>
  <si>
    <t>63.967 AU</t>
  </si>
  <si>
    <t>4.723°</t>
  </si>
  <si>
    <t>314.55°</t>
  </si>
  <si>
    <t>6.752°</t>
  </si>
  <si>
    <t>227.77°</t>
  </si>
  <si>
    <r>
      <t>2015 UH</t>
    </r>
    <r>
      <rPr>
        <vertAlign val="subscript"/>
        <sz val="10"/>
        <color theme="1"/>
        <rFont val="Aptos Narrow"/>
        <family val="2"/>
        <scheme val="minor"/>
      </rPr>
      <t>87</t>
    </r>
  </si>
  <si>
    <t>63.03 AU</t>
  </si>
  <si>
    <t>10.7°</t>
  </si>
  <si>
    <t>98.32°</t>
  </si>
  <si>
    <t>251.2°</t>
  </si>
  <si>
    <r>
      <t>2008 CS</t>
    </r>
    <r>
      <rPr>
        <vertAlign val="subscript"/>
        <sz val="10"/>
        <color theme="1"/>
        <rFont val="Aptos Narrow"/>
        <family val="2"/>
        <scheme val="minor"/>
      </rPr>
      <t>190</t>
    </r>
  </si>
  <si>
    <t>122 km</t>
  </si>
  <si>
    <t>42.059 AU</t>
  </si>
  <si>
    <t>15.96°</t>
  </si>
  <si>
    <t>149.79°</t>
  </si>
  <si>
    <t>326.71°</t>
  </si>
  <si>
    <t>39.53°</t>
  </si>
  <si>
    <r>
      <t>2008 QB</t>
    </r>
    <r>
      <rPr>
        <vertAlign val="subscript"/>
        <sz val="10"/>
        <color theme="1"/>
        <rFont val="Aptos Narrow"/>
        <family val="2"/>
        <scheme val="minor"/>
      </rPr>
      <t>43</t>
    </r>
  </si>
  <si>
    <t>41.865 AU</t>
  </si>
  <si>
    <t>26.31°</t>
  </si>
  <si>
    <t>75.12°</t>
  </si>
  <si>
    <t>320.36°</t>
  </si>
  <si>
    <t>339.7°</t>
  </si>
  <si>
    <r>
      <t>2010 VV</t>
    </r>
    <r>
      <rPr>
        <vertAlign val="subscript"/>
        <sz val="10"/>
        <color theme="1"/>
        <rFont val="Aptos Narrow"/>
        <family val="2"/>
        <scheme val="minor"/>
      </rPr>
      <t>224</t>
    </r>
  </si>
  <si>
    <t>25.13°</t>
  </si>
  <si>
    <t>216.56°</t>
  </si>
  <si>
    <t>225.2°</t>
  </si>
  <si>
    <t>342.88°</t>
  </si>
  <si>
    <r>
      <t>2012 DW</t>
    </r>
    <r>
      <rPr>
        <vertAlign val="subscript"/>
        <sz val="10"/>
        <color theme="1"/>
        <rFont val="Aptos Narrow"/>
        <family val="2"/>
        <scheme val="minor"/>
      </rPr>
      <t>98</t>
    </r>
  </si>
  <si>
    <t>41.382 AU</t>
  </si>
  <si>
    <t>18.984°</t>
  </si>
  <si>
    <t>354.34°</t>
  </si>
  <si>
    <t>209.73°</t>
  </si>
  <si>
    <t>356.43°</t>
  </si>
  <si>
    <r>
      <t>2014 HW</t>
    </r>
    <r>
      <rPr>
        <vertAlign val="subscript"/>
        <sz val="10"/>
        <color theme="1"/>
        <rFont val="Aptos Narrow"/>
        <family val="2"/>
        <scheme val="minor"/>
      </rPr>
      <t>199</t>
    </r>
  </si>
  <si>
    <t>46.638 AU</t>
  </si>
  <si>
    <t>15.445°</t>
  </si>
  <si>
    <t>341.39°</t>
  </si>
  <si>
    <t>222.71°</t>
  </si>
  <si>
    <t>27.659°</t>
  </si>
  <si>
    <r>
      <t>2014 KW</t>
    </r>
    <r>
      <rPr>
        <vertAlign val="subscript"/>
        <sz val="10"/>
        <color theme="1"/>
        <rFont val="Aptos Narrow"/>
        <family val="2"/>
        <scheme val="minor"/>
      </rPr>
      <t>101</t>
    </r>
  </si>
  <si>
    <t>40.685 AU</t>
  </si>
  <si>
    <t>19.333°</t>
  </si>
  <si>
    <t>50.63°</t>
  </si>
  <si>
    <t>200.12°</t>
  </si>
  <si>
    <t>48.58°</t>
  </si>
  <si>
    <r>
      <t>2014 TA</t>
    </r>
    <r>
      <rPr>
        <vertAlign val="subscript"/>
        <sz val="10"/>
        <color theme="1"/>
        <rFont val="Aptos Narrow"/>
        <family val="2"/>
        <scheme val="minor"/>
      </rPr>
      <t>86</t>
    </r>
  </si>
  <si>
    <t>42.105 AU</t>
  </si>
  <si>
    <t>9.311°</t>
  </si>
  <si>
    <t>141.1°</t>
  </si>
  <si>
    <t>219.3°</t>
  </si>
  <si>
    <t>34.04°</t>
  </si>
  <si>
    <r>
      <t>2014 UP</t>
    </r>
    <r>
      <rPr>
        <vertAlign val="subscript"/>
        <sz val="10"/>
        <color theme="1"/>
        <rFont val="Aptos Narrow"/>
        <family val="2"/>
        <scheme val="minor"/>
      </rPr>
      <t>224</t>
    </r>
  </si>
  <si>
    <t>40.77 AU</t>
  </si>
  <si>
    <t>18.388°</t>
  </si>
  <si>
    <t>349.17°</t>
  </si>
  <si>
    <t>178.94°</t>
  </si>
  <si>
    <r>
      <t>2015 OV</t>
    </r>
    <r>
      <rPr>
        <vertAlign val="subscript"/>
        <sz val="10"/>
        <color theme="1"/>
        <rFont val="Aptos Narrow"/>
        <family val="2"/>
        <scheme val="minor"/>
      </rPr>
      <t>79</t>
    </r>
  </si>
  <si>
    <t>40.34 AU</t>
  </si>
  <si>
    <t>30.372°</t>
  </si>
  <si>
    <t>315°</t>
  </si>
  <si>
    <t>117.59°</t>
  </si>
  <si>
    <t>266°</t>
  </si>
  <si>
    <r>
      <t>2002 CX</t>
    </r>
    <r>
      <rPr>
        <vertAlign val="subscript"/>
        <sz val="10"/>
        <color theme="1"/>
        <rFont val="Aptos Narrow"/>
        <family val="2"/>
        <scheme val="minor"/>
      </rPr>
      <t>224</t>
    </r>
  </si>
  <si>
    <t>46.3 AU</t>
  </si>
  <si>
    <t>16.86°</t>
  </si>
  <si>
    <t>133°</t>
  </si>
  <si>
    <t>42.28°</t>
  </si>
  <si>
    <r>
      <t>2002 XE</t>
    </r>
    <r>
      <rPr>
        <vertAlign val="subscript"/>
        <sz val="10"/>
        <color theme="1"/>
        <rFont val="Aptos Narrow"/>
        <family val="2"/>
        <scheme val="minor"/>
      </rPr>
      <t>91</t>
    </r>
  </si>
  <si>
    <t>46.095 AU</t>
  </si>
  <si>
    <t>6.27°</t>
  </si>
  <si>
    <t>7.09°</t>
  </si>
  <si>
    <t>276.97°</t>
  </si>
  <si>
    <t>186.72°</t>
  </si>
  <si>
    <r>
      <t>2006 QU</t>
    </r>
    <r>
      <rPr>
        <vertAlign val="subscript"/>
        <sz val="10"/>
        <color theme="1"/>
        <rFont val="Aptos Narrow"/>
        <family val="2"/>
        <scheme val="minor"/>
      </rPr>
      <t>180</t>
    </r>
  </si>
  <si>
    <t>43.256 AU</t>
  </si>
  <si>
    <t>19.065°</t>
  </si>
  <si>
    <t>345.057°</t>
  </si>
  <si>
    <t>331.464°</t>
  </si>
  <si>
    <t>0.018°</t>
  </si>
  <si>
    <r>
      <t>2008 AQ</t>
    </r>
    <r>
      <rPr>
        <vertAlign val="subscript"/>
        <sz val="10"/>
        <color theme="1"/>
        <rFont val="Aptos Narrow"/>
        <family val="2"/>
        <scheme val="minor"/>
      </rPr>
      <t>118</t>
    </r>
  </si>
  <si>
    <t>41.71 AU</t>
  </si>
  <si>
    <t>24.54°</t>
  </si>
  <si>
    <t>198.8°</t>
  </si>
  <si>
    <t>312.4°</t>
  </si>
  <si>
    <t>352.5°</t>
  </si>
  <si>
    <r>
      <t>2010 RD</t>
    </r>
    <r>
      <rPr>
        <vertAlign val="subscript"/>
        <sz val="10"/>
        <color theme="1"/>
        <rFont val="Aptos Narrow"/>
        <family val="2"/>
        <scheme val="minor"/>
      </rPr>
      <t>188</t>
    </r>
  </si>
  <si>
    <t>40.23 AU</t>
  </si>
  <si>
    <t>0.142°</t>
  </si>
  <si>
    <t>65.103°</t>
  </si>
  <si>
    <t>305.5°</t>
  </si>
  <si>
    <r>
      <t>2012 UB</t>
    </r>
    <r>
      <rPr>
        <vertAlign val="subscript"/>
        <sz val="10"/>
        <color theme="1"/>
        <rFont val="Aptos Narrow"/>
        <family val="2"/>
        <scheme val="minor"/>
      </rPr>
      <t>178</t>
    </r>
  </si>
  <si>
    <t>42.59 AU</t>
  </si>
  <si>
    <t>8.963°</t>
  </si>
  <si>
    <t>84°</t>
  </si>
  <si>
    <t>180.52°</t>
  </si>
  <si>
    <r>
      <t>2013 EC</t>
    </r>
    <r>
      <rPr>
        <vertAlign val="subscript"/>
        <sz val="10"/>
        <color theme="1"/>
        <rFont val="Aptos Narrow"/>
        <family val="2"/>
        <scheme val="minor"/>
      </rPr>
      <t>138</t>
    </r>
  </si>
  <si>
    <t>47.144 AU</t>
  </si>
  <si>
    <t>8.438°</t>
  </si>
  <si>
    <t>212.933°</t>
  </si>
  <si>
    <t>310.96°</t>
  </si>
  <si>
    <t>339.91°</t>
  </si>
  <si>
    <r>
      <t>2013 FB</t>
    </r>
    <r>
      <rPr>
        <vertAlign val="subscript"/>
        <sz val="10"/>
        <color theme="1"/>
        <rFont val="Aptos Narrow"/>
        <family val="2"/>
        <scheme val="minor"/>
      </rPr>
      <t>28</t>
    </r>
  </si>
  <si>
    <t>45.922 AU</t>
  </si>
  <si>
    <t>15.667°</t>
  </si>
  <si>
    <t>173.98°</t>
  </si>
  <si>
    <t>320.82°</t>
  </si>
  <si>
    <t>42.497°</t>
  </si>
  <si>
    <r>
      <t>2013 LY</t>
    </r>
    <r>
      <rPr>
        <vertAlign val="subscript"/>
        <sz val="10"/>
        <color theme="1"/>
        <rFont val="Aptos Narrow"/>
        <family val="2"/>
        <scheme val="minor"/>
      </rPr>
      <t>35</t>
    </r>
  </si>
  <si>
    <t>42.85 AU</t>
  </si>
  <si>
    <t>8.72°</t>
  </si>
  <si>
    <t>294.56°</t>
  </si>
  <si>
    <t>305.9°</t>
  </si>
  <si>
    <r>
      <t>2013 SK</t>
    </r>
    <r>
      <rPr>
        <vertAlign val="subscript"/>
        <sz val="10"/>
        <color theme="1"/>
        <rFont val="Aptos Narrow"/>
        <family val="2"/>
        <scheme val="minor"/>
      </rPr>
      <t>102</t>
    </r>
  </si>
  <si>
    <t>119 km</t>
  </si>
  <si>
    <t>43.79 AU</t>
  </si>
  <si>
    <t>7.407°</t>
  </si>
  <si>
    <t>152.64°</t>
  </si>
  <si>
    <t>66.44°</t>
  </si>
  <si>
    <t>144.4°</t>
  </si>
  <si>
    <r>
      <t>2013 SP</t>
    </r>
    <r>
      <rPr>
        <vertAlign val="subscript"/>
        <sz val="10"/>
        <color theme="1"/>
        <rFont val="Aptos Narrow"/>
        <family val="2"/>
        <scheme val="minor"/>
      </rPr>
      <t>102</t>
    </r>
  </si>
  <si>
    <t>39.607 AU</t>
  </si>
  <si>
    <t>11.588°</t>
  </si>
  <si>
    <t>76.48°</t>
  </si>
  <si>
    <t>146.54°</t>
  </si>
  <si>
    <t>171.64°</t>
  </si>
  <si>
    <r>
      <t>2014 DE</t>
    </r>
    <r>
      <rPr>
        <vertAlign val="subscript"/>
        <sz val="10"/>
        <color theme="1"/>
        <rFont val="Aptos Narrow"/>
        <family val="2"/>
        <scheme val="minor"/>
      </rPr>
      <t>143</t>
    </r>
  </si>
  <si>
    <t>43.519 AU</t>
  </si>
  <si>
    <t>6.463°</t>
  </si>
  <si>
    <t>164.112°</t>
  </si>
  <si>
    <t>222°</t>
  </si>
  <si>
    <r>
      <t>2014 LT</t>
    </r>
    <r>
      <rPr>
        <vertAlign val="subscript"/>
        <sz val="10"/>
        <color theme="1"/>
        <rFont val="Aptos Narrow"/>
        <family val="2"/>
        <scheme val="minor"/>
      </rPr>
      <t>28</t>
    </r>
  </si>
  <si>
    <t>44.192 AU</t>
  </si>
  <si>
    <t>10.03°</t>
  </si>
  <si>
    <t>196.4°</t>
  </si>
  <si>
    <t>63.73°</t>
  </si>
  <si>
    <t>33.96°</t>
  </si>
  <si>
    <r>
      <t>2014 WF</t>
    </r>
    <r>
      <rPr>
        <vertAlign val="subscript"/>
        <sz val="10"/>
        <color theme="1"/>
        <rFont val="Aptos Narrow"/>
        <family val="2"/>
        <scheme val="minor"/>
      </rPr>
      <t>509</t>
    </r>
  </si>
  <si>
    <t>45.093 AU</t>
  </si>
  <si>
    <t>7.083°</t>
  </si>
  <si>
    <t>183.07°</t>
  </si>
  <si>
    <t>177.37°</t>
  </si>
  <si>
    <t>51.93°</t>
  </si>
  <si>
    <t>43.95 AU</t>
  </si>
  <si>
    <t>10.15°</t>
  </si>
  <si>
    <t>2.59°</t>
  </si>
  <si>
    <t>104.85°</t>
  </si>
  <si>
    <t>63.88°</t>
  </si>
  <si>
    <r>
      <t>2015 BQ</t>
    </r>
    <r>
      <rPr>
        <vertAlign val="subscript"/>
        <sz val="10"/>
        <color theme="1"/>
        <rFont val="Aptos Narrow"/>
        <family val="2"/>
        <scheme val="minor"/>
      </rPr>
      <t>518</t>
    </r>
  </si>
  <si>
    <t>41.74 AU</t>
  </si>
  <si>
    <t>16.024°</t>
  </si>
  <si>
    <t>136°</t>
  </si>
  <si>
    <t>271.044°</t>
  </si>
  <si>
    <t>108°</t>
  </si>
  <si>
    <r>
      <t>2000 CM</t>
    </r>
    <r>
      <rPr>
        <vertAlign val="subscript"/>
        <sz val="10"/>
        <color theme="1"/>
        <rFont val="Aptos Narrow"/>
        <family val="2"/>
        <scheme val="minor"/>
      </rPr>
      <t>114</t>
    </r>
  </si>
  <si>
    <t>59.159 AU</t>
  </si>
  <si>
    <t>19.66°</t>
  </si>
  <si>
    <t>250.92°</t>
  </si>
  <si>
    <t>312.29°</t>
  </si>
  <si>
    <t>339.75°</t>
  </si>
  <si>
    <t>S/2006 (60458) 1</t>
  </si>
  <si>
    <t>46 km</t>
  </si>
  <si>
    <t>2,497 km</t>
  </si>
  <si>
    <r>
      <t>2001 KC</t>
    </r>
    <r>
      <rPr>
        <vertAlign val="subscript"/>
        <sz val="10"/>
        <color theme="1"/>
        <rFont val="Aptos Narrow"/>
        <family val="2"/>
        <scheme val="minor"/>
      </rPr>
      <t>77</t>
    </r>
  </si>
  <si>
    <t>55.02 AU</t>
  </si>
  <si>
    <t>12.907°</t>
  </si>
  <si>
    <t>179.6°</t>
  </si>
  <si>
    <t>57.833°</t>
  </si>
  <si>
    <t>12.6°</t>
  </si>
  <si>
    <r>
      <t>1998 WW</t>
    </r>
    <r>
      <rPr>
        <vertAlign val="subscript"/>
        <sz val="10"/>
        <color theme="1"/>
        <rFont val="Aptos Narrow"/>
        <family val="2"/>
        <scheme val="minor"/>
      </rPr>
      <t>31</t>
    </r>
  </si>
  <si>
    <t>44.477 AU</t>
  </si>
  <si>
    <t>6.817°</t>
  </si>
  <si>
    <t>51.218°</t>
  </si>
  <si>
    <t>237.138°</t>
  </si>
  <si>
    <t>141.847°</t>
  </si>
  <si>
    <r>
      <t>2002 CY</t>
    </r>
    <r>
      <rPr>
        <vertAlign val="subscript"/>
        <sz val="10"/>
        <color theme="1"/>
        <rFont val="Aptos Narrow"/>
        <family val="2"/>
        <scheme val="minor"/>
      </rPr>
      <t>224</t>
    </r>
  </si>
  <si>
    <t>54.38 AU</t>
  </si>
  <si>
    <t>152.02°</t>
  </si>
  <si>
    <t>147.49°</t>
  </si>
  <si>
    <t>316.99°</t>
  </si>
  <si>
    <r>
      <t>2005 SA</t>
    </r>
    <r>
      <rPr>
        <vertAlign val="subscript"/>
        <sz val="10"/>
        <color theme="1"/>
        <rFont val="Aptos Narrow"/>
        <family val="2"/>
        <scheme val="minor"/>
      </rPr>
      <t>278</t>
    </r>
  </si>
  <si>
    <t>92.92 AU</t>
  </si>
  <si>
    <t>277.1°</t>
  </si>
  <si>
    <r>
      <t>2014 CP</t>
    </r>
    <r>
      <rPr>
        <vertAlign val="subscript"/>
        <sz val="10"/>
        <color theme="1"/>
        <rFont val="Aptos Narrow"/>
        <family val="2"/>
        <scheme val="minor"/>
      </rPr>
      <t>23</t>
    </r>
  </si>
  <si>
    <t>52.319 AU</t>
  </si>
  <si>
    <t>28.51°</t>
  </si>
  <si>
    <t>22.015°</t>
  </si>
  <si>
    <t>145.86°</t>
  </si>
  <si>
    <t>356.73°</t>
  </si>
  <si>
    <r>
      <t>2014 GH</t>
    </r>
    <r>
      <rPr>
        <vertAlign val="subscript"/>
        <sz val="10"/>
        <color theme="1"/>
        <rFont val="Aptos Narrow"/>
        <family val="2"/>
        <scheme val="minor"/>
      </rPr>
      <t>54</t>
    </r>
  </si>
  <si>
    <t>60.24 AU</t>
  </si>
  <si>
    <t>26.95°</t>
  </si>
  <si>
    <t>199.9°</t>
  </si>
  <si>
    <t>31.75°</t>
  </si>
  <si>
    <t>356.7°</t>
  </si>
  <si>
    <r>
      <t>2014 XV</t>
    </r>
    <r>
      <rPr>
        <vertAlign val="subscript"/>
        <sz val="10"/>
        <color theme="1"/>
        <rFont val="Aptos Narrow"/>
        <family val="2"/>
        <scheme val="minor"/>
      </rPr>
      <t>40</t>
    </r>
  </si>
  <si>
    <t>60.976 AU</t>
  </si>
  <si>
    <t>36.339°</t>
  </si>
  <si>
    <t>62.813°</t>
  </si>
  <si>
    <t>93.196°</t>
  </si>
  <si>
    <t>355.217°</t>
  </si>
  <si>
    <r>
      <t>2014 PD</t>
    </r>
    <r>
      <rPr>
        <vertAlign val="subscript"/>
        <sz val="10"/>
        <color theme="1"/>
        <rFont val="Aptos Narrow"/>
        <family val="2"/>
        <scheme val="minor"/>
      </rPr>
      <t>112</t>
    </r>
  </si>
  <si>
    <t>131 km</t>
  </si>
  <si>
    <t>46.88 AU</t>
  </si>
  <si>
    <t>7.73°</t>
  </si>
  <si>
    <t>12.65°</t>
  </si>
  <si>
    <t>232.8°</t>
  </si>
  <si>
    <r>
      <t>2010 RM</t>
    </r>
    <r>
      <rPr>
        <vertAlign val="subscript"/>
        <sz val="10"/>
        <color theme="1"/>
        <rFont val="Aptos Narrow"/>
        <family val="2"/>
        <scheme val="minor"/>
      </rPr>
      <t>45</t>
    </r>
  </si>
  <si>
    <t>46.785 AU</t>
  </si>
  <si>
    <t>19.06°</t>
  </si>
  <si>
    <t>296.25°</t>
  </si>
  <si>
    <t>87.05°</t>
  </si>
  <si>
    <t>337.28°</t>
  </si>
  <si>
    <r>
      <t>2010 WM</t>
    </r>
    <r>
      <rPr>
        <vertAlign val="subscript"/>
        <sz val="10"/>
        <color theme="1"/>
        <rFont val="Aptos Narrow"/>
        <family val="2"/>
        <scheme val="minor"/>
      </rPr>
      <t>75</t>
    </r>
  </si>
  <si>
    <t>50.418 AU</t>
  </si>
  <si>
    <t>22.56°</t>
  </si>
  <si>
    <t>264.13°</t>
  </si>
  <si>
    <t>223.08°</t>
  </si>
  <si>
    <t>334.43°</t>
  </si>
  <si>
    <r>
      <t>2011 BR</t>
    </r>
    <r>
      <rPr>
        <vertAlign val="subscript"/>
        <sz val="10"/>
        <color theme="1"/>
        <rFont val="Aptos Narrow"/>
        <family val="2"/>
        <scheme val="minor"/>
      </rPr>
      <t>163</t>
    </r>
  </si>
  <si>
    <t>98.68 AU</t>
  </si>
  <si>
    <t>24.759°</t>
  </si>
  <si>
    <t>20.55°</t>
  </si>
  <si>
    <t>107.39°</t>
  </si>
  <si>
    <t>1.78°</t>
  </si>
  <si>
    <r>
      <t>2012 BA</t>
    </r>
    <r>
      <rPr>
        <vertAlign val="subscript"/>
        <sz val="10"/>
        <color theme="1"/>
        <rFont val="Aptos Narrow"/>
        <family val="2"/>
        <scheme val="minor"/>
      </rPr>
      <t>155</t>
    </r>
  </si>
  <si>
    <t>54.86 AU</t>
  </si>
  <si>
    <t>14.384°</t>
  </si>
  <si>
    <t>341.72°</t>
  </si>
  <si>
    <t>228.46°</t>
  </si>
  <si>
    <t>336.58°</t>
  </si>
  <si>
    <t>457.513 AU</t>
  </si>
  <si>
    <t>12.405°</t>
  </si>
  <si>
    <t>262.841°</t>
  </si>
  <si>
    <t>104.682°</t>
  </si>
  <si>
    <r>
      <t>2014 BE</t>
    </r>
    <r>
      <rPr>
        <vertAlign val="subscript"/>
        <sz val="10"/>
        <color theme="1"/>
        <rFont val="Aptos Narrow"/>
        <family val="2"/>
        <scheme val="minor"/>
      </rPr>
      <t>70</t>
    </r>
  </si>
  <si>
    <t>102.61 AU</t>
  </si>
  <si>
    <t>25.4°</t>
  </si>
  <si>
    <t>287.49°</t>
  </si>
  <si>
    <t>239.65°</t>
  </si>
  <si>
    <t>358.34°</t>
  </si>
  <si>
    <r>
      <t>2014 OP</t>
    </r>
    <r>
      <rPr>
        <vertAlign val="subscript"/>
        <sz val="10"/>
        <color theme="1"/>
        <rFont val="Aptos Narrow"/>
        <family val="2"/>
        <scheme val="minor"/>
      </rPr>
      <t>394</t>
    </r>
  </si>
  <si>
    <t>67.55 AU</t>
  </si>
  <si>
    <t>116.93°</t>
  </si>
  <si>
    <t>199.53°</t>
  </si>
  <si>
    <t>24.27°</t>
  </si>
  <si>
    <r>
      <t>2014 OS</t>
    </r>
    <r>
      <rPr>
        <vertAlign val="subscript"/>
        <sz val="10"/>
        <color theme="1"/>
        <rFont val="Aptos Narrow"/>
        <family val="2"/>
        <scheme val="minor"/>
      </rPr>
      <t>394</t>
    </r>
  </si>
  <si>
    <t>149.65 AU</t>
  </si>
  <si>
    <t>14.15°</t>
  </si>
  <si>
    <t>251.9°</t>
  </si>
  <si>
    <t>194.3°</t>
  </si>
  <si>
    <t>357.32°</t>
  </si>
  <si>
    <r>
      <t>2014 UV</t>
    </r>
    <r>
      <rPr>
        <vertAlign val="subscript"/>
        <sz val="10"/>
        <color theme="1"/>
        <rFont val="Aptos Narrow"/>
        <family val="2"/>
        <scheme val="minor"/>
      </rPr>
      <t>224</t>
    </r>
  </si>
  <si>
    <t>71.02 AU</t>
  </si>
  <si>
    <t>3.96°</t>
  </si>
  <si>
    <t>249.85°</t>
  </si>
  <si>
    <t>338.76°</t>
  </si>
  <si>
    <r>
      <t>2014 UD</t>
    </r>
    <r>
      <rPr>
        <vertAlign val="subscript"/>
        <sz val="10"/>
        <color theme="1"/>
        <rFont val="Aptos Narrow"/>
        <family val="2"/>
        <scheme val="minor"/>
      </rPr>
      <t>228</t>
    </r>
  </si>
  <si>
    <t>54.7 AU</t>
  </si>
  <si>
    <t>7.023°</t>
  </si>
  <si>
    <t>0.26°</t>
  </si>
  <si>
    <t>245.99°</t>
  </si>
  <si>
    <r>
      <t>2015 KG</t>
    </r>
    <r>
      <rPr>
        <vertAlign val="subscript"/>
        <sz val="10"/>
        <color theme="1"/>
        <rFont val="Aptos Narrow"/>
        <family val="2"/>
        <scheme val="minor"/>
      </rPr>
      <t>172</t>
    </r>
  </si>
  <si>
    <t>55.8 AU</t>
  </si>
  <si>
    <t>32.23°</t>
  </si>
  <si>
    <t>53.14°</t>
  </si>
  <si>
    <t>113°</t>
  </si>
  <si>
    <r>
      <t>2015 VL</t>
    </r>
    <r>
      <rPr>
        <vertAlign val="subscript"/>
        <sz val="10"/>
        <color theme="1"/>
        <rFont val="Aptos Narrow"/>
        <family val="2"/>
        <scheme val="minor"/>
      </rPr>
      <t>168</t>
    </r>
  </si>
  <si>
    <t>86 AU</t>
  </si>
  <si>
    <t>16.251°</t>
  </si>
  <si>
    <t>290.4°</t>
  </si>
  <si>
    <t>229.67°</t>
  </si>
  <si>
    <t>319°</t>
  </si>
  <si>
    <r>
      <t>2016 TS</t>
    </r>
    <r>
      <rPr>
        <vertAlign val="subscript"/>
        <sz val="10"/>
        <color theme="1"/>
        <rFont val="Aptos Narrow"/>
        <family val="2"/>
        <scheme val="minor"/>
      </rPr>
      <t>97</t>
    </r>
  </si>
  <si>
    <t>53.895 AU</t>
  </si>
  <si>
    <t>32.261°</t>
  </si>
  <si>
    <t>65.834°</t>
  </si>
  <si>
    <t>146.447°</t>
  </si>
  <si>
    <t>187.505°</t>
  </si>
  <si>
    <r>
      <t>2014 OB</t>
    </r>
    <r>
      <rPr>
        <vertAlign val="subscript"/>
        <sz val="10"/>
        <color theme="1"/>
        <rFont val="Aptos Narrow"/>
        <family val="2"/>
        <scheme val="minor"/>
      </rPr>
      <t>394</t>
    </r>
  </si>
  <si>
    <t>46.629 AU</t>
  </si>
  <si>
    <t>20.739°</t>
  </si>
  <si>
    <t>9.724°</t>
  </si>
  <si>
    <t>8.085°</t>
  </si>
  <si>
    <t>353.23°</t>
  </si>
  <si>
    <r>
      <t>2013 SA</t>
    </r>
    <r>
      <rPr>
        <vertAlign val="subscript"/>
        <sz val="10"/>
        <color theme="1"/>
        <rFont val="Aptos Narrow"/>
        <family val="2"/>
        <scheme val="minor"/>
      </rPr>
      <t>100</t>
    </r>
  </si>
  <si>
    <t>46.209 AU</t>
  </si>
  <si>
    <t>8.489°</t>
  </si>
  <si>
    <t>114.99°</t>
  </si>
  <si>
    <t>27.788°</t>
  </si>
  <si>
    <t>249.56°</t>
  </si>
  <si>
    <r>
      <rPr>
        <sz val="10"/>
        <color theme="1"/>
        <rFont val="Aptos Narrow"/>
        <family val="2"/>
        <scheme val="minor"/>
      </rPr>
      <t>2014 OH</t>
    </r>
    <r>
      <rPr>
        <vertAlign val="subscript"/>
        <sz val="10"/>
        <color theme="1"/>
        <rFont val="Aptos Narrow"/>
        <family val="2"/>
        <scheme val="minor"/>
      </rPr>
      <t>394</t>
    </r>
  </si>
  <si>
    <t>46.13 AU</t>
  </si>
  <si>
    <t>9.69°</t>
  </si>
  <si>
    <t>75.64°</t>
  </si>
  <si>
    <t>290.28°</t>
  </si>
  <si>
    <t>321.56°</t>
  </si>
  <si>
    <r>
      <t>2014 YB</t>
    </r>
    <r>
      <rPr>
        <vertAlign val="subscript"/>
        <sz val="10"/>
        <color theme="1"/>
        <rFont val="Aptos Narrow"/>
        <family val="2"/>
        <scheme val="minor"/>
      </rPr>
      <t>50</t>
    </r>
  </si>
  <si>
    <t>41.7 AU</t>
  </si>
  <si>
    <t>28.62°</t>
  </si>
  <si>
    <t>35°</t>
  </si>
  <si>
    <t>104.03°</t>
  </si>
  <si>
    <t>344°</t>
  </si>
  <si>
    <t>7.15°</t>
  </si>
  <si>
    <t>82°</t>
  </si>
  <si>
    <t>144.7°</t>
  </si>
  <si>
    <t>109°</t>
  </si>
  <si>
    <t>S/2009 (612141) 1</t>
  </si>
  <si>
    <t>2,670 km</t>
  </si>
  <si>
    <r>
      <t>2000 CK</t>
    </r>
    <r>
      <rPr>
        <vertAlign val="subscript"/>
        <sz val="10"/>
        <color theme="1"/>
        <rFont val="Aptos Narrow"/>
        <family val="2"/>
        <scheme val="minor"/>
      </rPr>
      <t>105</t>
    </r>
  </si>
  <si>
    <t>8.11°</t>
  </si>
  <si>
    <t>352.1°</t>
  </si>
  <si>
    <t>326.52°</t>
  </si>
  <si>
    <t>190°</t>
  </si>
  <si>
    <r>
      <t>2001 KY</t>
    </r>
    <r>
      <rPr>
        <vertAlign val="subscript"/>
        <sz val="10"/>
        <color theme="1"/>
        <rFont val="Aptos Narrow"/>
        <family val="2"/>
        <scheme val="minor"/>
      </rPr>
      <t>76</t>
    </r>
  </si>
  <si>
    <t>39.263 AU</t>
  </si>
  <si>
    <t>3.975°</t>
  </si>
  <si>
    <t>263.07°</t>
  </si>
  <si>
    <t>90.07°</t>
  </si>
  <si>
    <t>306.9°</t>
  </si>
  <si>
    <r>
      <t>2002 CV</t>
    </r>
    <r>
      <rPr>
        <vertAlign val="subscript"/>
        <sz val="10"/>
        <color theme="1"/>
        <rFont val="Aptos Narrow"/>
        <family val="2"/>
        <scheme val="minor"/>
      </rPr>
      <t>154</t>
    </r>
  </si>
  <si>
    <t>45.67 AU</t>
  </si>
  <si>
    <t>15.303°</t>
  </si>
  <si>
    <t>190.883°</t>
  </si>
  <si>
    <t>149.186°</t>
  </si>
  <si>
    <t>178.651°</t>
  </si>
  <si>
    <r>
      <t>2003 UA</t>
    </r>
    <r>
      <rPr>
        <vertAlign val="subscript"/>
        <sz val="10"/>
        <color theme="1"/>
        <rFont val="Aptos Narrow"/>
        <family val="2"/>
        <scheme val="minor"/>
      </rPr>
      <t>292</t>
    </r>
  </si>
  <si>
    <t>46.764 AU</t>
  </si>
  <si>
    <t>11.194°</t>
  </si>
  <si>
    <t>5.642°</t>
  </si>
  <si>
    <t>232.197°</t>
  </si>
  <si>
    <t>179.861°</t>
  </si>
  <si>
    <r>
      <t>2006 QT</t>
    </r>
    <r>
      <rPr>
        <vertAlign val="subscript"/>
        <sz val="10"/>
        <color theme="1"/>
        <rFont val="Aptos Narrow"/>
        <family val="2"/>
        <scheme val="minor"/>
      </rPr>
      <t>180</t>
    </r>
  </si>
  <si>
    <t>79.6 AU</t>
  </si>
  <si>
    <t>21.03°</t>
  </si>
  <si>
    <t>158.5°</t>
  </si>
  <si>
    <t>124.7°</t>
  </si>
  <si>
    <r>
      <t>2009 YR</t>
    </r>
    <r>
      <rPr>
        <vertAlign val="subscript"/>
        <sz val="10"/>
        <color theme="1"/>
        <rFont val="Aptos Narrow"/>
        <family val="2"/>
        <scheme val="minor"/>
      </rPr>
      <t>26</t>
    </r>
  </si>
  <si>
    <t>41.145 AU</t>
  </si>
  <si>
    <t>288.12°</t>
  </si>
  <si>
    <t>118.58°</t>
  </si>
  <si>
    <t>61.026°</t>
  </si>
  <si>
    <r>
      <t>2010 RK</t>
    </r>
    <r>
      <rPr>
        <vertAlign val="subscript"/>
        <sz val="10"/>
        <color theme="1"/>
        <rFont val="Aptos Narrow"/>
        <family val="2"/>
        <scheme val="minor"/>
      </rPr>
      <t>190</t>
    </r>
  </si>
  <si>
    <t>39.706 AU</t>
  </si>
  <si>
    <t>214.36°</t>
  </si>
  <si>
    <t>185.14°</t>
  </si>
  <si>
    <r>
      <t>2010 TT</t>
    </r>
    <r>
      <rPr>
        <vertAlign val="subscript"/>
        <sz val="10"/>
        <color theme="1"/>
        <rFont val="Aptos Narrow"/>
        <family val="2"/>
        <scheme val="minor"/>
      </rPr>
      <t>195</t>
    </r>
  </si>
  <si>
    <t>58.33°</t>
  </si>
  <si>
    <t>276.67°</t>
  </si>
  <si>
    <r>
      <t>2012 YF</t>
    </r>
    <r>
      <rPr>
        <vertAlign val="subscript"/>
        <sz val="10"/>
        <color theme="1"/>
        <rFont val="Aptos Narrow"/>
        <family val="2"/>
        <scheme val="minor"/>
      </rPr>
      <t>12</t>
    </r>
  </si>
  <si>
    <t>43.832 AU</t>
  </si>
  <si>
    <t>28.172°</t>
  </si>
  <si>
    <t>10.384°</t>
  </si>
  <si>
    <t>153.52°</t>
  </si>
  <si>
    <t>305.464°</t>
  </si>
  <si>
    <r>
      <t>2013 UK</t>
    </r>
    <r>
      <rPr>
        <vertAlign val="subscript"/>
        <sz val="10"/>
        <color theme="1"/>
        <rFont val="Aptos Narrow"/>
        <family val="2"/>
        <scheme val="minor"/>
      </rPr>
      <t>15</t>
    </r>
  </si>
  <si>
    <t>48.32 AU</t>
  </si>
  <si>
    <t>11.693°</t>
  </si>
  <si>
    <t>32.3°</t>
  </si>
  <si>
    <t>119.41°</t>
  </si>
  <si>
    <t>240.7°</t>
  </si>
  <si>
    <r>
      <t>2014 MZ</t>
    </r>
    <r>
      <rPr>
        <vertAlign val="subscript"/>
        <sz val="10"/>
        <color theme="1"/>
        <rFont val="Aptos Narrow"/>
        <family val="2"/>
        <scheme val="minor"/>
      </rPr>
      <t>69</t>
    </r>
  </si>
  <si>
    <t>46.448 AU</t>
  </si>
  <si>
    <t>12.86°</t>
  </si>
  <si>
    <t>251.11°</t>
  </si>
  <si>
    <t>53.44°</t>
  </si>
  <si>
    <r>
      <t>2014 MB</t>
    </r>
    <r>
      <rPr>
        <vertAlign val="subscript"/>
        <sz val="10"/>
        <color theme="1"/>
        <rFont val="Aptos Narrow"/>
        <family val="2"/>
        <scheme val="minor"/>
      </rPr>
      <t>70</t>
    </r>
  </si>
  <si>
    <t>46.233 AU</t>
  </si>
  <si>
    <t>9.276°</t>
  </si>
  <si>
    <t>317.9°</t>
  </si>
  <si>
    <t>351.38°</t>
  </si>
  <si>
    <t>21.8°</t>
  </si>
  <si>
    <r>
      <t>2014 MG</t>
    </r>
    <r>
      <rPr>
        <vertAlign val="subscript"/>
        <sz val="10"/>
        <color theme="1"/>
        <rFont val="Aptos Narrow"/>
        <family val="2"/>
        <scheme val="minor"/>
      </rPr>
      <t>70</t>
    </r>
  </si>
  <si>
    <t>43.266 AU</t>
  </si>
  <si>
    <t>12.19°</t>
  </si>
  <si>
    <t>38.8°</t>
  </si>
  <si>
    <t>325.21°</t>
  </si>
  <si>
    <r>
      <t>2014 NZ</t>
    </r>
    <r>
      <rPr>
        <vertAlign val="subscript"/>
        <sz val="10"/>
        <color theme="1"/>
        <rFont val="Aptos Narrow"/>
        <family val="2"/>
        <scheme val="minor"/>
      </rPr>
      <t>65</t>
    </r>
  </si>
  <si>
    <t>44.157 AU</t>
  </si>
  <si>
    <t>28.771°</t>
  </si>
  <si>
    <t>276.064°</t>
  </si>
  <si>
    <t>342.888°</t>
  </si>
  <si>
    <t>67.35°</t>
  </si>
  <si>
    <r>
      <t>2014 OF</t>
    </r>
    <r>
      <rPr>
        <vertAlign val="subscript"/>
        <sz val="10"/>
        <color theme="1"/>
        <rFont val="Aptos Narrow"/>
        <family val="2"/>
        <scheme val="minor"/>
      </rPr>
      <t>394</t>
    </r>
  </si>
  <si>
    <t>47.214 AU</t>
  </si>
  <si>
    <t>22.28°</t>
  </si>
  <si>
    <t>356.07°</t>
  </si>
  <si>
    <t>354.52°</t>
  </si>
  <si>
    <t>7.57°</t>
  </si>
  <si>
    <r>
      <t>2014 WL</t>
    </r>
    <r>
      <rPr>
        <vertAlign val="subscript"/>
        <sz val="10"/>
        <color theme="1"/>
        <rFont val="Aptos Narrow"/>
        <family val="2"/>
        <scheme val="minor"/>
      </rPr>
      <t>509</t>
    </r>
  </si>
  <si>
    <t>41.266 AU</t>
  </si>
  <si>
    <t>15.13°</t>
  </si>
  <si>
    <t>49.59°</t>
  </si>
  <si>
    <t>184.27°</t>
  </si>
  <si>
    <t>281.26°</t>
  </si>
  <si>
    <r>
      <t>2014 YC</t>
    </r>
    <r>
      <rPr>
        <vertAlign val="subscript"/>
        <sz val="10"/>
        <color theme="1"/>
        <rFont val="Aptos Narrow"/>
        <family val="2"/>
        <scheme val="minor"/>
      </rPr>
      <t>50</t>
    </r>
  </si>
  <si>
    <t>43.896 AU</t>
  </si>
  <si>
    <t>18.376°</t>
  </si>
  <si>
    <t>76.53°</t>
  </si>
  <si>
    <t>84.509°</t>
  </si>
  <si>
    <t>345.115°</t>
  </si>
  <si>
    <r>
      <t>2015 DW</t>
    </r>
    <r>
      <rPr>
        <vertAlign val="subscript"/>
        <sz val="10"/>
        <color theme="1"/>
        <rFont val="Aptos Narrow"/>
        <family val="2"/>
        <scheme val="minor"/>
      </rPr>
      <t>248</t>
    </r>
  </si>
  <si>
    <t>51.181 AU</t>
  </si>
  <si>
    <t>24.274°</t>
  </si>
  <si>
    <t>134.437°</t>
  </si>
  <si>
    <t>295.48°</t>
  </si>
  <si>
    <t>59.905°</t>
  </si>
  <si>
    <r>
      <t>2015 PF</t>
    </r>
    <r>
      <rPr>
        <vertAlign val="subscript"/>
        <sz val="10"/>
        <color theme="1"/>
        <rFont val="Aptos Narrow"/>
        <family val="2"/>
        <scheme val="minor"/>
      </rPr>
      <t>312</t>
    </r>
  </si>
  <si>
    <t>45.2 AU</t>
  </si>
  <si>
    <t>17.981°</t>
  </si>
  <si>
    <t>258.75°</t>
  </si>
  <si>
    <t>160.53°</t>
  </si>
  <si>
    <t>348.16°</t>
  </si>
  <si>
    <r>
      <t>2016 FW</t>
    </r>
    <r>
      <rPr>
        <vertAlign val="subscript"/>
        <sz val="10"/>
        <color theme="1"/>
        <rFont val="Aptos Narrow"/>
        <family val="2"/>
        <scheme val="minor"/>
      </rPr>
      <t>59</t>
    </r>
  </si>
  <si>
    <t>43.65 AU</t>
  </si>
  <si>
    <t>6.29°</t>
  </si>
  <si>
    <t>28°</t>
  </si>
  <si>
    <t>290.16°</t>
  </si>
  <si>
    <t>231°</t>
  </si>
  <si>
    <r>
      <t>2000 OM</t>
    </r>
    <r>
      <rPr>
        <vertAlign val="subscript"/>
        <sz val="10"/>
        <color theme="1"/>
        <rFont val="Aptos Narrow"/>
        <family val="2"/>
        <scheme val="minor"/>
      </rPr>
      <t>67</t>
    </r>
  </si>
  <si>
    <t>97.5 AU</t>
  </si>
  <si>
    <t>23.398°</t>
  </si>
  <si>
    <t>348.6°</t>
  </si>
  <si>
    <t>327.168°</t>
  </si>
  <si>
    <t>9.7°</t>
  </si>
  <si>
    <r>
      <t>2003 FB</t>
    </r>
    <r>
      <rPr>
        <vertAlign val="subscript"/>
        <sz val="10"/>
        <color theme="1"/>
        <rFont val="Aptos Narrow"/>
        <family val="2"/>
        <scheme val="minor"/>
      </rPr>
      <t>128</t>
    </r>
  </si>
  <si>
    <t>39.409 AU</t>
  </si>
  <si>
    <t>8.9°</t>
  </si>
  <si>
    <t>209.5°</t>
  </si>
  <si>
    <t>46°</t>
  </si>
  <si>
    <r>
      <t>2000 CP</t>
    </r>
    <r>
      <rPr>
        <vertAlign val="subscript"/>
        <sz val="10"/>
        <color theme="1"/>
        <rFont val="Aptos Narrow"/>
        <family val="2"/>
        <scheme val="minor"/>
      </rPr>
      <t>104</t>
    </r>
  </si>
  <si>
    <t>44.5 AU</t>
  </si>
  <si>
    <t>9.46°</t>
  </si>
  <si>
    <t>130.53°</t>
  </si>
  <si>
    <t>30.63°</t>
  </si>
  <si>
    <t>3.7°</t>
  </si>
  <si>
    <t>334.79°</t>
  </si>
  <si>
    <t>S/2002 (612239) 1</t>
  </si>
  <si>
    <t>3,813 km</t>
  </si>
  <si>
    <r>
      <t>2004 OQ</t>
    </r>
    <r>
      <rPr>
        <vertAlign val="subscript"/>
        <sz val="10"/>
        <color theme="1"/>
        <rFont val="Aptos Narrow"/>
        <family val="2"/>
        <scheme val="minor"/>
      </rPr>
      <t>15</t>
    </r>
  </si>
  <si>
    <t>43.506 AU</t>
  </si>
  <si>
    <t>9.74°</t>
  </si>
  <si>
    <t>239.09°</t>
  </si>
  <si>
    <t>110.78°</t>
  </si>
  <si>
    <t>324.3°</t>
  </si>
  <si>
    <r>
      <t>2002 VU</t>
    </r>
    <r>
      <rPr>
        <vertAlign val="subscript"/>
        <sz val="10"/>
        <color theme="1"/>
        <rFont val="Aptos Narrow"/>
        <family val="2"/>
        <scheme val="minor"/>
      </rPr>
      <t>130</t>
    </r>
  </si>
  <si>
    <t>39.018 AU</t>
  </si>
  <si>
    <t>1.376°</t>
  </si>
  <si>
    <t>281.56°</t>
  </si>
  <si>
    <t>267.86°</t>
  </si>
  <si>
    <t>278.86°</t>
  </si>
  <si>
    <r>
      <t>2002 VE</t>
    </r>
    <r>
      <rPr>
        <vertAlign val="subscript"/>
        <sz val="10"/>
        <color theme="1"/>
        <rFont val="Aptos Narrow"/>
        <family val="2"/>
        <scheme val="minor"/>
      </rPr>
      <t>95</t>
    </r>
  </si>
  <si>
    <t>39.176 AU</t>
  </si>
  <si>
    <t>16.327°</t>
  </si>
  <si>
    <t>206.35°</t>
  </si>
  <si>
    <t>199.72°</t>
  </si>
  <si>
    <t>29.369°</t>
  </si>
  <si>
    <r>
      <t>1999 KR</t>
    </r>
    <r>
      <rPr>
        <vertAlign val="subscript"/>
        <sz val="10"/>
        <color theme="1"/>
        <rFont val="Aptos Narrow"/>
        <family val="2"/>
        <scheme val="minor"/>
      </rPr>
      <t>16</t>
    </r>
  </si>
  <si>
    <t>48.81 AU</t>
  </si>
  <si>
    <t>24.79°</t>
  </si>
  <si>
    <t>59.2°</t>
  </si>
  <si>
    <t>205.7°</t>
  </si>
  <si>
    <r>
      <t>2010 FD</t>
    </r>
    <r>
      <rPr>
        <vertAlign val="subscript"/>
        <sz val="10"/>
        <color theme="1"/>
        <rFont val="Aptos Narrow"/>
        <family val="2"/>
        <scheme val="minor"/>
      </rPr>
      <t>49</t>
    </r>
  </si>
  <si>
    <t>10.72°</t>
  </si>
  <si>
    <t>141.95°</t>
  </si>
  <si>
    <t>66.32°</t>
  </si>
  <si>
    <t>359.26°</t>
  </si>
  <si>
    <r>
      <t>2014 QB</t>
    </r>
    <r>
      <rPr>
        <vertAlign val="subscript"/>
        <sz val="10"/>
        <color theme="1"/>
        <rFont val="Aptos Narrow"/>
        <family val="2"/>
        <scheme val="minor"/>
      </rPr>
      <t>442</t>
    </r>
  </si>
  <si>
    <t>65.82 AU</t>
  </si>
  <si>
    <t>7.297°</t>
  </si>
  <si>
    <t>269.03°</t>
  </si>
  <si>
    <t>75.23°</t>
  </si>
  <si>
    <t>15.37°</t>
  </si>
  <si>
    <t>195.91 AU</t>
  </si>
  <si>
    <t>10.682°</t>
  </si>
  <si>
    <t>191.97°</t>
  </si>
  <si>
    <t>353.5°</t>
  </si>
  <si>
    <r>
      <t>2014 JX</t>
    </r>
    <r>
      <rPr>
        <vertAlign val="subscript"/>
        <sz val="10"/>
        <color theme="1"/>
        <rFont val="Aptos Narrow"/>
        <family val="2"/>
        <scheme val="minor"/>
      </rPr>
      <t>80</t>
    </r>
  </si>
  <si>
    <t>56.192 AU</t>
  </si>
  <si>
    <t>28.86°</t>
  </si>
  <si>
    <t>50.16°</t>
  </si>
  <si>
    <t>196.382°</t>
  </si>
  <si>
    <t>6.555°</t>
  </si>
  <si>
    <r>
      <t>2014 MJ</t>
    </r>
    <r>
      <rPr>
        <vertAlign val="subscript"/>
        <sz val="10"/>
        <color theme="1"/>
        <rFont val="Aptos Narrow"/>
        <family val="2"/>
        <scheme val="minor"/>
      </rPr>
      <t>70</t>
    </r>
  </si>
  <si>
    <t>123.526 AU</t>
  </si>
  <si>
    <t>15.522°</t>
  </si>
  <si>
    <t>253.174°</t>
  </si>
  <si>
    <t>96.078°</t>
  </si>
  <si>
    <t>359.521°</t>
  </si>
  <si>
    <r>
      <t>2001 KG</t>
    </r>
    <r>
      <rPr>
        <vertAlign val="subscript"/>
        <sz val="10"/>
        <color theme="1"/>
        <rFont val="Aptos Narrow"/>
        <family val="2"/>
        <scheme val="minor"/>
      </rPr>
      <t>76</t>
    </r>
  </si>
  <si>
    <t>51.58 AU</t>
  </si>
  <si>
    <t>1.55°</t>
  </si>
  <si>
    <t>63.8°</t>
  </si>
  <si>
    <t>96°</t>
  </si>
  <si>
    <t>59.5°</t>
  </si>
  <si>
    <r>
      <t>2009 YG</t>
    </r>
    <r>
      <rPr>
        <vertAlign val="subscript"/>
        <sz val="10"/>
        <color theme="1"/>
        <rFont val="Aptos Narrow"/>
        <family val="2"/>
        <scheme val="minor"/>
      </rPr>
      <t>19</t>
    </r>
  </si>
  <si>
    <t>56.319 AU</t>
  </si>
  <si>
    <t>5.14°</t>
  </si>
  <si>
    <t>301.7°</t>
  </si>
  <si>
    <t>99.2°</t>
  </si>
  <si>
    <t>19.625°</t>
  </si>
  <si>
    <r>
      <t>2011 HO</t>
    </r>
    <r>
      <rPr>
        <vertAlign val="subscript"/>
        <sz val="10"/>
        <color theme="1"/>
        <rFont val="Aptos Narrow"/>
        <family val="2"/>
        <scheme val="minor"/>
      </rPr>
      <t>60</t>
    </r>
  </si>
  <si>
    <t>115 km</t>
  </si>
  <si>
    <t>93.3 AU</t>
  </si>
  <si>
    <t>22.237°</t>
  </si>
  <si>
    <t>242.37°</t>
  </si>
  <si>
    <t>353.36°</t>
  </si>
  <si>
    <t>3.14°</t>
  </si>
  <si>
    <r>
      <t>2011 YN</t>
    </r>
    <r>
      <rPr>
        <vertAlign val="subscript"/>
        <sz val="10"/>
        <color theme="1"/>
        <rFont val="Aptos Narrow"/>
        <family val="2"/>
        <scheme val="minor"/>
      </rPr>
      <t>79</t>
    </r>
  </si>
  <si>
    <t>73.24 AU</t>
  </si>
  <si>
    <t>25.98°</t>
  </si>
  <si>
    <t>45.19°</t>
  </si>
  <si>
    <t>96.95°</t>
  </si>
  <si>
    <r>
      <t>2014 FM</t>
    </r>
    <r>
      <rPr>
        <vertAlign val="subscript"/>
        <sz val="10"/>
        <color theme="1"/>
        <rFont val="Aptos Narrow"/>
        <family val="2"/>
        <scheme val="minor"/>
      </rPr>
      <t>72</t>
    </r>
  </si>
  <si>
    <t>55.456 AU</t>
  </si>
  <si>
    <t>4.712°</t>
  </si>
  <si>
    <t>135.202°</t>
  </si>
  <si>
    <t>290.953°</t>
  </si>
  <si>
    <t>78.721°</t>
  </si>
  <si>
    <r>
      <t>2014 SP</t>
    </r>
    <r>
      <rPr>
        <vertAlign val="subscript"/>
        <sz val="10"/>
        <color theme="1"/>
        <rFont val="Aptos Narrow"/>
        <family val="2"/>
        <scheme val="minor"/>
      </rPr>
      <t>363</t>
    </r>
  </si>
  <si>
    <t>63.21 AU</t>
  </si>
  <si>
    <t>31.19°</t>
  </si>
  <si>
    <t>267.22°</t>
  </si>
  <si>
    <t>145.34°</t>
  </si>
  <si>
    <t>347.99°</t>
  </si>
  <si>
    <r>
      <t>2014 XW</t>
    </r>
    <r>
      <rPr>
        <vertAlign val="subscript"/>
        <sz val="10"/>
        <color theme="1"/>
        <rFont val="Aptos Narrow"/>
        <family val="2"/>
        <scheme val="minor"/>
      </rPr>
      <t>40</t>
    </r>
  </si>
  <si>
    <t>49.84 AU</t>
  </si>
  <si>
    <t>16.5°</t>
  </si>
  <si>
    <t>351.55°</t>
  </si>
  <si>
    <t>234.37°</t>
  </si>
  <si>
    <t>328.45°</t>
  </si>
  <si>
    <r>
      <t>2012 HH</t>
    </r>
    <r>
      <rPr>
        <vertAlign val="subscript"/>
        <sz val="10"/>
        <color theme="1"/>
        <rFont val="Aptos Narrow"/>
        <family val="2"/>
        <scheme val="minor"/>
      </rPr>
      <t>2</t>
    </r>
  </si>
  <si>
    <t>34.808 AU</t>
  </si>
  <si>
    <t>28.585°</t>
  </si>
  <si>
    <t>100.49°</t>
  </si>
  <si>
    <t>56.464°</t>
  </si>
  <si>
    <t>40.568°</t>
  </si>
  <si>
    <r>
      <t>2001 HY</t>
    </r>
    <r>
      <rPr>
        <vertAlign val="subscript"/>
        <sz val="10"/>
        <color theme="1"/>
        <rFont val="Aptos Narrow"/>
        <family val="2"/>
        <scheme val="minor"/>
      </rPr>
      <t>65</t>
    </r>
  </si>
  <si>
    <t>17.103°</t>
  </si>
  <si>
    <t>316.1°</t>
  </si>
  <si>
    <t>188.128°</t>
  </si>
  <si>
    <t>49.61°</t>
  </si>
  <si>
    <r>
      <t>2008 SO</t>
    </r>
    <r>
      <rPr>
        <vertAlign val="subscript"/>
        <sz val="10"/>
        <color theme="1"/>
        <rFont val="Aptos Narrow"/>
        <family val="2"/>
        <scheme val="minor"/>
      </rPr>
      <t>266</t>
    </r>
  </si>
  <si>
    <t>39.289 AU</t>
  </si>
  <si>
    <t>18.81°</t>
  </si>
  <si>
    <t>173.45°</t>
  </si>
  <si>
    <t>158.8°</t>
  </si>
  <si>
    <t>35.93°</t>
  </si>
  <si>
    <r>
      <t>2013 UF</t>
    </r>
    <r>
      <rPr>
        <vertAlign val="subscript"/>
        <sz val="10"/>
        <color theme="1"/>
        <rFont val="Aptos Narrow"/>
        <family val="2"/>
        <scheme val="minor"/>
      </rPr>
      <t>15</t>
    </r>
  </si>
  <si>
    <t>42.181 AU</t>
  </si>
  <si>
    <t>12.385°</t>
  </si>
  <si>
    <t>8.556°</t>
  </si>
  <si>
    <t>39.37°</t>
  </si>
  <si>
    <t>5.333°</t>
  </si>
  <si>
    <r>
      <t>2014 DL</t>
    </r>
    <r>
      <rPr>
        <vertAlign val="subscript"/>
        <sz val="10"/>
        <color theme="1"/>
        <rFont val="Aptos Narrow"/>
        <family val="2"/>
        <scheme val="minor"/>
      </rPr>
      <t>143</t>
    </r>
  </si>
  <si>
    <t>46.774 AU</t>
  </si>
  <si>
    <t>9.388°</t>
  </si>
  <si>
    <t>210°</t>
  </si>
  <si>
    <t>18.88°</t>
  </si>
  <si>
    <t>338.638°</t>
  </si>
  <si>
    <r>
      <t>2014 KU</t>
    </r>
    <r>
      <rPr>
        <vertAlign val="subscript"/>
        <sz val="10"/>
        <color theme="1"/>
        <rFont val="Aptos Narrow"/>
        <family val="2"/>
        <scheme val="minor"/>
      </rPr>
      <t>101</t>
    </r>
  </si>
  <si>
    <t>39.615 AU</t>
  </si>
  <si>
    <t>101.02°</t>
  </si>
  <si>
    <t>61.999°</t>
  </si>
  <si>
    <t>52.901°</t>
  </si>
  <si>
    <r>
      <t>2014 MC</t>
    </r>
    <r>
      <rPr>
        <vertAlign val="subscript"/>
        <sz val="10"/>
        <color theme="1"/>
        <rFont val="Aptos Narrow"/>
        <family val="2"/>
        <scheme val="minor"/>
      </rPr>
      <t>70</t>
    </r>
  </si>
  <si>
    <t>45.483 AU</t>
  </si>
  <si>
    <t>7.68°</t>
  </si>
  <si>
    <t>281.91°</t>
  </si>
  <si>
    <t>25.611°</t>
  </si>
  <si>
    <t>11.67°</t>
  </si>
  <si>
    <r>
      <t>2014 WX</t>
    </r>
    <r>
      <rPr>
        <vertAlign val="subscript"/>
        <sz val="10"/>
        <color theme="1"/>
        <rFont val="Aptos Narrow"/>
        <family val="2"/>
        <scheme val="minor"/>
      </rPr>
      <t>509</t>
    </r>
  </si>
  <si>
    <t>46.128 AU</t>
  </si>
  <si>
    <t>153.6°</t>
  </si>
  <si>
    <t>333.7°</t>
  </si>
  <si>
    <t>20.703°</t>
  </si>
  <si>
    <r>
      <t>2015 FN</t>
    </r>
    <r>
      <rPr>
        <vertAlign val="subscript"/>
        <sz val="10"/>
        <color theme="1"/>
        <rFont val="Aptos Narrow"/>
        <family val="2"/>
        <scheme val="minor"/>
      </rPr>
      <t>345</t>
    </r>
  </si>
  <si>
    <t>42.028 AU</t>
  </si>
  <si>
    <t>27.98°</t>
  </si>
  <si>
    <t>118.925°</t>
  </si>
  <si>
    <t>172.69°</t>
  </si>
  <si>
    <t>323.15°</t>
  </si>
  <si>
    <r>
      <t>2005 JA</t>
    </r>
    <r>
      <rPr>
        <vertAlign val="subscript"/>
        <sz val="10"/>
        <color theme="1"/>
        <rFont val="Aptos Narrow"/>
        <family val="2"/>
        <scheme val="minor"/>
      </rPr>
      <t>175</t>
    </r>
  </si>
  <si>
    <t>42.55 AU</t>
  </si>
  <si>
    <t>14.24°</t>
  </si>
  <si>
    <t>196°</t>
  </si>
  <si>
    <t>225°</t>
  </si>
  <si>
    <t>166°</t>
  </si>
  <si>
    <r>
      <t>2013 CF</t>
    </r>
    <r>
      <rPr>
        <vertAlign val="subscript"/>
        <sz val="10"/>
        <color theme="1"/>
        <rFont val="Aptos Narrow"/>
        <family val="2"/>
        <scheme val="minor"/>
      </rPr>
      <t>229</t>
    </r>
  </si>
  <si>
    <t>47.529 AU</t>
  </si>
  <si>
    <t>8.65°</t>
  </si>
  <si>
    <t>13.53°</t>
  </si>
  <si>
    <t>150.38°</t>
  </si>
  <si>
    <t>340.78°</t>
  </si>
  <si>
    <r>
      <t>2013 NM</t>
    </r>
    <r>
      <rPr>
        <vertAlign val="subscript"/>
        <sz val="10"/>
        <color theme="1"/>
        <rFont val="Aptos Narrow"/>
        <family val="2"/>
        <scheme val="minor"/>
      </rPr>
      <t>24</t>
    </r>
  </si>
  <si>
    <t>45.35 AU</t>
  </si>
  <si>
    <t>30.67°</t>
  </si>
  <si>
    <t>81.9°</t>
  </si>
  <si>
    <t>335.27°</t>
  </si>
  <si>
    <r>
      <t>2013 ND</t>
    </r>
    <r>
      <rPr>
        <vertAlign val="subscript"/>
        <sz val="10"/>
        <color theme="1"/>
        <rFont val="Aptos Narrow"/>
        <family val="2"/>
        <scheme val="minor"/>
      </rPr>
      <t>15</t>
    </r>
  </si>
  <si>
    <t>50 m</t>
  </si>
  <si>
    <t>0.724 AU</t>
  </si>
  <si>
    <t>4.796°</t>
  </si>
  <si>
    <t>19.697°</t>
  </si>
  <si>
    <t>95.841°</t>
  </si>
  <si>
    <t>198.82°</t>
  </si>
  <si>
    <r>
      <t>2013 RE</t>
    </r>
    <r>
      <rPr>
        <vertAlign val="subscript"/>
        <sz val="10"/>
        <color theme="1"/>
        <rFont val="Aptos Narrow"/>
        <family val="2"/>
        <scheme val="minor"/>
      </rPr>
      <t>109</t>
    </r>
  </si>
  <si>
    <t>44.02 AU</t>
  </si>
  <si>
    <t>5.41°</t>
  </si>
  <si>
    <t>112.82°</t>
  </si>
  <si>
    <t>81.57°</t>
  </si>
  <si>
    <r>
      <t>2014 WN</t>
    </r>
    <r>
      <rPr>
        <vertAlign val="subscript"/>
        <sz val="10"/>
        <color theme="1"/>
        <rFont val="Aptos Narrow"/>
        <family val="2"/>
        <scheme val="minor"/>
      </rPr>
      <t>509</t>
    </r>
  </si>
  <si>
    <t>42.062 AU</t>
  </si>
  <si>
    <t>7.11°</t>
  </si>
  <si>
    <t>276.86°</t>
  </si>
  <si>
    <t>294.47°</t>
  </si>
  <si>
    <r>
      <t>2017 FQ</t>
    </r>
    <r>
      <rPr>
        <vertAlign val="subscript"/>
        <sz val="10"/>
        <color theme="1"/>
        <rFont val="Aptos Narrow"/>
        <family val="2"/>
        <scheme val="minor"/>
      </rPr>
      <t>161</t>
    </r>
  </si>
  <si>
    <t>47.87 AU</t>
  </si>
  <si>
    <t>8.21°</t>
  </si>
  <si>
    <t>5°</t>
  </si>
  <si>
    <t>31.16°</t>
  </si>
  <si>
    <r>
      <t>2000 FE</t>
    </r>
    <r>
      <rPr>
        <vertAlign val="subscript"/>
        <sz val="10"/>
        <color theme="1"/>
        <rFont val="Aptos Narrow"/>
        <family val="2"/>
        <scheme val="minor"/>
      </rPr>
      <t>8</t>
    </r>
  </si>
  <si>
    <t>55.888 AU</t>
  </si>
  <si>
    <t>5.861°</t>
  </si>
  <si>
    <t>144.17°</t>
  </si>
  <si>
    <t>3.879°</t>
  </si>
  <si>
    <t>30.201°</t>
  </si>
  <si>
    <t>S/2007 (60621) 1</t>
  </si>
  <si>
    <t>1,180 km</t>
  </si>
  <si>
    <t>113 km</t>
  </si>
  <si>
    <t>191.06 AU</t>
  </si>
  <si>
    <t>11.993°</t>
  </si>
  <si>
    <t>338.1°</t>
  </si>
  <si>
    <t>24.377°</t>
  </si>
  <si>
    <t>1.833°</t>
  </si>
  <si>
    <r>
      <t>1999 CL</t>
    </r>
    <r>
      <rPr>
        <vertAlign val="subscript"/>
        <sz val="10"/>
        <color theme="1"/>
        <rFont val="Aptos Narrow"/>
        <family val="2"/>
        <scheme val="minor"/>
      </rPr>
      <t>158</t>
    </r>
  </si>
  <si>
    <t>41.44 AU</t>
  </si>
  <si>
    <t>10°</t>
  </si>
  <si>
    <t>327.7°</t>
  </si>
  <si>
    <t>120.1°</t>
  </si>
  <si>
    <t>40.1°</t>
  </si>
  <si>
    <r>
      <t>2002 PP</t>
    </r>
    <r>
      <rPr>
        <vertAlign val="subscript"/>
        <sz val="10"/>
        <color theme="1"/>
        <rFont val="Aptos Narrow"/>
        <family val="2"/>
        <scheme val="minor"/>
      </rPr>
      <t>149</t>
    </r>
  </si>
  <si>
    <t>40.79 AU</t>
  </si>
  <si>
    <t>34.78°</t>
  </si>
  <si>
    <t>123.6°</t>
  </si>
  <si>
    <t>159.16°</t>
  </si>
  <si>
    <t>64.7°</t>
  </si>
  <si>
    <r>
      <t>2004 TV</t>
    </r>
    <r>
      <rPr>
        <vertAlign val="subscript"/>
        <sz val="10"/>
        <color theme="1"/>
        <rFont val="Aptos Narrow"/>
        <family val="2"/>
        <scheme val="minor"/>
      </rPr>
      <t>357</t>
    </r>
  </si>
  <si>
    <t>47.46 AU</t>
  </si>
  <si>
    <t>9.76°</t>
  </si>
  <si>
    <t>201.9°</t>
  </si>
  <si>
    <t>250.2°</t>
  </si>
  <si>
    <t>346.4°</t>
  </si>
  <si>
    <r>
      <t>2004 PB</t>
    </r>
    <r>
      <rPr>
        <vertAlign val="subscript"/>
        <sz val="10"/>
        <color theme="1"/>
        <rFont val="Aptos Narrow"/>
        <family val="2"/>
        <scheme val="minor"/>
      </rPr>
      <t>108</t>
    </r>
  </si>
  <si>
    <t>44.96 AU</t>
  </si>
  <si>
    <t>22.24°</t>
  </si>
  <si>
    <t>275.1°</t>
  </si>
  <si>
    <t>303.2°</t>
  </si>
  <si>
    <r>
      <t>2014 MA</t>
    </r>
    <r>
      <rPr>
        <vertAlign val="subscript"/>
        <sz val="10"/>
        <color theme="1"/>
        <rFont val="Aptos Narrow"/>
        <family val="2"/>
        <scheme val="minor"/>
      </rPr>
      <t>70</t>
    </r>
  </si>
  <si>
    <t>43.906 AU</t>
  </si>
  <si>
    <t>4.27°</t>
  </si>
  <si>
    <t>93.64°</t>
  </si>
  <si>
    <t>200.257°</t>
  </si>
  <si>
    <t>39.915°</t>
  </si>
  <si>
    <r>
      <t>2013 TV</t>
    </r>
    <r>
      <rPr>
        <vertAlign val="subscript"/>
        <sz val="10"/>
        <color theme="1"/>
        <rFont val="Aptos Narrow"/>
        <family val="2"/>
        <scheme val="minor"/>
      </rPr>
      <t>158</t>
    </r>
  </si>
  <si>
    <t>111.809 AU</t>
  </si>
  <si>
    <t>31.174°</t>
  </si>
  <si>
    <t>232.25°</t>
  </si>
  <si>
    <t>181.12°</t>
  </si>
  <si>
    <t>357.65°</t>
  </si>
  <si>
    <r>
      <t>2004 PA</t>
    </r>
    <r>
      <rPr>
        <vertAlign val="subscript"/>
        <sz val="10"/>
        <color theme="1"/>
        <rFont val="Aptos Narrow"/>
        <family val="2"/>
        <scheme val="minor"/>
      </rPr>
      <t>108</t>
    </r>
  </si>
  <si>
    <t>44.19 AU</t>
  </si>
  <si>
    <t>1.156°</t>
  </si>
  <si>
    <t>213.3°</t>
  </si>
  <si>
    <t>136.36°</t>
  </si>
  <si>
    <t>15.9°</t>
  </si>
  <si>
    <r>
      <t>2004 TF</t>
    </r>
    <r>
      <rPr>
        <vertAlign val="subscript"/>
        <sz val="10"/>
        <color theme="1"/>
        <rFont val="Aptos Narrow"/>
        <family val="2"/>
        <scheme val="minor"/>
      </rPr>
      <t>282</t>
    </r>
  </si>
  <si>
    <t>81.11 AU</t>
  </si>
  <si>
    <t>23.179°</t>
  </si>
  <si>
    <t>171.4°</t>
  </si>
  <si>
    <t>234°</t>
  </si>
  <si>
    <t>6.102°</t>
  </si>
  <si>
    <r>
      <t>2010 BP</t>
    </r>
    <r>
      <rPr>
        <vertAlign val="subscript"/>
        <sz val="10"/>
        <color theme="1"/>
        <rFont val="Aptos Narrow"/>
        <family val="2"/>
        <scheme val="minor"/>
      </rPr>
      <t>153</t>
    </r>
  </si>
  <si>
    <t>78.997 AU</t>
  </si>
  <si>
    <t>10.56°</t>
  </si>
  <si>
    <t>198.21°</t>
  </si>
  <si>
    <t>354.65°</t>
  </si>
  <si>
    <r>
      <t>2011 MV</t>
    </r>
    <r>
      <rPr>
        <vertAlign val="subscript"/>
        <sz val="10"/>
        <color theme="1"/>
        <rFont val="Aptos Narrow"/>
        <family val="2"/>
        <scheme val="minor"/>
      </rPr>
      <t>11</t>
    </r>
  </si>
  <si>
    <t>61.321 AU</t>
  </si>
  <si>
    <t>14.438°</t>
  </si>
  <si>
    <t>3.321°</t>
  </si>
  <si>
    <t>10.5°</t>
  </si>
  <si>
    <t>354.11°</t>
  </si>
  <si>
    <r>
      <t>2012 FM</t>
    </r>
    <r>
      <rPr>
        <vertAlign val="subscript"/>
        <sz val="10"/>
        <color theme="1"/>
        <rFont val="Aptos Narrow"/>
        <family val="2"/>
        <scheme val="minor"/>
      </rPr>
      <t>87</t>
    </r>
  </si>
  <si>
    <t>50.718 AU</t>
  </si>
  <si>
    <t>20.01°</t>
  </si>
  <si>
    <t>310.943°</t>
  </si>
  <si>
    <t>169.47°</t>
  </si>
  <si>
    <t>35.77°</t>
  </si>
  <si>
    <r>
      <t>2014 FL</t>
    </r>
    <r>
      <rPr>
        <vertAlign val="subscript"/>
        <sz val="10"/>
        <color theme="1"/>
        <rFont val="Aptos Narrow"/>
        <family val="2"/>
        <scheme val="minor"/>
      </rPr>
      <t>70</t>
    </r>
  </si>
  <si>
    <t>8.901°</t>
  </si>
  <si>
    <t>25.1°</t>
  </si>
  <si>
    <t>257.49°</t>
  </si>
  <si>
    <t>288°</t>
  </si>
  <si>
    <r>
      <t>2014 FV</t>
    </r>
    <r>
      <rPr>
        <vertAlign val="subscript"/>
        <sz val="10"/>
        <color theme="1"/>
        <rFont val="Aptos Narrow"/>
        <family val="2"/>
        <scheme val="minor"/>
      </rPr>
      <t>71</t>
    </r>
  </si>
  <si>
    <t>55 AU</t>
  </si>
  <si>
    <t>27.05°</t>
  </si>
  <si>
    <t>37°</t>
  </si>
  <si>
    <t>202.2°</t>
  </si>
  <si>
    <r>
      <t>2014 GL</t>
    </r>
    <r>
      <rPr>
        <vertAlign val="subscript"/>
        <sz val="10"/>
        <color theme="1"/>
        <rFont val="Aptos Narrow"/>
        <family val="2"/>
        <scheme val="minor"/>
      </rPr>
      <t>54</t>
    </r>
  </si>
  <si>
    <t>58.104 AU</t>
  </si>
  <si>
    <t>29.78°</t>
  </si>
  <si>
    <t>131.495°</t>
  </si>
  <si>
    <t>105.32°</t>
  </si>
  <si>
    <t>1.802°</t>
  </si>
  <si>
    <r>
      <t>2014 HC</t>
    </r>
    <r>
      <rPr>
        <vertAlign val="subscript"/>
        <sz val="10"/>
        <color theme="1"/>
        <rFont val="Aptos Narrow"/>
        <family val="2"/>
        <scheme val="minor"/>
      </rPr>
      <t>200</t>
    </r>
  </si>
  <si>
    <t>64.854 AU</t>
  </si>
  <si>
    <t>35.773°</t>
  </si>
  <si>
    <t>216.08°</t>
  </si>
  <si>
    <t>44.437°</t>
  </si>
  <si>
    <t>348.204°</t>
  </si>
  <si>
    <r>
      <t>2014 KA</t>
    </r>
    <r>
      <rPr>
        <vertAlign val="subscript"/>
        <sz val="10"/>
        <color theme="1"/>
        <rFont val="Aptos Narrow"/>
        <family val="2"/>
        <scheme val="minor"/>
      </rPr>
      <t>102</t>
    </r>
  </si>
  <si>
    <t>107.91 AU</t>
  </si>
  <si>
    <t>26.71°</t>
  </si>
  <si>
    <t>168.05°</t>
  </si>
  <si>
    <t>6.43°</t>
  </si>
  <si>
    <r>
      <t>2014 QC</t>
    </r>
    <r>
      <rPr>
        <vertAlign val="subscript"/>
        <sz val="10"/>
        <color theme="1"/>
        <rFont val="Aptos Narrow"/>
        <family val="2"/>
        <scheme val="minor"/>
      </rPr>
      <t>442</t>
    </r>
  </si>
  <si>
    <t>70.013 AU</t>
  </si>
  <si>
    <t>18.94°</t>
  </si>
  <si>
    <t>44.225°</t>
  </si>
  <si>
    <t>46.694°</t>
  </si>
  <si>
    <t>342.091°</t>
  </si>
  <si>
    <r>
      <t>2014 WN</t>
    </r>
    <r>
      <rPr>
        <vertAlign val="subscript"/>
        <sz val="10"/>
        <color theme="1"/>
        <rFont val="Aptos Narrow"/>
        <family val="2"/>
        <scheme val="minor"/>
      </rPr>
      <t>510</t>
    </r>
  </si>
  <si>
    <t>75.75 AU</t>
  </si>
  <si>
    <t>11.61°</t>
  </si>
  <si>
    <t>349.34°</t>
  </si>
  <si>
    <r>
      <t>2014 YH</t>
    </r>
    <r>
      <rPr>
        <vertAlign val="subscript"/>
        <sz val="10"/>
        <color theme="1"/>
        <rFont val="Aptos Narrow"/>
        <family val="2"/>
        <scheme val="minor"/>
      </rPr>
      <t>50</t>
    </r>
  </si>
  <si>
    <t>56.65 AU</t>
  </si>
  <si>
    <t>40.77°</t>
  </si>
  <si>
    <t>13.39°</t>
  </si>
  <si>
    <t>102.19°</t>
  </si>
  <si>
    <t>13.07°</t>
  </si>
  <si>
    <r>
      <t>2015 BB</t>
    </r>
    <r>
      <rPr>
        <vertAlign val="subscript"/>
        <sz val="10"/>
        <color theme="1"/>
        <rFont val="Aptos Narrow"/>
        <family val="2"/>
        <scheme val="minor"/>
      </rPr>
      <t>519</t>
    </r>
  </si>
  <si>
    <t>63.63 AU</t>
  </si>
  <si>
    <t>27.259°</t>
  </si>
  <si>
    <t>297.03°</t>
  </si>
  <si>
    <t>122°</t>
  </si>
  <si>
    <t>28.84°</t>
  </si>
  <si>
    <r>
      <t>2015 BH</t>
    </r>
    <r>
      <rPr>
        <vertAlign val="subscript"/>
        <sz val="10"/>
        <color theme="1"/>
        <rFont val="Aptos Narrow"/>
        <family val="2"/>
        <scheme val="minor"/>
      </rPr>
      <t>519</t>
    </r>
  </si>
  <si>
    <t>53.655 AU</t>
  </si>
  <si>
    <t>27.89°</t>
  </si>
  <si>
    <t>241.28°</t>
  </si>
  <si>
    <t>336.05°</t>
  </si>
  <si>
    <r>
      <t>Mbabamwana</t>
    </r>
    <r>
      <rPr>
        <sz val="10"/>
        <color theme="1"/>
        <rFont val="Aptos Narrow"/>
        <family val="2"/>
        <scheme val="minor"/>
      </rPr>
      <t>(..)</t>
    </r>
  </si>
  <si>
    <t>45.06 AU</t>
  </si>
  <si>
    <t>5.785°</t>
  </si>
  <si>
    <t>270.75°</t>
  </si>
  <si>
    <t>0.554°</t>
  </si>
  <si>
    <t>321.82°</t>
  </si>
  <si>
    <r>
      <t>2005 XU</t>
    </r>
    <r>
      <rPr>
        <vertAlign val="subscript"/>
        <sz val="10"/>
        <color theme="1"/>
        <rFont val="Aptos Narrow"/>
        <family val="2"/>
        <scheme val="minor"/>
      </rPr>
      <t>100</t>
    </r>
  </si>
  <si>
    <t>43.69 AU</t>
  </si>
  <si>
    <t>105°</t>
  </si>
  <si>
    <t>318.41°</t>
  </si>
  <si>
    <t>70.7°</t>
  </si>
  <si>
    <r>
      <t>2003 WU</t>
    </r>
    <r>
      <rPr>
        <vertAlign val="subscript"/>
        <sz val="10"/>
        <color theme="1"/>
        <rFont val="Aptos Narrow"/>
        <family val="2"/>
        <scheme val="minor"/>
      </rPr>
      <t>172</t>
    </r>
  </si>
  <si>
    <t>39.269 AU</t>
  </si>
  <si>
    <t>100.87°</t>
  </si>
  <si>
    <t>10.48°</t>
  </si>
  <si>
    <t>352.311°</t>
  </si>
  <si>
    <r>
      <t>2003 FE</t>
    </r>
    <r>
      <rPr>
        <vertAlign val="subscript"/>
        <sz val="10"/>
        <color theme="1"/>
        <rFont val="Aptos Narrow"/>
        <family val="2"/>
        <scheme val="minor"/>
      </rPr>
      <t>128</t>
    </r>
  </si>
  <si>
    <t>48.22 AU</t>
  </si>
  <si>
    <t>3.38°</t>
  </si>
  <si>
    <t>169.12°</t>
  </si>
  <si>
    <t>6.63°</t>
  </si>
  <si>
    <t>S/2012 (469505) 1</t>
  </si>
  <si>
    <t>2,140 km</t>
  </si>
  <si>
    <r>
      <t>2010 RE</t>
    </r>
    <r>
      <rPr>
        <vertAlign val="subscript"/>
        <sz val="10"/>
        <color theme="1"/>
        <rFont val="Aptos Narrow"/>
        <family val="2"/>
        <scheme val="minor"/>
      </rPr>
      <t>188</t>
    </r>
  </si>
  <si>
    <t>45.8 AU</t>
  </si>
  <si>
    <t>210.2°</t>
  </si>
  <si>
    <t>189.21°</t>
  </si>
  <si>
    <t>346.8°</t>
  </si>
  <si>
    <r>
      <t>2000 QK</t>
    </r>
    <r>
      <rPr>
        <vertAlign val="subscript"/>
        <sz val="10"/>
        <color theme="1"/>
        <rFont val="Aptos Narrow"/>
        <family val="2"/>
        <scheme val="minor"/>
      </rPr>
      <t>252</t>
    </r>
  </si>
  <si>
    <t>45.15 AU</t>
  </si>
  <si>
    <t>7.688°</t>
  </si>
  <si>
    <t>347.332°</t>
  </si>
  <si>
    <t>141.509°</t>
  </si>
  <si>
    <t>180.078°</t>
  </si>
  <si>
    <r>
      <t>2002 GN</t>
    </r>
    <r>
      <rPr>
        <vertAlign val="subscript"/>
        <sz val="10"/>
        <color theme="1"/>
        <rFont val="Aptos Narrow"/>
        <family val="2"/>
        <scheme val="minor"/>
      </rPr>
      <t>32</t>
    </r>
  </si>
  <si>
    <t>39 AU</t>
  </si>
  <si>
    <t>12.44°</t>
  </si>
  <si>
    <t>102.05°</t>
  </si>
  <si>
    <t>222.5°</t>
  </si>
  <si>
    <r>
      <t>2003 HL</t>
    </r>
    <r>
      <rPr>
        <vertAlign val="subscript"/>
        <sz val="10"/>
        <color theme="1"/>
        <rFont val="Aptos Narrow"/>
        <family val="2"/>
        <scheme val="minor"/>
      </rPr>
      <t>57</t>
    </r>
  </si>
  <si>
    <t>79.041 AU</t>
  </si>
  <si>
    <t>6.33°</t>
  </si>
  <si>
    <t>296.51°</t>
  </si>
  <si>
    <t>5.509°</t>
  </si>
  <si>
    <t>330.76°</t>
  </si>
  <si>
    <r>
      <t>2003 QA</t>
    </r>
    <r>
      <rPr>
        <vertAlign val="subscript"/>
        <sz val="10"/>
        <color theme="1"/>
        <rFont val="Aptos Narrow"/>
        <family val="2"/>
        <scheme val="minor"/>
      </rPr>
      <t>112</t>
    </r>
  </si>
  <si>
    <t>42.95 AU</t>
  </si>
  <si>
    <t>15.95°</t>
  </si>
  <si>
    <t>0.68°</t>
  </si>
  <si>
    <r>
      <t>2005 RQ</t>
    </r>
    <r>
      <rPr>
        <vertAlign val="subscript"/>
        <sz val="10"/>
        <color theme="1"/>
        <rFont val="Aptos Narrow"/>
        <family val="2"/>
        <scheme val="minor"/>
      </rPr>
      <t>43</t>
    </r>
  </si>
  <si>
    <t>41.23 AU</t>
  </si>
  <si>
    <t>20.22°</t>
  </si>
  <si>
    <t>267.4°</t>
  </si>
  <si>
    <t>66.26°</t>
  </si>
  <si>
    <t>66.11°</t>
  </si>
  <si>
    <r>
      <t>2010 TA</t>
    </r>
    <r>
      <rPr>
        <vertAlign val="subscript"/>
        <sz val="10"/>
        <color theme="1"/>
        <rFont val="Aptos Narrow"/>
        <family val="2"/>
        <scheme val="minor"/>
      </rPr>
      <t>192</t>
    </r>
  </si>
  <si>
    <t>42.28 AU</t>
  </si>
  <si>
    <t>17.935°</t>
  </si>
  <si>
    <t>33.2°</t>
  </si>
  <si>
    <t>230.15°</t>
  </si>
  <si>
    <t>128.9°</t>
  </si>
  <si>
    <r>
      <t>2012 CS</t>
    </r>
    <r>
      <rPr>
        <vertAlign val="subscript"/>
        <sz val="10"/>
        <color theme="1"/>
        <rFont val="Aptos Narrow"/>
        <family val="2"/>
        <scheme val="minor"/>
      </rPr>
      <t>57</t>
    </r>
  </si>
  <si>
    <t>43.05 AU</t>
  </si>
  <si>
    <t>17.07°</t>
  </si>
  <si>
    <t>83.81°</t>
  </si>
  <si>
    <t>150.57°</t>
  </si>
  <si>
    <t>277.7°</t>
  </si>
  <si>
    <r>
      <t>2012 DB</t>
    </r>
    <r>
      <rPr>
        <vertAlign val="subscript"/>
        <sz val="10"/>
        <color theme="1"/>
        <rFont val="Aptos Narrow"/>
        <family val="2"/>
        <scheme val="minor"/>
      </rPr>
      <t>99</t>
    </r>
  </si>
  <si>
    <t>9.723°</t>
  </si>
  <si>
    <t>41.691°</t>
  </si>
  <si>
    <t>48.405°</t>
  </si>
  <si>
    <t>99.315°</t>
  </si>
  <si>
    <r>
      <t>2012 KU</t>
    </r>
    <r>
      <rPr>
        <vertAlign val="subscript"/>
        <sz val="10"/>
        <color theme="1"/>
        <rFont val="Aptos Narrow"/>
        <family val="2"/>
        <scheme val="minor"/>
      </rPr>
      <t>50</t>
    </r>
  </si>
  <si>
    <t>41.033 AU</t>
  </si>
  <si>
    <t>18.84°</t>
  </si>
  <si>
    <t>127.45°</t>
  </si>
  <si>
    <t>66.78°</t>
  </si>
  <si>
    <t>23.89°</t>
  </si>
  <si>
    <r>
      <t>2012 XR</t>
    </r>
    <r>
      <rPr>
        <vertAlign val="subscript"/>
        <sz val="10"/>
        <color theme="1"/>
        <rFont val="Aptos Narrow"/>
        <family val="2"/>
        <scheme val="minor"/>
      </rPr>
      <t>157</t>
    </r>
  </si>
  <si>
    <t>29.97°</t>
  </si>
  <si>
    <t>275.54°</t>
  </si>
  <si>
    <t>223.58°</t>
  </si>
  <si>
    <t>317.79°</t>
  </si>
  <si>
    <r>
      <t>2014 GZ</t>
    </r>
    <r>
      <rPr>
        <vertAlign val="subscript"/>
        <sz val="10"/>
        <color theme="1"/>
        <rFont val="Aptos Narrow"/>
        <family val="2"/>
        <scheme val="minor"/>
      </rPr>
      <t>53</t>
    </r>
  </si>
  <si>
    <t>43.894 AU</t>
  </si>
  <si>
    <t>5.92°</t>
  </si>
  <si>
    <t>82.555°</t>
  </si>
  <si>
    <t>3.27°</t>
  </si>
  <si>
    <r>
      <t>2014 LP</t>
    </r>
    <r>
      <rPr>
        <vertAlign val="subscript"/>
        <sz val="10"/>
        <color theme="1"/>
        <rFont val="Aptos Narrow"/>
        <family val="2"/>
        <scheme val="minor"/>
      </rPr>
      <t>28</t>
    </r>
  </si>
  <si>
    <t>41.42 AU</t>
  </si>
  <si>
    <t>16.04°</t>
  </si>
  <si>
    <t>136.93°</t>
  </si>
  <si>
    <t>177.02°</t>
  </si>
  <si>
    <t>16.3°</t>
  </si>
  <si>
    <r>
      <t>2014 OZ</t>
    </r>
    <r>
      <rPr>
        <vertAlign val="subscript"/>
        <sz val="10"/>
        <color theme="1"/>
        <rFont val="Aptos Narrow"/>
        <family val="2"/>
        <scheme val="minor"/>
      </rPr>
      <t>393</t>
    </r>
  </si>
  <si>
    <t>46.26 AU</t>
  </si>
  <si>
    <t>16.66°</t>
  </si>
  <si>
    <t>183.41°</t>
  </si>
  <si>
    <t>211.2°</t>
  </si>
  <si>
    <t>18.86°</t>
  </si>
  <si>
    <r>
      <t>2014 OG</t>
    </r>
    <r>
      <rPr>
        <vertAlign val="subscript"/>
        <sz val="10"/>
        <color theme="1"/>
        <rFont val="Aptos Narrow"/>
        <family val="2"/>
        <scheme val="minor"/>
      </rPr>
      <t>394</t>
    </r>
  </si>
  <si>
    <t>38.72 AU</t>
  </si>
  <si>
    <t>4.4°</t>
  </si>
  <si>
    <t>207.2°</t>
  </si>
  <si>
    <t>127.35°</t>
  </si>
  <si>
    <t>295.27°</t>
  </si>
  <si>
    <r>
      <t>2015 FM</t>
    </r>
    <r>
      <rPr>
        <vertAlign val="subscript"/>
        <sz val="10"/>
        <color theme="1"/>
        <rFont val="Aptos Narrow"/>
        <family val="2"/>
        <scheme val="minor"/>
      </rPr>
      <t>345</t>
    </r>
  </si>
  <si>
    <t>17.11°</t>
  </si>
  <si>
    <t>50.77°</t>
  </si>
  <si>
    <t>103.54°</t>
  </si>
  <si>
    <t>68.88°</t>
  </si>
  <si>
    <t>47.62 AU</t>
  </si>
  <si>
    <t>3.67°</t>
  </si>
  <si>
    <t>99.05°</t>
  </si>
  <si>
    <t>223.32°</t>
  </si>
  <si>
    <t>33.24°</t>
  </si>
  <si>
    <t>S/2006 (612176) 1</t>
  </si>
  <si>
    <t>7,000 km</t>
  </si>
  <si>
    <r>
      <t>1999 HB</t>
    </r>
    <r>
      <rPr>
        <vertAlign val="subscript"/>
        <sz val="10"/>
        <color theme="1"/>
        <rFont val="Aptos Narrow"/>
        <family val="2"/>
        <scheme val="minor"/>
      </rPr>
      <t>12</t>
    </r>
  </si>
  <si>
    <t>56.22 AU</t>
  </si>
  <si>
    <t>13.137°</t>
  </si>
  <si>
    <t>66.37°</t>
  </si>
  <si>
    <t>166.34°</t>
  </si>
  <si>
    <t>357.9°</t>
  </si>
  <si>
    <r>
      <t>1999 HW</t>
    </r>
    <r>
      <rPr>
        <vertAlign val="subscript"/>
        <sz val="10"/>
        <color theme="1"/>
        <rFont val="Aptos Narrow"/>
        <family val="2"/>
        <scheme val="minor"/>
      </rPr>
      <t>11</t>
    </r>
  </si>
  <si>
    <t>52.9 AU</t>
  </si>
  <si>
    <t>17.18°</t>
  </si>
  <si>
    <t>193.38°</t>
  </si>
  <si>
    <t>39.72°</t>
  </si>
  <si>
    <r>
      <t>2001 KD</t>
    </r>
    <r>
      <rPr>
        <vertAlign val="subscript"/>
        <sz val="10"/>
        <color theme="1"/>
        <rFont val="Aptos Narrow"/>
        <family val="2"/>
        <scheme val="minor"/>
      </rPr>
      <t>77</t>
    </r>
  </si>
  <si>
    <t>39.48 AU</t>
  </si>
  <si>
    <t>2.254°</t>
  </si>
  <si>
    <t>88.09°</t>
  </si>
  <si>
    <t>139.08°</t>
  </si>
  <si>
    <t>37.09°</t>
  </si>
  <si>
    <r>
      <t>2013 XB</t>
    </r>
    <r>
      <rPr>
        <vertAlign val="subscript"/>
        <sz val="10"/>
        <color theme="1"/>
        <rFont val="Aptos Narrow"/>
        <family val="2"/>
        <scheme val="minor"/>
      </rPr>
      <t>26</t>
    </r>
  </si>
  <si>
    <t>45.596 AU</t>
  </si>
  <si>
    <t>3.592°</t>
  </si>
  <si>
    <t>285.7°</t>
  </si>
  <si>
    <t>292.45°</t>
  </si>
  <si>
    <t>320.16°</t>
  </si>
  <si>
    <r>
      <t>2014 LR</t>
    </r>
    <r>
      <rPr>
        <vertAlign val="subscript"/>
        <sz val="10"/>
        <color theme="1"/>
        <rFont val="Aptos Narrow"/>
        <family val="2"/>
        <scheme val="minor"/>
      </rPr>
      <t>28</t>
    </r>
  </si>
  <si>
    <t>43.857 AU</t>
  </si>
  <si>
    <t>1.469°</t>
  </si>
  <si>
    <t>20.16°</t>
  </si>
  <si>
    <t>146.72°</t>
  </si>
  <si>
    <t>150.5°</t>
  </si>
  <si>
    <r>
      <t>2002 GJ</t>
    </r>
    <r>
      <rPr>
        <vertAlign val="subscript"/>
        <sz val="10"/>
        <color theme="1"/>
        <rFont val="Aptos Narrow"/>
        <family val="2"/>
        <scheme val="minor"/>
      </rPr>
      <t>32</t>
    </r>
  </si>
  <si>
    <t>44.088 AU</t>
  </si>
  <si>
    <t>11.6°</t>
  </si>
  <si>
    <t>252.3°</t>
  </si>
  <si>
    <t>244.8°</t>
  </si>
  <si>
    <t>79.4°</t>
  </si>
  <si>
    <r>
      <t>2003 OP</t>
    </r>
    <r>
      <rPr>
        <vertAlign val="subscript"/>
        <sz val="10"/>
        <color theme="1"/>
        <rFont val="Aptos Narrow"/>
        <family val="2"/>
        <scheme val="minor"/>
      </rPr>
      <t>32</t>
    </r>
  </si>
  <si>
    <t>27.219°</t>
  </si>
  <si>
    <t>67.082°</t>
  </si>
  <si>
    <t>182.93°</t>
  </si>
  <si>
    <t>71.841°</t>
  </si>
  <si>
    <r>
      <t>2002 GZ</t>
    </r>
    <r>
      <rPr>
        <vertAlign val="subscript"/>
        <sz val="10"/>
        <color theme="1"/>
        <rFont val="Aptos Narrow"/>
        <family val="2"/>
        <scheme val="minor"/>
      </rPr>
      <t>31</t>
    </r>
  </si>
  <si>
    <t>50.44 AU</t>
  </si>
  <si>
    <t>1.05°</t>
  </si>
  <si>
    <t>117.22°</t>
  </si>
  <si>
    <t>335.1°</t>
  </si>
  <si>
    <t>Zhulong</t>
  </si>
  <si>
    <t>56.104 AU</t>
  </si>
  <si>
    <t>0.806°</t>
  </si>
  <si>
    <t>273.6°</t>
  </si>
  <si>
    <t>318.9°</t>
  </si>
  <si>
    <t>348.93°</t>
  </si>
  <si>
    <r>
      <t>2014 KZ</t>
    </r>
    <r>
      <rPr>
        <vertAlign val="subscript"/>
        <sz val="10"/>
        <color theme="1"/>
        <rFont val="Aptos Narrow"/>
        <family val="2"/>
        <scheme val="minor"/>
      </rPr>
      <t>101</t>
    </r>
  </si>
  <si>
    <t>120.073 AU</t>
  </si>
  <si>
    <t>18.653°</t>
  </si>
  <si>
    <t>81.873°</t>
  </si>
  <si>
    <t>161.653°</t>
  </si>
  <si>
    <t>3.383°</t>
  </si>
  <si>
    <r>
      <t>1998 XY</t>
    </r>
    <r>
      <rPr>
        <vertAlign val="subscript"/>
        <sz val="10"/>
        <color theme="1"/>
        <rFont val="Aptos Narrow"/>
        <family val="2"/>
        <scheme val="minor"/>
      </rPr>
      <t>95</t>
    </r>
  </si>
  <si>
    <t>63.7 AU</t>
  </si>
  <si>
    <t>6.665°</t>
  </si>
  <si>
    <t>89.64°</t>
  </si>
  <si>
    <t>47.27°</t>
  </si>
  <si>
    <t>352.82°</t>
  </si>
  <si>
    <r>
      <t>2003 FM</t>
    </r>
    <r>
      <rPr>
        <vertAlign val="subscript"/>
        <sz val="10"/>
        <color theme="1"/>
        <rFont val="Aptos Narrow"/>
        <family val="2"/>
        <scheme val="minor"/>
      </rPr>
      <t>129</t>
    </r>
  </si>
  <si>
    <t>50.417 AU</t>
  </si>
  <si>
    <t>17.93°</t>
  </si>
  <si>
    <t>49.94°</t>
  </si>
  <si>
    <t>209.76°</t>
  </si>
  <si>
    <t>352.22°</t>
  </si>
  <si>
    <r>
      <t>2005 CG</t>
    </r>
    <r>
      <rPr>
        <vertAlign val="subscript"/>
        <sz val="10"/>
        <color theme="1"/>
        <rFont val="Aptos Narrow"/>
        <family val="2"/>
        <scheme val="minor"/>
      </rPr>
      <t>81</t>
    </r>
  </si>
  <si>
    <t>54.28 AU</t>
  </si>
  <si>
    <t>26.09°</t>
  </si>
  <si>
    <t>56.02°</t>
  </si>
  <si>
    <t>134.63°</t>
  </si>
  <si>
    <t>335.45°</t>
  </si>
  <si>
    <r>
      <t>2007 RM</t>
    </r>
    <r>
      <rPr>
        <vertAlign val="subscript"/>
        <sz val="10"/>
        <color theme="1"/>
        <rFont val="Aptos Narrow"/>
        <family val="2"/>
        <scheme val="minor"/>
      </rPr>
      <t>314</t>
    </r>
  </si>
  <si>
    <t>70.89 AU</t>
  </si>
  <si>
    <t>20.86°</t>
  </si>
  <si>
    <t>76.57°</t>
  </si>
  <si>
    <t>209.44°</t>
  </si>
  <si>
    <t>26.97°</t>
  </si>
  <si>
    <r>
      <t>2010 TB</t>
    </r>
    <r>
      <rPr>
        <vertAlign val="subscript"/>
        <sz val="10"/>
        <color theme="1"/>
        <rFont val="Aptos Narrow"/>
        <family val="2"/>
        <scheme val="minor"/>
      </rPr>
      <t>192</t>
    </r>
  </si>
  <si>
    <t>54.243 AU</t>
  </si>
  <si>
    <t>108.4°</t>
  </si>
  <si>
    <t>243.58°</t>
  </si>
  <si>
    <t>24.58°</t>
  </si>
  <si>
    <r>
      <t>2012 BX</t>
    </r>
    <r>
      <rPr>
        <vertAlign val="subscript"/>
        <sz val="10"/>
        <color theme="1"/>
        <rFont val="Aptos Narrow"/>
        <family val="2"/>
        <scheme val="minor"/>
      </rPr>
      <t>154</t>
    </r>
  </si>
  <si>
    <t>72.847 AU</t>
  </si>
  <si>
    <t>10.169°</t>
  </si>
  <si>
    <t>129.21°</t>
  </si>
  <si>
    <t>341.04°</t>
  </si>
  <si>
    <t>19.37°</t>
  </si>
  <si>
    <r>
      <t>2012 EE</t>
    </r>
    <r>
      <rPr>
        <vertAlign val="subscript"/>
        <sz val="10"/>
        <color theme="1"/>
        <rFont val="Aptos Narrow"/>
        <family val="2"/>
        <scheme val="minor"/>
      </rPr>
      <t>18</t>
    </r>
  </si>
  <si>
    <t>67.83 AU</t>
  </si>
  <si>
    <t>16.34°</t>
  </si>
  <si>
    <t>339.848°</t>
  </si>
  <si>
    <t>243.507°</t>
  </si>
  <si>
    <r>
      <t>2013 RM</t>
    </r>
    <r>
      <rPr>
        <vertAlign val="subscript"/>
        <sz val="10"/>
        <color theme="1"/>
        <rFont val="Aptos Narrow"/>
        <family val="2"/>
        <scheme val="minor"/>
      </rPr>
      <t>109</t>
    </r>
  </si>
  <si>
    <t>51.37 AU</t>
  </si>
  <si>
    <t>14.284°</t>
  </si>
  <si>
    <t>127.15°</t>
  </si>
  <si>
    <t>261.07°</t>
  </si>
  <si>
    <t>328.87°</t>
  </si>
  <si>
    <r>
      <t>2014 SR</t>
    </r>
    <r>
      <rPr>
        <vertAlign val="subscript"/>
        <sz val="10"/>
        <color theme="1"/>
        <rFont val="Aptos Narrow"/>
        <family val="2"/>
        <scheme val="minor"/>
      </rPr>
      <t>350</t>
    </r>
  </si>
  <si>
    <t>102.4 AU</t>
  </si>
  <si>
    <t>28.73°</t>
  </si>
  <si>
    <t>220.5°</t>
  </si>
  <si>
    <t>35.28°</t>
  </si>
  <si>
    <t>14.7°</t>
  </si>
  <si>
    <r>
      <t>2014 WY</t>
    </r>
    <r>
      <rPr>
        <vertAlign val="subscript"/>
        <sz val="10"/>
        <color theme="1"/>
        <rFont val="Aptos Narrow"/>
        <family val="2"/>
        <scheme val="minor"/>
      </rPr>
      <t>535</t>
    </r>
  </si>
  <si>
    <t>56.273 AU</t>
  </si>
  <si>
    <t>26.59°</t>
  </si>
  <si>
    <t>309.39°</t>
  </si>
  <si>
    <t>188.504°</t>
  </si>
  <si>
    <t>359.09°</t>
  </si>
  <si>
    <r>
      <t>2015 DW</t>
    </r>
    <r>
      <rPr>
        <vertAlign val="subscript"/>
        <sz val="10"/>
        <color theme="1"/>
        <rFont val="Aptos Narrow"/>
        <family val="2"/>
        <scheme val="minor"/>
      </rPr>
      <t>224</t>
    </r>
  </si>
  <si>
    <t>111.37 AU</t>
  </si>
  <si>
    <t>30.455°</t>
  </si>
  <si>
    <t>69.624°</t>
  </si>
  <si>
    <t>2.099°</t>
  </si>
  <si>
    <r>
      <t>2010 VX</t>
    </r>
    <r>
      <rPr>
        <vertAlign val="subscript"/>
        <sz val="10"/>
        <color theme="1"/>
        <rFont val="Aptos Narrow"/>
        <family val="2"/>
        <scheme val="minor"/>
      </rPr>
      <t>11</t>
    </r>
  </si>
  <si>
    <t>39.2 AU</t>
  </si>
  <si>
    <t>22.3°</t>
  </si>
  <si>
    <t>292.6°</t>
  </si>
  <si>
    <t>346.2°</t>
  </si>
  <si>
    <r>
      <t>2014 KY</t>
    </r>
    <r>
      <rPr>
        <vertAlign val="subscript"/>
        <sz val="10"/>
        <color theme="1"/>
        <rFont val="Aptos Narrow"/>
        <family val="2"/>
        <scheme val="minor"/>
      </rPr>
      <t>101</t>
    </r>
  </si>
  <si>
    <t>39.439 AU</t>
  </si>
  <si>
    <t>9.65°</t>
  </si>
  <si>
    <t>92.72°</t>
  </si>
  <si>
    <t>96.30°</t>
  </si>
  <si>
    <t>50.35°</t>
  </si>
  <si>
    <r>
      <t>2001 RU</t>
    </r>
    <r>
      <rPr>
        <vertAlign val="subscript"/>
        <sz val="10"/>
        <color theme="1"/>
        <rFont val="Aptos Narrow"/>
        <family val="2"/>
        <scheme val="minor"/>
      </rPr>
      <t>143</t>
    </r>
  </si>
  <si>
    <t>39.353 AU</t>
  </si>
  <si>
    <t>6.53°</t>
  </si>
  <si>
    <t>19.43°</t>
  </si>
  <si>
    <t>209.212°</t>
  </si>
  <si>
    <t>157.1°</t>
  </si>
  <si>
    <r>
      <t>2002 CW</t>
    </r>
    <r>
      <rPr>
        <vertAlign val="subscript"/>
        <sz val="10"/>
        <color theme="1"/>
        <rFont val="Aptos Narrow"/>
        <family val="2"/>
        <scheme val="minor"/>
      </rPr>
      <t>154</t>
    </r>
  </si>
  <si>
    <t>46.24 AU</t>
  </si>
  <si>
    <t>26.911°</t>
  </si>
  <si>
    <t>355.767°</t>
  </si>
  <si>
    <t>346.434°</t>
  </si>
  <si>
    <t>179.17°</t>
  </si>
  <si>
    <r>
      <t>2003 HP</t>
    </r>
    <r>
      <rPr>
        <vertAlign val="subscript"/>
        <sz val="10"/>
        <color theme="1"/>
        <rFont val="Aptos Narrow"/>
        <family val="2"/>
        <scheme val="minor"/>
      </rPr>
      <t>57</t>
    </r>
  </si>
  <si>
    <t>46.654 AU</t>
  </si>
  <si>
    <t>37.91°</t>
  </si>
  <si>
    <t>1.247°</t>
  </si>
  <si>
    <t>19.062°</t>
  </si>
  <si>
    <t>178.513°</t>
  </si>
  <si>
    <r>
      <t>2003 QP</t>
    </r>
    <r>
      <rPr>
        <vertAlign val="subscript"/>
        <sz val="10"/>
        <color theme="1"/>
        <rFont val="Aptos Narrow"/>
        <family val="2"/>
        <scheme val="minor"/>
      </rPr>
      <t>91</t>
    </r>
  </si>
  <si>
    <t>36.71 AU</t>
  </si>
  <si>
    <t>6.52°</t>
  </si>
  <si>
    <t>200.27°</t>
  </si>
  <si>
    <t>26.63°</t>
  </si>
  <si>
    <t>143.82°</t>
  </si>
  <si>
    <r>
      <t>2004 KH</t>
    </r>
    <r>
      <rPr>
        <vertAlign val="subscript"/>
        <sz val="10"/>
        <color theme="1"/>
        <rFont val="Aptos Narrow"/>
        <family val="2"/>
        <scheme val="minor"/>
      </rPr>
      <t>19</t>
    </r>
  </si>
  <si>
    <t>40.92 AU</t>
  </si>
  <si>
    <t>35.15°</t>
  </si>
  <si>
    <t>227.4°</t>
  </si>
  <si>
    <t>232.93°</t>
  </si>
  <si>
    <t>135.2°</t>
  </si>
  <si>
    <r>
      <t>2004 VT</t>
    </r>
    <r>
      <rPr>
        <vertAlign val="subscript"/>
        <sz val="10"/>
        <color theme="1"/>
        <rFont val="Aptos Narrow"/>
        <family val="2"/>
        <scheme val="minor"/>
      </rPr>
      <t>75</t>
    </r>
  </si>
  <si>
    <t>39.222 AU</t>
  </si>
  <si>
    <t>12.858°</t>
  </si>
  <si>
    <t>271.32°</t>
  </si>
  <si>
    <t>26.62°</t>
  </si>
  <si>
    <t>80.305°</t>
  </si>
  <si>
    <r>
      <t>2004 VZ</t>
    </r>
    <r>
      <rPr>
        <vertAlign val="subscript"/>
        <sz val="10"/>
        <color theme="1"/>
        <rFont val="Aptos Narrow"/>
        <family val="2"/>
        <scheme val="minor"/>
      </rPr>
      <t>75</t>
    </r>
  </si>
  <si>
    <t>39.726 AU</t>
  </si>
  <si>
    <t>4.466°</t>
  </si>
  <si>
    <t>10.701°</t>
  </si>
  <si>
    <t>168.605°</t>
  </si>
  <si>
    <t>290.585°</t>
  </si>
  <si>
    <r>
      <t>2005 EH</t>
    </r>
    <r>
      <rPr>
        <vertAlign val="subscript"/>
        <sz val="10"/>
        <color theme="1"/>
        <rFont val="Aptos Narrow"/>
        <family val="2"/>
        <scheme val="minor"/>
      </rPr>
      <t>305</t>
    </r>
  </si>
  <si>
    <t>44.056 AU</t>
  </si>
  <si>
    <t>7.47°</t>
  </si>
  <si>
    <t>177.096°</t>
  </si>
  <si>
    <t>190.302°</t>
  </si>
  <si>
    <t>180.23°</t>
  </si>
  <si>
    <r>
      <t>2010 LB</t>
    </r>
    <r>
      <rPr>
        <vertAlign val="subscript"/>
        <sz val="10"/>
        <color theme="1"/>
        <rFont val="Aptos Narrow"/>
        <family val="2"/>
        <scheme val="minor"/>
      </rPr>
      <t>136</t>
    </r>
  </si>
  <si>
    <t>39.57 AU</t>
  </si>
  <si>
    <t>14.07°</t>
  </si>
  <si>
    <t>159.56°</t>
  </si>
  <si>
    <t>132°</t>
  </si>
  <si>
    <t>5.71°</t>
  </si>
  <si>
    <r>
      <t>2010 TE</t>
    </r>
    <r>
      <rPr>
        <vertAlign val="subscript"/>
        <sz val="10"/>
        <color theme="1"/>
        <rFont val="Aptos Narrow"/>
        <family val="2"/>
        <scheme val="minor"/>
      </rPr>
      <t>192</t>
    </r>
  </si>
  <si>
    <t>41.65 AU</t>
  </si>
  <si>
    <t>21.22°</t>
  </si>
  <si>
    <t>291°</t>
  </si>
  <si>
    <t>98.1°</t>
  </si>
  <si>
    <r>
      <t>2010 VX</t>
    </r>
    <r>
      <rPr>
        <vertAlign val="subscript"/>
        <sz val="10"/>
        <color theme="1"/>
        <rFont val="Aptos Narrow"/>
        <family val="2"/>
        <scheme val="minor"/>
      </rPr>
      <t>224</t>
    </r>
  </si>
  <si>
    <t>39.84 AU</t>
  </si>
  <si>
    <t>15.54°</t>
  </si>
  <si>
    <t>152.74°</t>
  </si>
  <si>
    <t>295.97°</t>
  </si>
  <si>
    <r>
      <t>2011 BQ</t>
    </r>
    <r>
      <rPr>
        <vertAlign val="subscript"/>
        <sz val="10"/>
        <color theme="1"/>
        <rFont val="Aptos Narrow"/>
        <family val="2"/>
        <scheme val="minor"/>
      </rPr>
      <t>170</t>
    </r>
  </si>
  <si>
    <t>45.504 AU</t>
  </si>
  <si>
    <t>9.32°</t>
  </si>
  <si>
    <t>351.57°</t>
  </si>
  <si>
    <t>207.17°</t>
  </si>
  <si>
    <t>347.31°</t>
  </si>
  <si>
    <r>
      <t>2011 CX</t>
    </r>
    <r>
      <rPr>
        <vertAlign val="subscript"/>
        <sz val="10"/>
        <color theme="1"/>
        <rFont val="Aptos Narrow"/>
        <family val="2"/>
        <scheme val="minor"/>
      </rPr>
      <t>119</t>
    </r>
  </si>
  <si>
    <t>41.602 AU</t>
  </si>
  <si>
    <t>27.446°</t>
  </si>
  <si>
    <t>669.21°</t>
  </si>
  <si>
    <t>323.84°</t>
  </si>
  <si>
    <t>128.8°</t>
  </si>
  <si>
    <r>
      <t>2012 SB</t>
    </r>
    <r>
      <rPr>
        <vertAlign val="subscript"/>
        <sz val="10"/>
        <color theme="1"/>
        <rFont val="Aptos Narrow"/>
        <family val="2"/>
        <scheme val="minor"/>
      </rPr>
      <t>67</t>
    </r>
  </si>
  <si>
    <t>47.507 AU</t>
  </si>
  <si>
    <t>17.87°</t>
  </si>
  <si>
    <t>151.84°</t>
  </si>
  <si>
    <t>214.67°</t>
  </si>
  <si>
    <t>12.52°</t>
  </si>
  <si>
    <r>
      <t>2013 UQ</t>
    </r>
    <r>
      <rPr>
        <vertAlign val="subscript"/>
        <sz val="10"/>
        <color theme="1"/>
        <rFont val="Aptos Narrow"/>
        <family val="2"/>
        <scheme val="minor"/>
      </rPr>
      <t>15</t>
    </r>
  </si>
  <si>
    <t>43.052 AU</t>
  </si>
  <si>
    <t>27.25°</t>
  </si>
  <si>
    <t>16.13°</t>
  </si>
  <si>
    <t>189.069°</t>
  </si>
  <si>
    <t>180.31°</t>
  </si>
  <si>
    <r>
      <t>2013 VJ</t>
    </r>
    <r>
      <rPr>
        <vertAlign val="subscript"/>
        <sz val="10"/>
        <color theme="1"/>
        <rFont val="Aptos Narrow"/>
        <family val="2"/>
        <scheme val="minor"/>
      </rPr>
      <t>24</t>
    </r>
  </si>
  <si>
    <t>48.08 AU</t>
  </si>
  <si>
    <t>8.522°</t>
  </si>
  <si>
    <t>87.88°</t>
  </si>
  <si>
    <t>151.5°</t>
  </si>
  <si>
    <r>
      <t>2014 HV</t>
    </r>
    <r>
      <rPr>
        <vertAlign val="subscript"/>
        <sz val="10"/>
        <color theme="1"/>
        <rFont val="Aptos Narrow"/>
        <family val="2"/>
        <scheme val="minor"/>
      </rPr>
      <t>199</t>
    </r>
  </si>
  <si>
    <t>37.83 AU</t>
  </si>
  <si>
    <t>24.42°</t>
  </si>
  <si>
    <t>302.18°</t>
  </si>
  <si>
    <t>87.94°</t>
  </si>
  <si>
    <t>208.05°</t>
  </si>
  <si>
    <r>
      <t>2014 JK</t>
    </r>
    <r>
      <rPr>
        <vertAlign val="subscript"/>
        <sz val="10"/>
        <color theme="1"/>
        <rFont val="Aptos Narrow"/>
        <family val="2"/>
        <scheme val="minor"/>
      </rPr>
      <t>80</t>
    </r>
  </si>
  <si>
    <t>39.338 AU</t>
  </si>
  <si>
    <t>19.98°</t>
  </si>
  <si>
    <t>153.93°</t>
  </si>
  <si>
    <t>319.51°</t>
  </si>
  <si>
    <r>
      <t>2014 WZ</t>
    </r>
    <r>
      <rPr>
        <vertAlign val="subscript"/>
        <sz val="10"/>
        <color theme="1"/>
        <rFont val="Aptos Narrow"/>
        <family val="2"/>
        <scheme val="minor"/>
      </rPr>
      <t>535</t>
    </r>
  </si>
  <si>
    <t>19.68°</t>
  </si>
  <si>
    <t>48.14°</t>
  </si>
  <si>
    <t>221.49°</t>
  </si>
  <si>
    <t>234.61°</t>
  </si>
  <si>
    <r>
      <t>2015 BM</t>
    </r>
    <r>
      <rPr>
        <vertAlign val="subscript"/>
        <sz val="10"/>
        <color theme="1"/>
        <rFont val="Aptos Narrow"/>
        <family val="2"/>
        <scheme val="minor"/>
      </rPr>
      <t>518</t>
    </r>
  </si>
  <si>
    <t>36.213 AU</t>
  </si>
  <si>
    <t>8.826°</t>
  </si>
  <si>
    <t>295.54°</t>
  </si>
  <si>
    <t>262.45°</t>
  </si>
  <si>
    <t>355.17°</t>
  </si>
  <si>
    <r>
      <t>2015 BY</t>
    </r>
    <r>
      <rPr>
        <vertAlign val="subscript"/>
        <sz val="10"/>
        <color theme="1"/>
        <rFont val="Aptos Narrow"/>
        <family val="2"/>
        <scheme val="minor"/>
      </rPr>
      <t>518</t>
    </r>
  </si>
  <si>
    <t>47.25 AU</t>
  </si>
  <si>
    <t>16.21°</t>
  </si>
  <si>
    <t>334.81°</t>
  </si>
  <si>
    <t>194.069°</t>
  </si>
  <si>
    <t>347.74°</t>
  </si>
  <si>
    <t>44.6 AU</t>
  </si>
  <si>
    <t>16.369°</t>
  </si>
  <si>
    <r>
      <t>2015 GO</t>
    </r>
    <r>
      <rPr>
        <vertAlign val="subscript"/>
        <sz val="10"/>
        <color theme="1"/>
        <rFont val="Aptos Narrow"/>
        <family val="2"/>
        <scheme val="minor"/>
      </rPr>
      <t>50</t>
    </r>
  </si>
  <si>
    <t>236°</t>
  </si>
  <si>
    <t>283.63°</t>
  </si>
  <si>
    <t>19°</t>
  </si>
  <si>
    <r>
      <t>2015 SW</t>
    </r>
    <r>
      <rPr>
        <vertAlign val="subscript"/>
        <sz val="10"/>
        <color theme="1"/>
        <rFont val="Aptos Narrow"/>
        <family val="2"/>
        <scheme val="minor"/>
      </rPr>
      <t>20</t>
    </r>
  </si>
  <si>
    <t>48 AU</t>
  </si>
  <si>
    <t>1.08°</t>
  </si>
  <si>
    <t>334.2°</t>
  </si>
  <si>
    <t>110.54°</t>
  </si>
  <si>
    <t>306°</t>
  </si>
  <si>
    <r>
      <t>1999 RY</t>
    </r>
    <r>
      <rPr>
        <vertAlign val="subscript"/>
        <sz val="10"/>
        <color theme="1"/>
        <rFont val="Aptos Narrow"/>
        <family val="2"/>
        <scheme val="minor"/>
      </rPr>
      <t>215</t>
    </r>
  </si>
  <si>
    <t>45.56 AU</t>
  </si>
  <si>
    <t>22.2°</t>
  </si>
  <si>
    <t>326.6°</t>
  </si>
  <si>
    <t>341.8°</t>
  </si>
  <si>
    <r>
      <t>1999 CX</t>
    </r>
    <r>
      <rPr>
        <vertAlign val="subscript"/>
        <sz val="10"/>
        <color theme="1"/>
        <rFont val="Aptos Narrow"/>
        <family val="2"/>
        <scheme val="minor"/>
      </rPr>
      <t>131</t>
    </r>
  </si>
  <si>
    <t>42.022 AU</t>
  </si>
  <si>
    <t>111.017°</t>
  </si>
  <si>
    <t>128°</t>
  </si>
  <si>
    <t>309.45°</t>
  </si>
  <si>
    <r>
      <t>2014 TD</t>
    </r>
    <r>
      <rPr>
        <vertAlign val="subscript"/>
        <sz val="10"/>
        <color theme="1"/>
        <rFont val="Aptos Narrow"/>
        <family val="2"/>
        <scheme val="minor"/>
      </rPr>
      <t>86</t>
    </r>
  </si>
  <si>
    <t>42.778 AU</t>
  </si>
  <si>
    <t>1.694°</t>
  </si>
  <si>
    <t>268.9°</t>
  </si>
  <si>
    <r>
      <t>2003 UT</t>
    </r>
    <r>
      <rPr>
        <vertAlign val="subscript"/>
        <sz val="10"/>
        <color theme="1"/>
        <rFont val="Aptos Narrow"/>
        <family val="2"/>
        <scheme val="minor"/>
      </rPr>
      <t>292</t>
    </r>
  </si>
  <si>
    <t>39.42 AU</t>
  </si>
  <si>
    <t>17.56°</t>
  </si>
  <si>
    <t>256.05°</t>
  </si>
  <si>
    <t>211.07°</t>
  </si>
  <si>
    <r>
      <t>2005 RR</t>
    </r>
    <r>
      <rPr>
        <vertAlign val="subscript"/>
        <sz val="10"/>
        <color theme="1"/>
        <rFont val="Aptos Narrow"/>
        <family val="2"/>
        <scheme val="minor"/>
      </rPr>
      <t>43</t>
    </r>
  </si>
  <si>
    <t>43.163 AU</t>
  </si>
  <si>
    <t>28.506°</t>
  </si>
  <si>
    <t>279.66°</t>
  </si>
  <si>
    <t>85.852°</t>
  </si>
  <si>
    <t>43.576°</t>
  </si>
  <si>
    <r>
      <t>2006 HJ</t>
    </r>
    <r>
      <rPr>
        <vertAlign val="subscript"/>
        <sz val="10"/>
        <color theme="1"/>
        <rFont val="Aptos Narrow"/>
        <family val="2"/>
        <scheme val="minor"/>
      </rPr>
      <t>123</t>
    </r>
  </si>
  <si>
    <t>39.535 AU</t>
  </si>
  <si>
    <t>12.433°</t>
  </si>
  <si>
    <t>101.59°</t>
  </si>
  <si>
    <t>222.53°</t>
  </si>
  <si>
    <t>309.05°</t>
  </si>
  <si>
    <r>
      <t>2010 FE</t>
    </r>
    <r>
      <rPr>
        <vertAlign val="subscript"/>
        <sz val="10"/>
        <color theme="1"/>
        <rFont val="Aptos Narrow"/>
        <family val="2"/>
        <scheme val="minor"/>
      </rPr>
      <t>49</t>
    </r>
  </si>
  <si>
    <t>11.72°</t>
  </si>
  <si>
    <t>131.16°</t>
  </si>
  <si>
    <t>57.94°</t>
  </si>
  <si>
    <r>
      <t>2013 TJ</t>
    </r>
    <r>
      <rPr>
        <vertAlign val="subscript"/>
        <sz val="10"/>
        <color theme="1"/>
        <rFont val="Aptos Narrow"/>
        <family val="2"/>
        <scheme val="minor"/>
      </rPr>
      <t>159</t>
    </r>
  </si>
  <si>
    <t>52.78 AU</t>
  </si>
  <si>
    <t>4.815°</t>
  </si>
  <si>
    <t>173.9°</t>
  </si>
  <si>
    <t>13.67°</t>
  </si>
  <si>
    <t>161.63 AU</t>
  </si>
  <si>
    <t>23.451°</t>
  </si>
  <si>
    <t>354.8°</t>
  </si>
  <si>
    <t>33.619°</t>
  </si>
  <si>
    <t>0.003°</t>
  </si>
  <si>
    <r>
      <t>2014 HE</t>
    </r>
    <r>
      <rPr>
        <vertAlign val="subscript"/>
        <sz val="10"/>
        <color theme="1"/>
        <rFont val="Aptos Narrow"/>
        <family val="2"/>
        <scheme val="minor"/>
      </rPr>
      <t>200</t>
    </r>
  </si>
  <si>
    <t>52.41 AU</t>
  </si>
  <si>
    <t>11.7°</t>
  </si>
  <si>
    <t>9.34°</t>
  </si>
  <si>
    <r>
      <t>2003 LA</t>
    </r>
    <r>
      <rPr>
        <vertAlign val="subscript"/>
        <sz val="10"/>
        <color theme="1"/>
        <rFont val="Aptos Narrow"/>
        <family val="2"/>
        <scheme val="minor"/>
      </rPr>
      <t>7</t>
    </r>
  </si>
  <si>
    <t>76.22 AU</t>
  </si>
  <si>
    <t>5.637°</t>
  </si>
  <si>
    <t>34.076°</t>
  </si>
  <si>
    <t>346.07°</t>
  </si>
  <si>
    <r>
      <t>2005 NU</t>
    </r>
    <r>
      <rPr>
        <vertAlign val="subscript"/>
        <sz val="10"/>
        <color theme="1"/>
        <rFont val="Aptos Narrow"/>
        <family val="2"/>
        <scheme val="minor"/>
      </rPr>
      <t>125</t>
    </r>
  </si>
  <si>
    <t>81.101 AU</t>
  </si>
  <si>
    <t>37.14°</t>
  </si>
  <si>
    <t>358.7°</t>
  </si>
  <si>
    <t>297.27°</t>
  </si>
  <si>
    <t>6.78°</t>
  </si>
  <si>
    <r>
      <t>2005 XN</t>
    </r>
    <r>
      <rPr>
        <vertAlign val="subscript"/>
        <sz val="10"/>
        <color theme="1"/>
        <rFont val="Aptos Narrow"/>
        <family val="2"/>
        <scheme val="minor"/>
      </rPr>
      <t>113</t>
    </r>
  </si>
  <si>
    <t>55.465 AU</t>
  </si>
  <si>
    <t>148.42°</t>
  </si>
  <si>
    <t>336.1°</t>
  </si>
  <si>
    <t>339.63°</t>
  </si>
  <si>
    <r>
      <t>2006 HQ</t>
    </r>
    <r>
      <rPr>
        <vertAlign val="subscript"/>
        <sz val="10"/>
        <color theme="1"/>
        <rFont val="Aptos Narrow"/>
        <family val="2"/>
        <scheme val="minor"/>
      </rPr>
      <t>122</t>
    </r>
  </si>
  <si>
    <t>91.701 AU</t>
  </si>
  <si>
    <t>21.63°</t>
  </si>
  <si>
    <t>345.6°</t>
  </si>
  <si>
    <t>217°</t>
  </si>
  <si>
    <t>5.58°</t>
  </si>
  <si>
    <r>
      <t>2010 EQ</t>
    </r>
    <r>
      <rPr>
        <vertAlign val="subscript"/>
        <sz val="10"/>
        <color theme="1"/>
        <rFont val="Aptos Narrow"/>
        <family val="2"/>
        <scheme val="minor"/>
      </rPr>
      <t>65</t>
    </r>
  </si>
  <si>
    <t>59.63 AU</t>
  </si>
  <si>
    <t>24.86°</t>
  </si>
  <si>
    <t>179.76°</t>
  </si>
  <si>
    <t>337.64°</t>
  </si>
  <si>
    <t>20.63°</t>
  </si>
  <si>
    <r>
      <t>2014 GV</t>
    </r>
    <r>
      <rPr>
        <vertAlign val="subscript"/>
        <sz val="10"/>
        <color theme="1"/>
        <rFont val="Aptos Narrow"/>
        <family val="2"/>
        <scheme val="minor"/>
      </rPr>
      <t>53</t>
    </r>
  </si>
  <si>
    <t>50.162 AU</t>
  </si>
  <si>
    <t>17.814°</t>
  </si>
  <si>
    <t>119.349°</t>
  </si>
  <si>
    <t>148.393°</t>
  </si>
  <si>
    <t>355.666°</t>
  </si>
  <si>
    <r>
      <t>2014 HO</t>
    </r>
    <r>
      <rPr>
        <vertAlign val="subscript"/>
        <sz val="10"/>
        <color theme="1"/>
        <rFont val="Aptos Narrow"/>
        <family val="2"/>
        <scheme val="minor"/>
      </rPr>
      <t>211</t>
    </r>
  </si>
  <si>
    <t>64.98 AU</t>
  </si>
  <si>
    <t>43.76°</t>
  </si>
  <si>
    <t>51.34°</t>
  </si>
  <si>
    <t>175.18°</t>
  </si>
  <si>
    <t>356.74°</t>
  </si>
  <si>
    <r>
      <t>2014 UA</t>
    </r>
    <r>
      <rPr>
        <vertAlign val="subscript"/>
        <sz val="10"/>
        <color theme="1"/>
        <rFont val="Aptos Narrow"/>
        <family val="2"/>
        <scheme val="minor"/>
      </rPr>
      <t>230</t>
    </r>
  </si>
  <si>
    <t>55.75 AU</t>
  </si>
  <si>
    <t>129.7°</t>
  </si>
  <si>
    <t>10.37°</t>
  </si>
  <si>
    <t>276.07°</t>
  </si>
  <si>
    <r>
      <t>2014 WL</t>
    </r>
    <r>
      <rPr>
        <vertAlign val="subscript"/>
        <sz val="10"/>
        <color theme="1"/>
        <rFont val="Aptos Narrow"/>
        <family val="2"/>
        <scheme val="minor"/>
      </rPr>
      <t>510</t>
    </r>
  </si>
  <si>
    <t>39.839 AU</t>
  </si>
  <si>
    <t>13.472°</t>
  </si>
  <si>
    <t>106.963°</t>
  </si>
  <si>
    <t>19.737°</t>
  </si>
  <si>
    <t>302.772°</t>
  </si>
  <si>
    <t>63.47 AU</t>
  </si>
  <si>
    <t>4.675°</t>
  </si>
  <si>
    <t>320.652°</t>
  </si>
  <si>
    <t>219.798°</t>
  </si>
  <si>
    <t>350.595°</t>
  </si>
  <si>
    <r>
      <t>2015 AS</t>
    </r>
    <r>
      <rPr>
        <vertAlign val="subscript"/>
        <sz val="10"/>
        <color theme="1"/>
        <rFont val="Aptos Narrow"/>
        <family val="2"/>
        <scheme val="minor"/>
      </rPr>
      <t>293</t>
    </r>
  </si>
  <si>
    <t>52.104 AU</t>
  </si>
  <si>
    <t>34.41°</t>
  </si>
  <si>
    <t>193.98°</t>
  </si>
  <si>
    <t>88.43°</t>
  </si>
  <si>
    <t>51.19°</t>
  </si>
  <si>
    <r>
      <t>2015 DX</t>
    </r>
    <r>
      <rPr>
        <vertAlign val="subscript"/>
        <sz val="10"/>
        <color theme="1"/>
        <rFont val="Aptos Narrow"/>
        <family val="2"/>
        <scheme val="minor"/>
      </rPr>
      <t>224</t>
    </r>
  </si>
  <si>
    <t>66.684 AU</t>
  </si>
  <si>
    <t>19.21°</t>
  </si>
  <si>
    <t>151.79°</t>
  </si>
  <si>
    <t>87.26°</t>
  </si>
  <si>
    <t>359.16°</t>
  </si>
  <si>
    <r>
      <t>2015 GP</t>
    </r>
    <r>
      <rPr>
        <vertAlign val="subscript"/>
        <sz val="10"/>
        <color theme="1"/>
        <rFont val="Aptos Narrow"/>
        <family val="2"/>
        <scheme val="minor"/>
      </rPr>
      <t>50</t>
    </r>
  </si>
  <si>
    <t>55.244 AU</t>
  </si>
  <si>
    <t>24.186°</t>
  </si>
  <si>
    <t>129.318°</t>
  </si>
  <si>
    <t>222.646°</t>
  </si>
  <si>
    <t>216.9°</t>
  </si>
  <si>
    <r>
      <t>2015 RL</t>
    </r>
    <r>
      <rPr>
        <vertAlign val="subscript"/>
        <sz val="10"/>
        <color theme="1"/>
        <rFont val="Aptos Narrow"/>
        <family val="2"/>
        <scheme val="minor"/>
      </rPr>
      <t>258</t>
    </r>
  </si>
  <si>
    <t>50.921 AU</t>
  </si>
  <si>
    <t>15.923°</t>
  </si>
  <si>
    <t>19.526°</t>
  </si>
  <si>
    <t>87.544°</t>
  </si>
  <si>
    <t>230.883°</t>
  </si>
  <si>
    <r>
      <t>2018 AX</t>
    </r>
    <r>
      <rPr>
        <vertAlign val="subscript"/>
        <sz val="10"/>
        <color theme="1"/>
        <rFont val="Aptos Narrow"/>
        <family val="2"/>
        <scheme val="minor"/>
      </rPr>
      <t>18</t>
    </r>
  </si>
  <si>
    <t>52.08 AU</t>
  </si>
  <si>
    <t>21°</t>
  </si>
  <si>
    <t>204.04°</t>
  </si>
  <si>
    <t>339°</t>
  </si>
  <si>
    <r>
      <t>2002 VA</t>
    </r>
    <r>
      <rPr>
        <vertAlign val="subscript"/>
        <sz val="10"/>
        <color theme="1"/>
        <rFont val="Aptos Narrow"/>
        <family val="2"/>
        <scheme val="minor"/>
      </rPr>
      <t>131</t>
    </r>
  </si>
  <si>
    <t>42.551 AU</t>
  </si>
  <si>
    <t>7.1°</t>
  </si>
  <si>
    <t>253.3°</t>
  </si>
  <si>
    <t>224.5°</t>
  </si>
  <si>
    <t>309°</t>
  </si>
  <si>
    <r>
      <t>1997 CW</t>
    </r>
    <r>
      <rPr>
        <vertAlign val="subscript"/>
        <sz val="10"/>
        <color theme="1"/>
        <rFont val="Aptos Narrow"/>
        <family val="2"/>
        <scheme val="minor"/>
      </rPr>
      <t>29</t>
    </r>
  </si>
  <si>
    <t>39.375 AU</t>
  </si>
  <si>
    <t>18.982°</t>
  </si>
  <si>
    <t>188.491°</t>
  </si>
  <si>
    <t>110.687°</t>
  </si>
  <si>
    <t>179.651°</t>
  </si>
  <si>
    <r>
      <t>2002 GF</t>
    </r>
    <r>
      <rPr>
        <vertAlign val="subscript"/>
        <sz val="10"/>
        <color theme="1"/>
        <rFont val="Aptos Narrow"/>
        <family val="2"/>
        <scheme val="minor"/>
      </rPr>
      <t>32</t>
    </r>
  </si>
  <si>
    <t>39.515 AU</t>
  </si>
  <si>
    <t>2.781°</t>
  </si>
  <si>
    <t>54.43°</t>
  </si>
  <si>
    <t>44.32°</t>
  </si>
  <si>
    <t>129.9°</t>
  </si>
  <si>
    <r>
      <t>2002 VE</t>
    </r>
    <r>
      <rPr>
        <vertAlign val="subscript"/>
        <sz val="10"/>
        <color theme="1"/>
        <rFont val="Aptos Narrow"/>
        <family val="2"/>
        <scheme val="minor"/>
      </rPr>
      <t>131</t>
    </r>
  </si>
  <si>
    <t>45.735 AU</t>
  </si>
  <si>
    <t>18.727°</t>
  </si>
  <si>
    <t>9.956°</t>
  </si>
  <si>
    <t>239.758°</t>
  </si>
  <si>
    <t>180.069°</t>
  </si>
  <si>
    <r>
      <t>2003 UZ</t>
    </r>
    <r>
      <rPr>
        <vertAlign val="subscript"/>
        <sz val="10"/>
        <color theme="1"/>
        <rFont val="Aptos Narrow"/>
        <family val="2"/>
        <scheme val="minor"/>
      </rPr>
      <t>291</t>
    </r>
  </si>
  <si>
    <t>45.23 AU</t>
  </si>
  <si>
    <t>5.339°</t>
  </si>
  <si>
    <t>315.7°</t>
  </si>
  <si>
    <t>225.86°</t>
  </si>
  <si>
    <t>263.2°</t>
  </si>
  <si>
    <r>
      <t>2005 LA</t>
    </r>
    <r>
      <rPr>
        <vertAlign val="subscript"/>
        <sz val="10"/>
        <color theme="1"/>
        <rFont val="Aptos Narrow"/>
        <family val="2"/>
        <scheme val="minor"/>
      </rPr>
      <t>54</t>
    </r>
  </si>
  <si>
    <t>44.35 AU</t>
  </si>
  <si>
    <t>7.916°</t>
  </si>
  <si>
    <t>196.15°</t>
  </si>
  <si>
    <t>70.66°</t>
  </si>
  <si>
    <t>350.1°</t>
  </si>
  <si>
    <r>
      <t>2005 NV</t>
    </r>
    <r>
      <rPr>
        <vertAlign val="subscript"/>
        <sz val="10"/>
        <color theme="1"/>
        <rFont val="Aptos Narrow"/>
        <family val="2"/>
        <scheme val="minor"/>
      </rPr>
      <t>125</t>
    </r>
  </si>
  <si>
    <t>43.84 AU</t>
  </si>
  <si>
    <t>326.67°</t>
  </si>
  <si>
    <t>302.001°</t>
  </si>
  <si>
    <t>36.11°</t>
  </si>
  <si>
    <r>
      <t>2006 QV</t>
    </r>
    <r>
      <rPr>
        <vertAlign val="subscript"/>
        <sz val="10"/>
        <color theme="1"/>
        <rFont val="Aptos Narrow"/>
        <family val="2"/>
        <scheme val="minor"/>
      </rPr>
      <t>180</t>
    </r>
  </si>
  <si>
    <t>44.788 AU</t>
  </si>
  <si>
    <t>14.152°</t>
  </si>
  <si>
    <t>19.653°</t>
  </si>
  <si>
    <t>119.11°</t>
  </si>
  <si>
    <t>180.351°</t>
  </si>
  <si>
    <r>
      <t>2007 RN</t>
    </r>
    <r>
      <rPr>
        <vertAlign val="subscript"/>
        <sz val="10"/>
        <color theme="1"/>
        <rFont val="Aptos Narrow"/>
        <family val="2"/>
        <scheme val="minor"/>
      </rPr>
      <t>314</t>
    </r>
  </si>
  <si>
    <t>44.632 AU</t>
  </si>
  <si>
    <t>22.498°</t>
  </si>
  <si>
    <t>324.729°</t>
  </si>
  <si>
    <t>198.673°</t>
  </si>
  <si>
    <t>179.867°</t>
  </si>
  <si>
    <r>
      <t>2010 JF</t>
    </r>
    <r>
      <rPr>
        <vertAlign val="subscript"/>
        <sz val="10"/>
        <color theme="1"/>
        <rFont val="Aptos Narrow"/>
        <family val="2"/>
        <scheme val="minor"/>
      </rPr>
      <t>210</t>
    </r>
  </si>
  <si>
    <t>44.63 AU</t>
  </si>
  <si>
    <t>7.924°</t>
  </si>
  <si>
    <t>202.8°</t>
  </si>
  <si>
    <t>342°</t>
  </si>
  <si>
    <t>324.59°</t>
  </si>
  <si>
    <r>
      <t>2011 UK</t>
    </r>
    <r>
      <rPr>
        <vertAlign val="subscript"/>
        <sz val="10"/>
        <color theme="1"/>
        <rFont val="Aptos Narrow"/>
        <family val="2"/>
        <scheme val="minor"/>
      </rPr>
      <t>413</t>
    </r>
  </si>
  <si>
    <t>41.68 AU</t>
  </si>
  <si>
    <t>13.611°</t>
  </si>
  <si>
    <t>88.19°</t>
  </si>
  <si>
    <t>256.47°</t>
  </si>
  <si>
    <t>93.4°</t>
  </si>
  <si>
    <r>
      <t>2012 FK</t>
    </r>
    <r>
      <rPr>
        <vertAlign val="subscript"/>
        <sz val="10"/>
        <color theme="1"/>
        <rFont val="Aptos Narrow"/>
        <family val="2"/>
        <scheme val="minor"/>
      </rPr>
      <t>84</t>
    </r>
  </si>
  <si>
    <t>46.858 AU</t>
  </si>
  <si>
    <t>16.47°</t>
  </si>
  <si>
    <t>83.21°</t>
  </si>
  <si>
    <t>134.58°</t>
  </si>
  <si>
    <t>3.76°</t>
  </si>
  <si>
    <r>
      <t>2012 HL</t>
    </r>
    <r>
      <rPr>
        <vertAlign val="subscript"/>
        <sz val="10"/>
        <color theme="1"/>
        <rFont val="Aptos Narrow"/>
        <family val="2"/>
        <scheme val="minor"/>
      </rPr>
      <t>85</t>
    </r>
  </si>
  <si>
    <t>40.371 AU</t>
  </si>
  <si>
    <t>16.602°</t>
  </si>
  <si>
    <t>315.51°</t>
  </si>
  <si>
    <t>47.67°</t>
  </si>
  <si>
    <t>229.06°</t>
  </si>
  <si>
    <r>
      <t>2012 KW</t>
    </r>
    <r>
      <rPr>
        <vertAlign val="subscript"/>
        <sz val="10"/>
        <color theme="1"/>
        <rFont val="Aptos Narrow"/>
        <family val="2"/>
        <scheme val="minor"/>
      </rPr>
      <t>51</t>
    </r>
  </si>
  <si>
    <t>48.198 AU</t>
  </si>
  <si>
    <t>11.653°</t>
  </si>
  <si>
    <t>124.277°</t>
  </si>
  <si>
    <t>161.996°</t>
  </si>
  <si>
    <t>326.74°</t>
  </si>
  <si>
    <r>
      <t>2013 FD</t>
    </r>
    <r>
      <rPr>
        <vertAlign val="subscript"/>
        <sz val="10"/>
        <color theme="1"/>
        <rFont val="Aptos Narrow"/>
        <family val="2"/>
        <scheme val="minor"/>
      </rPr>
      <t>28</t>
    </r>
  </si>
  <si>
    <t>39.64 AU</t>
  </si>
  <si>
    <t>8.84°</t>
  </si>
  <si>
    <t>201°</t>
  </si>
  <si>
    <t>251.17°</t>
  </si>
  <si>
    <t>93°</t>
  </si>
  <si>
    <r>
      <t>2013 FH</t>
    </r>
    <r>
      <rPr>
        <vertAlign val="subscript"/>
        <sz val="10"/>
        <color theme="1"/>
        <rFont val="Aptos Narrow"/>
        <family val="2"/>
        <scheme val="minor"/>
      </rPr>
      <t>28</t>
    </r>
  </si>
  <si>
    <t>43.48 AU</t>
  </si>
  <si>
    <t>13.05°</t>
  </si>
  <si>
    <t>293.1°</t>
  </si>
  <si>
    <t>322.76°</t>
  </si>
  <si>
    <t>295.4°</t>
  </si>
  <si>
    <r>
      <t>2013 GQ</t>
    </r>
    <r>
      <rPr>
        <vertAlign val="subscript"/>
        <sz val="10"/>
        <color theme="1"/>
        <rFont val="Aptos Narrow"/>
        <family val="2"/>
        <scheme val="minor"/>
      </rPr>
      <t>136</t>
    </r>
  </si>
  <si>
    <t>48.8 AU</t>
  </si>
  <si>
    <t>2.02°</t>
  </si>
  <si>
    <t>156.9°</t>
  </si>
  <si>
    <t>203.35°</t>
  </si>
  <si>
    <r>
      <t>2013 JV</t>
    </r>
    <r>
      <rPr>
        <vertAlign val="subscript"/>
        <sz val="10"/>
        <color theme="1"/>
        <rFont val="Aptos Narrow"/>
        <family val="2"/>
        <scheme val="minor"/>
      </rPr>
      <t>63</t>
    </r>
  </si>
  <si>
    <t>47 AU</t>
  </si>
  <si>
    <t>8.212°</t>
  </si>
  <si>
    <t>160.42°</t>
  </si>
  <si>
    <r>
      <t>2013 RB</t>
    </r>
    <r>
      <rPr>
        <vertAlign val="subscript"/>
        <sz val="10"/>
        <color theme="1"/>
        <rFont val="Aptos Narrow"/>
        <family val="2"/>
        <scheme val="minor"/>
      </rPr>
      <t>98</t>
    </r>
  </si>
  <si>
    <t>42.2 AU</t>
  </si>
  <si>
    <t>21.96°</t>
  </si>
  <si>
    <t>350.5°</t>
  </si>
  <si>
    <t>147.15°</t>
  </si>
  <si>
    <t>286°</t>
  </si>
  <si>
    <r>
      <t>2014 HU</t>
    </r>
    <r>
      <rPr>
        <vertAlign val="subscript"/>
        <sz val="10"/>
        <color theme="1"/>
        <rFont val="Aptos Narrow"/>
        <family val="2"/>
        <scheme val="minor"/>
      </rPr>
      <t>199</t>
    </r>
  </si>
  <si>
    <t>43 AU</t>
  </si>
  <si>
    <t>140.25°</t>
  </si>
  <si>
    <t>118.29°</t>
  </si>
  <si>
    <t>314.99°</t>
  </si>
  <si>
    <r>
      <t>2014 KS</t>
    </r>
    <r>
      <rPr>
        <vertAlign val="subscript"/>
        <sz val="10"/>
        <color theme="1"/>
        <rFont val="Aptos Narrow"/>
        <family val="2"/>
        <scheme val="minor"/>
      </rPr>
      <t>101</t>
    </r>
  </si>
  <si>
    <t>38.48 AU</t>
  </si>
  <si>
    <t>24.15°</t>
  </si>
  <si>
    <t>64.61°</t>
  </si>
  <si>
    <t>217.61°</t>
  </si>
  <si>
    <t>346.7°</t>
  </si>
  <si>
    <r>
      <t>2014 PS</t>
    </r>
    <r>
      <rPr>
        <vertAlign val="subscript"/>
        <sz val="10"/>
        <color theme="1"/>
        <rFont val="Aptos Narrow"/>
        <family val="2"/>
        <scheme val="minor"/>
      </rPr>
      <t>70</t>
    </r>
  </si>
  <si>
    <t>41.81 AU</t>
  </si>
  <si>
    <t>15.141°</t>
  </si>
  <si>
    <t>327.55°</t>
  </si>
  <si>
    <t>347.03°</t>
  </si>
  <si>
    <t>43.7°</t>
  </si>
  <si>
    <r>
      <t>2014 TB</t>
    </r>
    <r>
      <rPr>
        <vertAlign val="subscript"/>
        <sz val="10"/>
        <color theme="1"/>
        <rFont val="Aptos Narrow"/>
        <family val="2"/>
        <scheme val="minor"/>
      </rPr>
      <t>86</t>
    </r>
  </si>
  <si>
    <t>46.024 AU</t>
  </si>
  <si>
    <t>19.072°</t>
  </si>
  <si>
    <t>330.46°</t>
  </si>
  <si>
    <t>50.278°</t>
  </si>
  <si>
    <t>4.5°</t>
  </si>
  <si>
    <r>
      <t>2014 TF</t>
    </r>
    <r>
      <rPr>
        <vertAlign val="subscript"/>
        <sz val="10"/>
        <color theme="1"/>
        <rFont val="Aptos Narrow"/>
        <family val="2"/>
        <scheme val="minor"/>
      </rPr>
      <t>86</t>
    </r>
  </si>
  <si>
    <t>40.66 AU</t>
  </si>
  <si>
    <t>32.04°</t>
  </si>
  <si>
    <t>106.89°</t>
  </si>
  <si>
    <t>153.28°</t>
  </si>
  <si>
    <r>
      <t>2014 UE</t>
    </r>
    <r>
      <rPr>
        <vertAlign val="subscript"/>
        <sz val="10"/>
        <color theme="1"/>
        <rFont val="Aptos Narrow"/>
        <family val="2"/>
        <scheme val="minor"/>
      </rPr>
      <t>241</t>
    </r>
  </si>
  <si>
    <t>42.773 AU</t>
  </si>
  <si>
    <t>7.496°</t>
  </si>
  <si>
    <t>75.016°</t>
  </si>
  <si>
    <t>60.516°</t>
  </si>
  <si>
    <t>260.735°</t>
  </si>
  <si>
    <r>
      <t>2014 UF</t>
    </r>
    <r>
      <rPr>
        <vertAlign val="subscript"/>
        <sz val="10"/>
        <color theme="1"/>
        <rFont val="Aptos Narrow"/>
        <family val="2"/>
        <scheme val="minor"/>
      </rPr>
      <t>241</t>
    </r>
  </si>
  <si>
    <t>41.76 AU</t>
  </si>
  <si>
    <t>26.65°</t>
  </si>
  <si>
    <t>18.56°</t>
  </si>
  <si>
    <t>191.49°</t>
  </si>
  <si>
    <t>180.1°</t>
  </si>
  <si>
    <r>
      <t>2015 BR</t>
    </r>
    <r>
      <rPr>
        <vertAlign val="subscript"/>
        <sz val="10"/>
        <color theme="1"/>
        <rFont val="Aptos Narrow"/>
        <family val="2"/>
        <scheme val="minor"/>
      </rPr>
      <t>518</t>
    </r>
  </si>
  <si>
    <t>43.371 AU</t>
  </si>
  <si>
    <t>9.91°</t>
  </si>
  <si>
    <t>42.92°</t>
  </si>
  <si>
    <t>78.9°</t>
  </si>
  <si>
    <t>51.51°</t>
  </si>
  <si>
    <r>
      <t>2015 BG</t>
    </r>
    <r>
      <rPr>
        <vertAlign val="subscript"/>
        <sz val="10"/>
        <color theme="1"/>
        <rFont val="Aptos Narrow"/>
        <family val="2"/>
        <scheme val="minor"/>
      </rPr>
      <t>519</t>
    </r>
  </si>
  <si>
    <t>38.836 AU</t>
  </si>
  <si>
    <t>34.381°</t>
  </si>
  <si>
    <t>358.302°</t>
  </si>
  <si>
    <t>330.672°</t>
  </si>
  <si>
    <t>216.485°</t>
  </si>
  <si>
    <r>
      <t>2015 CL</t>
    </r>
    <r>
      <rPr>
        <vertAlign val="subscript"/>
        <sz val="10"/>
        <color theme="1"/>
        <rFont val="Aptos Narrow"/>
        <family val="2"/>
        <scheme val="minor"/>
      </rPr>
      <t>62</t>
    </r>
  </si>
  <si>
    <t>41.35 AU</t>
  </si>
  <si>
    <t>209.12°</t>
  </si>
  <si>
    <t>335.65°</t>
  </si>
  <si>
    <t>326.43°</t>
  </si>
  <si>
    <r>
      <t>2015 KK</t>
    </r>
    <r>
      <rPr>
        <vertAlign val="subscript"/>
        <sz val="10"/>
        <color theme="1"/>
        <rFont val="Aptos Narrow"/>
        <family val="2"/>
        <scheme val="minor"/>
      </rPr>
      <t>178</t>
    </r>
  </si>
  <si>
    <t>36.85 AU</t>
  </si>
  <si>
    <t>22.92°</t>
  </si>
  <si>
    <t>134.17°</t>
  </si>
  <si>
    <t>240.56°</t>
  </si>
  <si>
    <t>244.74°</t>
  </si>
  <si>
    <r>
      <t>2016 SP</t>
    </r>
    <r>
      <rPr>
        <vertAlign val="subscript"/>
        <sz val="10"/>
        <color theme="1"/>
        <rFont val="Aptos Narrow"/>
        <family val="2"/>
        <scheme val="minor"/>
      </rPr>
      <t>56</t>
    </r>
  </si>
  <si>
    <t>50.137 AU</t>
  </si>
  <si>
    <t>19.997°</t>
  </si>
  <si>
    <t>29.356°</t>
  </si>
  <si>
    <t>75.335°</t>
  </si>
  <si>
    <t>325.115°</t>
  </si>
  <si>
    <r>
      <t>2005 EO</t>
    </r>
    <r>
      <rPr>
        <vertAlign val="subscript"/>
        <sz val="10"/>
        <color theme="1"/>
        <rFont val="Aptos Narrow"/>
        <family val="2"/>
        <scheme val="minor"/>
      </rPr>
      <t>297</t>
    </r>
  </si>
  <si>
    <t>63.29 AU</t>
  </si>
  <si>
    <t>24.99°</t>
  </si>
  <si>
    <t>349.8°</t>
  </si>
  <si>
    <t>144.02°</t>
  </si>
  <si>
    <t>14.08°</t>
  </si>
  <si>
    <r>
      <t>1999 CF</t>
    </r>
    <r>
      <rPr>
        <vertAlign val="subscript"/>
        <sz val="10"/>
        <color theme="1"/>
        <rFont val="Aptos Narrow"/>
        <family val="2"/>
        <scheme val="minor"/>
      </rPr>
      <t>119</t>
    </r>
  </si>
  <si>
    <t>55.4 AU</t>
  </si>
  <si>
    <t>19.681°</t>
  </si>
  <si>
    <t>200.05°</t>
  </si>
  <si>
    <t>303.4°</t>
  </si>
  <si>
    <t>1.748°</t>
  </si>
  <si>
    <r>
      <t>1997 RT</t>
    </r>
    <r>
      <rPr>
        <vertAlign val="subscript"/>
        <sz val="10"/>
        <color theme="1"/>
        <rFont val="Aptos Narrow"/>
        <family val="2"/>
        <scheme val="minor"/>
      </rPr>
      <t>5</t>
    </r>
  </si>
  <si>
    <t>41.14 AU</t>
  </si>
  <si>
    <t>12.762°</t>
  </si>
  <si>
    <t>19.2°</t>
  </si>
  <si>
    <t>163.8°</t>
  </si>
  <si>
    <t>185.5°</t>
  </si>
  <si>
    <r>
      <t>2002 PQ</t>
    </r>
    <r>
      <rPr>
        <vertAlign val="subscript"/>
        <sz val="10"/>
        <color theme="1"/>
        <rFont val="Aptos Narrow"/>
        <family val="2"/>
        <scheme val="minor"/>
      </rPr>
      <t>145</t>
    </r>
  </si>
  <si>
    <t>43.64 AU</t>
  </si>
  <si>
    <t>3.08°</t>
  </si>
  <si>
    <t>165.7°</t>
  </si>
  <si>
    <r>
      <t>2014 FU</t>
    </r>
    <r>
      <rPr>
        <vertAlign val="subscript"/>
        <sz val="10"/>
        <color theme="1"/>
        <rFont val="Aptos Narrow"/>
        <family val="2"/>
        <scheme val="minor"/>
      </rPr>
      <t>71</t>
    </r>
  </si>
  <si>
    <t>43.861 AU</t>
  </si>
  <si>
    <t>2.907°</t>
  </si>
  <si>
    <t>329.8°</t>
  </si>
  <si>
    <t>253°</t>
  </si>
  <si>
    <t>351.8°</t>
  </si>
  <si>
    <t>44.266 AU</t>
  </si>
  <si>
    <t>1.944°</t>
  </si>
  <si>
    <t>225.32°</t>
  </si>
  <si>
    <t>16.57°</t>
  </si>
  <si>
    <t>194.21°</t>
  </si>
  <si>
    <t>S/2015 (534625) 1</t>
  </si>
  <si>
    <t>13,000 km</t>
  </si>
  <si>
    <r>
      <t>2013 GP</t>
    </r>
    <r>
      <rPr>
        <vertAlign val="subscript"/>
        <sz val="10"/>
        <color theme="1"/>
        <rFont val="Aptos Narrow"/>
        <family val="2"/>
        <scheme val="minor"/>
      </rPr>
      <t>136</t>
    </r>
  </si>
  <si>
    <t>154.76 AU</t>
  </si>
  <si>
    <t>33.467°</t>
  </si>
  <si>
    <t>42.316°</t>
  </si>
  <si>
    <t>210.71°</t>
  </si>
  <si>
    <t>356.44°</t>
  </si>
  <si>
    <r>
      <t>2015 BP</t>
    </r>
    <r>
      <rPr>
        <vertAlign val="subscript"/>
        <sz val="10"/>
        <color theme="1"/>
        <rFont val="Aptos Narrow"/>
        <family val="2"/>
        <scheme val="minor"/>
      </rPr>
      <t>518</t>
    </r>
  </si>
  <si>
    <r>
      <t>2014 GD</t>
    </r>
    <r>
      <rPr>
        <vertAlign val="subscript"/>
        <sz val="10"/>
        <color theme="1"/>
        <rFont val="Aptos Narrow"/>
        <family val="2"/>
        <scheme val="minor"/>
      </rPr>
      <t>54</t>
    </r>
  </si>
  <si>
    <t>87.864 AU</t>
  </si>
  <si>
    <t>4.762°</t>
  </si>
  <si>
    <t>302.38°</t>
  </si>
  <si>
    <t>4.51°</t>
  </si>
  <si>
    <r>
      <t>2014 WH</t>
    </r>
    <r>
      <rPr>
        <vertAlign val="subscript"/>
        <sz val="10"/>
        <color theme="1"/>
        <rFont val="Aptos Narrow"/>
        <family val="2"/>
        <scheme val="minor"/>
      </rPr>
      <t>510</t>
    </r>
  </si>
  <si>
    <t>77.253 AU</t>
  </si>
  <si>
    <t>18.609°</t>
  </si>
  <si>
    <t>213.25°</t>
  </si>
  <si>
    <t>269.335°</t>
  </si>
  <si>
    <t>7.447°</t>
  </si>
  <si>
    <r>
      <t>2010 MR</t>
    </r>
    <r>
      <rPr>
        <vertAlign val="subscript"/>
        <sz val="10"/>
        <color theme="1"/>
        <rFont val="Aptos Narrow"/>
        <family val="2"/>
        <scheme val="minor"/>
      </rPr>
      <t>116</t>
    </r>
  </si>
  <si>
    <t>19.58°</t>
  </si>
  <si>
    <t>353.55°</t>
  </si>
  <si>
    <t>351.79°</t>
  </si>
  <si>
    <t>16.89°</t>
  </si>
  <si>
    <r>
      <t>2011 BP</t>
    </r>
    <r>
      <rPr>
        <vertAlign val="subscript"/>
        <sz val="10"/>
        <color theme="1"/>
        <rFont val="Aptos Narrow"/>
        <family val="2"/>
        <scheme val="minor"/>
      </rPr>
      <t>170</t>
    </r>
  </si>
  <si>
    <t>87.929 AU</t>
  </si>
  <si>
    <t>22.519°</t>
  </si>
  <si>
    <t>349.282°</t>
  </si>
  <si>
    <t>163.855°</t>
  </si>
  <si>
    <t>4.598°</t>
  </si>
  <si>
    <r>
      <t>2014 FK</t>
    </r>
    <r>
      <rPr>
        <vertAlign val="subscript"/>
        <sz val="10"/>
        <color theme="1"/>
        <rFont val="Aptos Narrow"/>
        <family val="2"/>
        <scheme val="minor"/>
      </rPr>
      <t>72</t>
    </r>
  </si>
  <si>
    <t>52.4 AU</t>
  </si>
  <si>
    <t>12.3°</t>
  </si>
  <si>
    <t>230.04°</t>
  </si>
  <si>
    <t>207.58°</t>
  </si>
  <si>
    <t>85.02°</t>
  </si>
  <si>
    <r>
      <t>2014 GJ</t>
    </r>
    <r>
      <rPr>
        <vertAlign val="subscript"/>
        <sz val="10"/>
        <color theme="1"/>
        <rFont val="Aptos Narrow"/>
        <family val="2"/>
        <scheme val="minor"/>
      </rPr>
      <t>65</t>
    </r>
  </si>
  <si>
    <t>51.313 AU</t>
  </si>
  <si>
    <t>46.59°</t>
  </si>
  <si>
    <t>155.7°</t>
  </si>
  <si>
    <t>110.83°</t>
  </si>
  <si>
    <t>355.02°</t>
  </si>
  <si>
    <r>
      <t>2014 WJ</t>
    </r>
    <r>
      <rPr>
        <vertAlign val="subscript"/>
        <sz val="10"/>
        <color theme="1"/>
        <rFont val="Aptos Narrow"/>
        <family val="2"/>
        <scheme val="minor"/>
      </rPr>
      <t>510</t>
    </r>
  </si>
  <si>
    <t>67.73 AU</t>
  </si>
  <si>
    <t>24.38°</t>
  </si>
  <si>
    <t>183.48°</t>
  </si>
  <si>
    <t>332.55°</t>
  </si>
  <si>
    <t>5.037°</t>
  </si>
  <si>
    <r>
      <t>2015 GR</t>
    </r>
    <r>
      <rPr>
        <vertAlign val="subscript"/>
        <sz val="10"/>
        <color theme="1"/>
        <rFont val="Aptos Narrow"/>
        <family val="2"/>
        <scheme val="minor"/>
      </rPr>
      <t>50</t>
    </r>
  </si>
  <si>
    <t>53.9 AU</t>
  </si>
  <si>
    <t>4.49°</t>
  </si>
  <si>
    <t>20°</t>
  </si>
  <si>
    <r>
      <t>2016 SS</t>
    </r>
    <r>
      <rPr>
        <vertAlign val="subscript"/>
        <sz val="10"/>
        <color theme="1"/>
        <rFont val="Aptos Narrow"/>
        <family val="2"/>
        <scheme val="minor"/>
      </rPr>
      <t>55</t>
    </r>
  </si>
  <si>
    <t>74.24 AU</t>
  </si>
  <si>
    <t>28.43°</t>
  </si>
  <si>
    <t>158.74°</t>
  </si>
  <si>
    <t>182.67°</t>
  </si>
  <si>
    <t>21.37°</t>
  </si>
  <si>
    <r>
      <t>2018 VO</t>
    </r>
    <r>
      <rPr>
        <vertAlign val="subscript"/>
        <sz val="10"/>
        <color theme="1"/>
        <rFont val="Aptos Narrow"/>
        <family val="2"/>
        <scheme val="minor"/>
      </rPr>
      <t>35</t>
    </r>
  </si>
  <si>
    <t>93.759 AU</t>
  </si>
  <si>
    <t>18.83°</t>
  </si>
  <si>
    <t>310.591°</t>
  </si>
  <si>
    <t>236.204°</t>
  </si>
  <si>
    <t>329.679°</t>
  </si>
  <si>
    <r>
      <t>2000 FD</t>
    </r>
    <r>
      <rPr>
        <vertAlign val="subscript"/>
        <sz val="10"/>
        <color theme="1"/>
        <rFont val="Aptos Narrow"/>
        <family val="2"/>
        <scheme val="minor"/>
      </rPr>
      <t>8</t>
    </r>
  </si>
  <si>
    <t>43.576 AU</t>
  </si>
  <si>
    <t>19.5°</t>
  </si>
  <si>
    <t>184.9°</t>
  </si>
  <si>
    <t>316.4°</t>
  </si>
  <si>
    <r>
      <t>2001 KP</t>
    </r>
    <r>
      <rPr>
        <vertAlign val="subscript"/>
        <sz val="10"/>
        <color theme="1"/>
        <rFont val="Aptos Narrow"/>
        <family val="2"/>
        <scheme val="minor"/>
      </rPr>
      <t>76</t>
    </r>
  </si>
  <si>
    <t>43.485 AU</t>
  </si>
  <si>
    <t>7.2°</t>
  </si>
  <si>
    <t>304.6°</t>
  </si>
  <si>
    <t>42.9°</t>
  </si>
  <si>
    <t>289.3°</t>
  </si>
  <si>
    <r>
      <t>2002 CC</t>
    </r>
    <r>
      <rPr>
        <vertAlign val="subscript"/>
        <sz val="10"/>
        <color theme="1"/>
        <rFont val="Aptos Narrow"/>
        <family val="2"/>
        <scheme val="minor"/>
      </rPr>
      <t>249</t>
    </r>
  </si>
  <si>
    <t>46.683 AU</t>
  </si>
  <si>
    <t>0.83°</t>
  </si>
  <si>
    <t>307.49°</t>
  </si>
  <si>
    <t>248.25°</t>
  </si>
  <si>
    <t>3.47°</t>
  </si>
  <si>
    <r>
      <t>2001 KU</t>
    </r>
    <r>
      <rPr>
        <vertAlign val="subscript"/>
        <sz val="10"/>
        <color theme="1"/>
        <rFont val="Aptos Narrow"/>
        <family val="2"/>
        <scheme val="minor"/>
      </rPr>
      <t>76</t>
    </r>
  </si>
  <si>
    <t>45.175 AU</t>
  </si>
  <si>
    <t>10.637°</t>
  </si>
  <si>
    <t>204.39°</t>
  </si>
  <si>
    <t>44.987°</t>
  </si>
  <si>
    <t>354.46°</t>
  </si>
  <si>
    <r>
      <t>2014 QN</t>
    </r>
    <r>
      <rPr>
        <vertAlign val="subscript"/>
        <sz val="10"/>
        <color theme="1"/>
        <rFont val="Aptos Narrow"/>
        <family val="2"/>
        <scheme val="minor"/>
      </rPr>
      <t>441</t>
    </r>
  </si>
  <si>
    <t>46.47 AU</t>
  </si>
  <si>
    <t>20.7°</t>
  </si>
  <si>
    <r>
      <t>2012 VR</t>
    </r>
    <r>
      <rPr>
        <vertAlign val="subscript"/>
        <sz val="10"/>
        <color theme="1"/>
        <rFont val="Aptos Narrow"/>
        <family val="2"/>
        <scheme val="minor"/>
      </rPr>
      <t>113</t>
    </r>
  </si>
  <si>
    <t>47.57 AU</t>
  </si>
  <si>
    <t>220.4°</t>
  </si>
  <si>
    <t>121.13°</t>
  </si>
  <si>
    <t>38.2°</t>
  </si>
  <si>
    <r>
      <t>2001 RX</t>
    </r>
    <r>
      <rPr>
        <vertAlign val="subscript"/>
        <sz val="10"/>
        <color theme="1"/>
        <rFont val="Aptos Narrow"/>
        <family val="2"/>
        <scheme val="minor"/>
      </rPr>
      <t>143</t>
    </r>
  </si>
  <si>
    <t>39.23 AU</t>
  </si>
  <si>
    <t>19.28°</t>
  </si>
  <si>
    <t>239.4°</t>
  </si>
  <si>
    <t>20.58°</t>
  </si>
  <si>
    <t>99.64°</t>
  </si>
  <si>
    <r>
      <t>2014 TY</t>
    </r>
    <r>
      <rPr>
        <vertAlign val="subscript"/>
        <sz val="10"/>
        <color theme="1"/>
        <rFont val="Aptos Narrow"/>
        <family val="2"/>
        <scheme val="minor"/>
      </rPr>
      <t>85</t>
    </r>
  </si>
  <si>
    <t>41.417 AU</t>
  </si>
  <si>
    <t>19.086°</t>
  </si>
  <si>
    <t>9.888°</t>
  </si>
  <si>
    <t>42.352°</t>
  </si>
  <si>
    <t>11.413°</t>
  </si>
  <si>
    <r>
      <t>2000 CY</t>
    </r>
    <r>
      <rPr>
        <vertAlign val="subscript"/>
        <sz val="10"/>
        <color theme="1"/>
        <rFont val="Aptos Narrow"/>
        <family val="2"/>
        <scheme val="minor"/>
      </rPr>
      <t>105</t>
    </r>
  </si>
  <si>
    <t>45.536 AU</t>
  </si>
  <si>
    <t>10.021°</t>
  </si>
  <si>
    <t>175.769°</t>
  </si>
  <si>
    <t>132.824°</t>
  </si>
  <si>
    <r>
      <t>2000 OH</t>
    </r>
    <r>
      <rPr>
        <vertAlign val="subscript"/>
        <sz val="10"/>
        <color theme="1"/>
        <rFont val="Aptos Narrow"/>
        <family val="2"/>
        <scheme val="minor"/>
      </rPr>
      <t>67</t>
    </r>
  </si>
  <si>
    <t>43.98 AU</t>
  </si>
  <si>
    <t>5.628°</t>
  </si>
  <si>
    <t>188.5°</t>
  </si>
  <si>
    <t>77.83°</t>
  </si>
  <si>
    <t>69.01°</t>
  </si>
  <si>
    <r>
      <t>2001 UA</t>
    </r>
    <r>
      <rPr>
        <vertAlign val="subscript"/>
        <sz val="10"/>
        <color theme="1"/>
        <rFont val="Aptos Narrow"/>
        <family val="2"/>
        <scheme val="minor"/>
      </rPr>
      <t>17</t>
    </r>
  </si>
  <si>
    <t>312°</t>
  </si>
  <si>
    <t>30°</t>
  </si>
  <si>
    <r>
      <t>2002 PH</t>
    </r>
    <r>
      <rPr>
        <vertAlign val="subscript"/>
        <sz val="10"/>
        <color theme="1"/>
        <rFont val="Aptos Narrow"/>
        <family val="2"/>
        <scheme val="minor"/>
      </rPr>
      <t>149</t>
    </r>
  </si>
  <si>
    <t>42.906 AU</t>
  </si>
  <si>
    <t>8.882°</t>
  </si>
  <si>
    <t>212.536°</t>
  </si>
  <si>
    <t>108.534°</t>
  </si>
  <si>
    <t>0.056°</t>
  </si>
  <si>
    <r>
      <t>2003 FL</t>
    </r>
    <r>
      <rPr>
        <vertAlign val="subscript"/>
        <sz val="10"/>
        <color theme="1"/>
        <rFont val="Aptos Narrow"/>
        <family val="2"/>
        <scheme val="minor"/>
      </rPr>
      <t>127</t>
    </r>
  </si>
  <si>
    <t>39.084 AU</t>
  </si>
  <si>
    <t>3.501°</t>
  </si>
  <si>
    <t>55.89°</t>
  </si>
  <si>
    <t>314.35°</t>
  </si>
  <si>
    <t>169.23°</t>
  </si>
  <si>
    <r>
      <t>2003 GF</t>
    </r>
    <r>
      <rPr>
        <vertAlign val="subscript"/>
        <sz val="10"/>
        <color theme="1"/>
        <rFont val="Aptos Narrow"/>
        <family val="2"/>
        <scheme val="minor"/>
      </rPr>
      <t>55</t>
    </r>
  </si>
  <si>
    <t>45.31 AU</t>
  </si>
  <si>
    <t>5.96°</t>
  </si>
  <si>
    <t>283°</t>
  </si>
  <si>
    <t>163.65°</t>
  </si>
  <si>
    <t>139°</t>
  </si>
  <si>
    <r>
      <t>2003 UD</t>
    </r>
    <r>
      <rPr>
        <vertAlign val="subscript"/>
        <sz val="10"/>
        <color theme="1"/>
        <rFont val="Aptos Narrow"/>
        <family val="2"/>
        <scheme val="minor"/>
      </rPr>
      <t>292</t>
    </r>
  </si>
  <si>
    <t>45.994 AU</t>
  </si>
  <si>
    <t>7.692°</t>
  </si>
  <si>
    <t>207.54°</t>
  </si>
  <si>
    <t>202.716°</t>
  </si>
  <si>
    <t>0.05°</t>
  </si>
  <si>
    <r>
      <t>2003 UX</t>
    </r>
    <r>
      <rPr>
        <vertAlign val="subscript"/>
        <sz val="10"/>
        <color theme="1"/>
        <rFont val="Aptos Narrow"/>
        <family val="2"/>
        <scheme val="minor"/>
      </rPr>
      <t>292</t>
    </r>
  </si>
  <si>
    <t>44.061 AU</t>
  </si>
  <si>
    <t>10.458°</t>
  </si>
  <si>
    <t>347.199°</t>
  </si>
  <si>
    <t>46.185°</t>
  </si>
  <si>
    <t>0.053°</t>
  </si>
  <si>
    <r>
      <t>2004 HP</t>
    </r>
    <r>
      <rPr>
        <vertAlign val="subscript"/>
        <sz val="10"/>
        <color theme="1"/>
        <rFont val="Aptos Narrow"/>
        <family val="2"/>
        <scheme val="minor"/>
      </rPr>
      <t>79</t>
    </r>
  </si>
  <si>
    <t>47.81 AU</t>
  </si>
  <si>
    <t>2.248°</t>
  </si>
  <si>
    <t>59.89°</t>
  </si>
  <si>
    <t>173.916°</t>
  </si>
  <si>
    <t>354.45°</t>
  </si>
  <si>
    <r>
      <t>2004 PY</t>
    </r>
    <r>
      <rPr>
        <vertAlign val="subscript"/>
        <sz val="10"/>
        <color theme="1"/>
        <rFont val="Aptos Narrow"/>
        <family val="2"/>
        <scheme val="minor"/>
      </rPr>
      <t>111</t>
    </r>
  </si>
  <si>
    <t>44.317 AU</t>
  </si>
  <si>
    <t>10.262°</t>
  </si>
  <si>
    <t>191.982°</t>
  </si>
  <si>
    <t>124.754°</t>
  </si>
  <si>
    <t>0.061°</t>
  </si>
  <si>
    <r>
      <t>2005 GV</t>
    </r>
    <r>
      <rPr>
        <vertAlign val="subscript"/>
        <sz val="10"/>
        <color theme="1"/>
        <rFont val="Aptos Narrow"/>
        <family val="2"/>
        <scheme val="minor"/>
      </rPr>
      <t>210</t>
    </r>
  </si>
  <si>
    <t>39.468 AU</t>
  </si>
  <si>
    <t>11.98°</t>
  </si>
  <si>
    <t>262.06°</t>
  </si>
  <si>
    <t>174.7°</t>
  </si>
  <si>
    <r>
      <t>2005 JK</t>
    </r>
    <r>
      <rPr>
        <vertAlign val="subscript"/>
        <sz val="10"/>
        <color theme="1"/>
        <rFont val="Aptos Narrow"/>
        <family val="2"/>
        <scheme val="minor"/>
      </rPr>
      <t>186</t>
    </r>
  </si>
  <si>
    <t>47.39 AU</t>
  </si>
  <si>
    <t>27.28°</t>
  </si>
  <si>
    <t>229.98°</t>
  </si>
  <si>
    <t>63.21°</t>
  </si>
  <si>
    <t>350.52°</t>
  </si>
  <si>
    <r>
      <t>2005 PM</t>
    </r>
    <r>
      <rPr>
        <vertAlign val="subscript"/>
        <sz val="10"/>
        <color theme="1"/>
        <rFont val="Aptos Narrow"/>
        <family val="2"/>
        <scheme val="minor"/>
      </rPr>
      <t>21</t>
    </r>
  </si>
  <si>
    <t>43.68 AU</t>
  </si>
  <si>
    <t>28.484°</t>
  </si>
  <si>
    <t>349.965°</t>
  </si>
  <si>
    <t>350.777°</t>
  </si>
  <si>
    <t>0.009°</t>
  </si>
  <si>
    <r>
      <t>2005 SF</t>
    </r>
    <r>
      <rPr>
        <vertAlign val="subscript"/>
        <sz val="10"/>
        <color theme="1"/>
        <rFont val="Aptos Narrow"/>
        <family val="2"/>
        <scheme val="minor"/>
      </rPr>
      <t>278</t>
    </r>
  </si>
  <si>
    <t>44.05 AU</t>
  </si>
  <si>
    <t>13.33°</t>
  </si>
  <si>
    <t>320.29°</t>
  </si>
  <si>
    <t>101.6°</t>
  </si>
  <si>
    <t>0.07°</t>
  </si>
  <si>
    <r>
      <t>2006 JU</t>
    </r>
    <r>
      <rPr>
        <vertAlign val="subscript"/>
        <sz val="10"/>
        <color theme="1"/>
        <rFont val="Aptos Narrow"/>
        <family val="2"/>
        <scheme val="minor"/>
      </rPr>
      <t>58</t>
    </r>
  </si>
  <si>
    <t>46.48 AU</t>
  </si>
  <si>
    <t>7.02°</t>
  </si>
  <si>
    <t>238.47°</t>
  </si>
  <si>
    <r>
      <t>2006 QS</t>
    </r>
    <r>
      <rPr>
        <vertAlign val="subscript"/>
        <sz val="10"/>
        <color theme="1"/>
        <rFont val="Aptos Narrow"/>
        <family val="2"/>
        <scheme val="minor"/>
      </rPr>
      <t>180</t>
    </r>
  </si>
  <si>
    <t>56.494 AU</t>
  </si>
  <si>
    <t>27.359°</t>
  </si>
  <si>
    <t>31.844°</t>
  </si>
  <si>
    <t>299.762°</t>
  </si>
  <si>
    <t>0.602°</t>
  </si>
  <si>
    <r>
      <t>2006 QC</t>
    </r>
    <r>
      <rPr>
        <vertAlign val="subscript"/>
        <sz val="10"/>
        <color theme="1"/>
        <rFont val="Aptos Narrow"/>
        <family val="2"/>
        <scheme val="minor"/>
      </rPr>
      <t>181</t>
    </r>
  </si>
  <si>
    <t>43.844 AU</t>
  </si>
  <si>
    <t>22.625°</t>
  </si>
  <si>
    <t>5.39°</t>
  </si>
  <si>
    <t>177.776°</t>
  </si>
  <si>
    <t>180.086°</t>
  </si>
  <si>
    <r>
      <t>2006 TP</t>
    </r>
    <r>
      <rPr>
        <vertAlign val="subscript"/>
        <sz val="10"/>
        <color theme="1"/>
        <rFont val="Aptos Narrow"/>
        <family val="2"/>
        <scheme val="minor"/>
      </rPr>
      <t>130</t>
    </r>
  </si>
  <si>
    <t>108.44°</t>
  </si>
  <si>
    <t>8.4°</t>
  </si>
  <si>
    <t>310.8°</t>
  </si>
  <si>
    <r>
      <t>2007 TW</t>
    </r>
    <r>
      <rPr>
        <vertAlign val="subscript"/>
        <sz val="10"/>
        <color theme="1"/>
        <rFont val="Aptos Narrow"/>
        <family val="2"/>
        <scheme val="minor"/>
      </rPr>
      <t>431</t>
    </r>
  </si>
  <si>
    <t>45.944 AU</t>
  </si>
  <si>
    <t>25.902°</t>
  </si>
  <si>
    <t>356.681°</t>
  </si>
  <si>
    <t>16.258°</t>
  </si>
  <si>
    <r>
      <t>2010 TP</t>
    </r>
    <r>
      <rPr>
        <vertAlign val="subscript"/>
        <sz val="10"/>
        <color theme="1"/>
        <rFont val="Aptos Narrow"/>
        <family val="2"/>
        <scheme val="minor"/>
      </rPr>
      <t>182</t>
    </r>
  </si>
  <si>
    <t>233°</t>
  </si>
  <si>
    <t>209.95°</t>
  </si>
  <si>
    <t>327°</t>
  </si>
  <si>
    <r>
      <t>2010 TK</t>
    </r>
    <r>
      <rPr>
        <vertAlign val="subscript"/>
        <sz val="10"/>
        <color theme="1"/>
        <rFont val="Aptos Narrow"/>
        <family val="2"/>
        <scheme val="minor"/>
      </rPr>
      <t>192</t>
    </r>
  </si>
  <si>
    <t>46.719 AU</t>
  </si>
  <si>
    <t>36.5°</t>
  </si>
  <si>
    <t>20.12°</t>
  </si>
  <si>
    <t>351.47°</t>
  </si>
  <si>
    <r>
      <t>2011 EZ</t>
    </r>
    <r>
      <rPr>
        <vertAlign val="subscript"/>
        <sz val="10"/>
        <color theme="1"/>
        <rFont val="Aptos Narrow"/>
        <family val="2"/>
        <scheme val="minor"/>
      </rPr>
      <t>90</t>
    </r>
  </si>
  <si>
    <t>40.86 AU</t>
  </si>
  <si>
    <t>27.44°</t>
  </si>
  <si>
    <t>70.8°</t>
  </si>
  <si>
    <t>86.89°</t>
  </si>
  <si>
    <t>12.85°</t>
  </si>
  <si>
    <r>
      <t>2012 TC</t>
    </r>
    <r>
      <rPr>
        <vertAlign val="subscript"/>
        <sz val="10"/>
        <color theme="1"/>
        <rFont val="Aptos Narrow"/>
        <family val="2"/>
        <scheme val="minor"/>
      </rPr>
      <t>324</t>
    </r>
  </si>
  <si>
    <t>42.67 AU</t>
  </si>
  <si>
    <t>9.63°</t>
  </si>
  <si>
    <t>259.36°</t>
  </si>
  <si>
    <t>131.748°</t>
  </si>
  <si>
    <t>9.18°</t>
  </si>
  <si>
    <r>
      <t>2012 TE</t>
    </r>
    <r>
      <rPr>
        <vertAlign val="subscript"/>
        <sz val="10"/>
        <color theme="1"/>
        <rFont val="Aptos Narrow"/>
        <family val="2"/>
        <scheme val="minor"/>
      </rPr>
      <t>324</t>
    </r>
  </si>
  <si>
    <t>46.494 AU</t>
  </si>
  <si>
    <t>5.54°</t>
  </si>
  <si>
    <t>300.27°</t>
  </si>
  <si>
    <t>151.85°</t>
  </si>
  <si>
    <t>320.57°</t>
  </si>
  <si>
    <r>
      <t>2012 UE</t>
    </r>
    <r>
      <rPr>
        <vertAlign val="subscript"/>
        <sz val="10"/>
        <color theme="1"/>
        <rFont val="Aptos Narrow"/>
        <family val="2"/>
        <scheme val="minor"/>
      </rPr>
      <t>185</t>
    </r>
  </si>
  <si>
    <t>41.72 AU</t>
  </si>
  <si>
    <t>20.48°</t>
  </si>
  <si>
    <t>242.97°</t>
  </si>
  <si>
    <t>202.17°</t>
  </si>
  <si>
    <t>36.92°</t>
  </si>
  <si>
    <r>
      <t>2012 WG</t>
    </r>
    <r>
      <rPr>
        <vertAlign val="subscript"/>
        <sz val="10"/>
        <color theme="1"/>
        <rFont val="Aptos Narrow"/>
        <family val="2"/>
        <scheme val="minor"/>
      </rPr>
      <t>37</t>
    </r>
  </si>
  <si>
    <t>49.32 AU</t>
  </si>
  <si>
    <t>14.32°</t>
  </si>
  <si>
    <t>40.06°</t>
  </si>
  <si>
    <t>106.97°</t>
  </si>
  <si>
    <t>299.78°</t>
  </si>
  <si>
    <r>
      <t>2013 GG</t>
    </r>
    <r>
      <rPr>
        <vertAlign val="subscript"/>
        <sz val="10"/>
        <color theme="1"/>
        <rFont val="Aptos Narrow"/>
        <family val="2"/>
        <scheme val="minor"/>
      </rPr>
      <t>138</t>
    </r>
  </si>
  <si>
    <t>47.73 AU</t>
  </si>
  <si>
    <t>215.17°</t>
  </si>
  <si>
    <t>237°</t>
  </si>
  <si>
    <r>
      <t>2013 RF</t>
    </r>
    <r>
      <rPr>
        <vertAlign val="subscript"/>
        <sz val="10"/>
        <color theme="1"/>
        <rFont val="Aptos Narrow"/>
        <family val="2"/>
        <scheme val="minor"/>
      </rPr>
      <t>109</t>
    </r>
  </si>
  <si>
    <t>241.99°</t>
  </si>
  <si>
    <t>144.76°</t>
  </si>
  <si>
    <r>
      <t>2014 DJ</t>
    </r>
    <r>
      <rPr>
        <vertAlign val="subscript"/>
        <sz val="10"/>
        <color theme="1"/>
        <rFont val="Aptos Narrow"/>
        <family val="2"/>
        <scheme val="minor"/>
      </rPr>
      <t>143</t>
    </r>
  </si>
  <si>
    <t>37.8 AU</t>
  </si>
  <si>
    <t>6.94°</t>
  </si>
  <si>
    <t>98.2°</t>
  </si>
  <si>
    <t>99.73°</t>
  </si>
  <si>
    <t>45.21°</t>
  </si>
  <si>
    <r>
      <t>2014 GE</t>
    </r>
    <r>
      <rPr>
        <vertAlign val="subscript"/>
        <sz val="10"/>
        <color theme="1"/>
        <rFont val="Aptos Narrow"/>
        <family val="2"/>
        <scheme val="minor"/>
      </rPr>
      <t>54</t>
    </r>
  </si>
  <si>
    <t>16.99°</t>
  </si>
  <si>
    <t>134.1°</t>
  </si>
  <si>
    <t>38.87°</t>
  </si>
  <si>
    <r>
      <t>2014 JN</t>
    </r>
    <r>
      <rPr>
        <vertAlign val="subscript"/>
        <sz val="10"/>
        <color theme="1"/>
        <rFont val="Aptos Narrow"/>
        <family val="2"/>
        <scheme val="minor"/>
      </rPr>
      <t>80</t>
    </r>
  </si>
  <si>
    <t>41.36 AU</t>
  </si>
  <si>
    <t>157.9°</t>
  </si>
  <si>
    <t>138.72°</t>
  </si>
  <si>
    <t>332.12°</t>
  </si>
  <si>
    <r>
      <t>2014 NY</t>
    </r>
    <r>
      <rPr>
        <vertAlign val="subscript"/>
        <sz val="10"/>
        <color theme="1"/>
        <rFont val="Aptos Narrow"/>
        <family val="2"/>
        <scheme val="minor"/>
      </rPr>
      <t>65</t>
    </r>
  </si>
  <si>
    <t>40.718 AU</t>
  </si>
  <si>
    <t>18.482°</t>
  </si>
  <si>
    <t>164.087°</t>
  </si>
  <si>
    <t>257.44°</t>
  </si>
  <si>
    <t>280.241°</t>
  </si>
  <si>
    <r>
      <t>2014 QL</t>
    </r>
    <r>
      <rPr>
        <vertAlign val="subscript"/>
        <sz val="10"/>
        <color theme="1"/>
        <rFont val="Aptos Narrow"/>
        <family val="2"/>
        <scheme val="minor"/>
      </rPr>
      <t>441</t>
    </r>
  </si>
  <si>
    <t>48.616 AU</t>
  </si>
  <si>
    <t>26.327°</t>
  </si>
  <si>
    <t>289.86°</t>
  </si>
  <si>
    <t>75.72°</t>
  </si>
  <si>
    <t>17.02°</t>
  </si>
  <si>
    <r>
      <t>2014 UT</t>
    </r>
    <r>
      <rPr>
        <vertAlign val="subscript"/>
        <sz val="10"/>
        <color theme="1"/>
        <rFont val="Aptos Narrow"/>
        <family val="2"/>
        <scheme val="minor"/>
      </rPr>
      <t>224</t>
    </r>
  </si>
  <si>
    <t>48.27 AU</t>
  </si>
  <si>
    <t>3.87°</t>
  </si>
  <si>
    <t>329.13°</t>
  </si>
  <si>
    <t>81.8°</t>
  </si>
  <si>
    <t>14.14°</t>
  </si>
  <si>
    <r>
      <t>2014 WB</t>
    </r>
    <r>
      <rPr>
        <vertAlign val="subscript"/>
        <sz val="10"/>
        <color theme="1"/>
        <rFont val="Aptos Narrow"/>
        <family val="2"/>
        <scheme val="minor"/>
      </rPr>
      <t>509</t>
    </r>
  </si>
  <si>
    <t>43.62 AU</t>
  </si>
  <si>
    <t>89.04°</t>
  </si>
  <si>
    <r>
      <t>2015 DD</t>
    </r>
    <r>
      <rPr>
        <vertAlign val="subscript"/>
        <sz val="10"/>
        <color theme="1"/>
        <rFont val="Aptos Narrow"/>
        <family val="2"/>
        <scheme val="minor"/>
      </rPr>
      <t>249</t>
    </r>
  </si>
  <si>
    <t>89.919 AU</t>
  </si>
  <si>
    <t>18.517°</t>
  </si>
  <si>
    <t>291.103°</t>
  </si>
  <si>
    <t>199.656°</t>
  </si>
  <si>
    <t>4.858°</t>
  </si>
  <si>
    <r>
      <t>2003 QK</t>
    </r>
    <r>
      <rPr>
        <vertAlign val="subscript"/>
        <sz val="10"/>
        <color theme="1"/>
        <rFont val="Aptos Narrow"/>
        <family val="2"/>
        <scheme val="minor"/>
      </rPr>
      <t>91</t>
    </r>
  </si>
  <si>
    <t>67.25 AU</t>
  </si>
  <si>
    <t>4.008°</t>
  </si>
  <si>
    <t>69.3°</t>
  </si>
  <si>
    <t>276.05°</t>
  </si>
  <si>
    <t>355.6°</t>
  </si>
  <si>
    <r>
      <t>1998 WT</t>
    </r>
    <r>
      <rPr>
        <vertAlign val="subscript"/>
        <sz val="10"/>
        <color theme="1"/>
        <rFont val="Aptos Narrow"/>
        <family val="2"/>
        <scheme val="minor"/>
      </rPr>
      <t>31</t>
    </r>
  </si>
  <si>
    <t>46.264 AU</t>
  </si>
  <si>
    <t>40.7°</t>
  </si>
  <si>
    <t>41.5°</t>
  </si>
  <si>
    <r>
      <t>2003 YL</t>
    </r>
    <r>
      <rPr>
        <vertAlign val="subscript"/>
        <sz val="10"/>
        <color theme="1"/>
        <rFont val="Aptos Narrow"/>
        <family val="2"/>
        <scheme val="minor"/>
      </rPr>
      <t>179</t>
    </r>
  </si>
  <si>
    <t>38.74 AU</t>
  </si>
  <si>
    <t>2.53°</t>
  </si>
  <si>
    <t>106.4°</t>
  </si>
  <si>
    <t>262.14°</t>
  </si>
  <si>
    <t>87.7°</t>
  </si>
  <si>
    <t>44.885 AU</t>
  </si>
  <si>
    <t>2.413°</t>
  </si>
  <si>
    <t>328.8°</t>
  </si>
  <si>
    <t>104.6°</t>
  </si>
  <si>
    <t>278.5°</t>
  </si>
  <si>
    <t>S/2007 (469514) 1</t>
  </si>
  <si>
    <t>1,594 km</t>
  </si>
  <si>
    <r>
      <t>2000 CN</t>
    </r>
    <r>
      <rPr>
        <vertAlign val="subscript"/>
        <sz val="10"/>
        <color theme="1"/>
        <rFont val="Aptos Narrow"/>
        <family val="2"/>
        <scheme val="minor"/>
      </rPr>
      <t>105</t>
    </r>
  </si>
  <si>
    <t>44.801 AU</t>
  </si>
  <si>
    <t>3.4°</t>
  </si>
  <si>
    <t>12.24°</t>
  </si>
  <si>
    <t>28.94°</t>
  </si>
  <si>
    <t>129.814°</t>
  </si>
  <si>
    <r>
      <t>2011 LJ</t>
    </r>
    <r>
      <rPr>
        <vertAlign val="subscript"/>
        <sz val="10"/>
        <color theme="1"/>
        <rFont val="Aptos Narrow"/>
        <family val="2"/>
        <scheme val="minor"/>
      </rPr>
      <t>29</t>
    </r>
  </si>
  <si>
    <t>44.015 AU</t>
  </si>
  <si>
    <t>133.2°</t>
  </si>
  <si>
    <t>8.17°</t>
  </si>
  <si>
    <t>43.697 AU</t>
  </si>
  <si>
    <t>1.548°</t>
  </si>
  <si>
    <t>123.591°</t>
  </si>
  <si>
    <t>108.776°</t>
  </si>
  <si>
    <t>84.415°</t>
  </si>
  <si>
    <t>S/2007 (275809) 1</t>
  </si>
  <si>
    <t>9,960 km</t>
  </si>
  <si>
    <t>42.776 AU</t>
  </si>
  <si>
    <t>1.231°</t>
  </si>
  <si>
    <t>78.868°</t>
  </si>
  <si>
    <t>180.01°</t>
  </si>
  <si>
    <t>226.02°</t>
  </si>
  <si>
    <t>S/2007 (524366) 1</t>
  </si>
  <si>
    <t>9,311 km</t>
  </si>
  <si>
    <r>
      <t>2005 LC</t>
    </r>
    <r>
      <rPr>
        <vertAlign val="subscript"/>
        <sz val="10"/>
        <color theme="1"/>
        <rFont val="Aptos Narrow"/>
        <family val="2"/>
        <scheme val="minor"/>
      </rPr>
      <t>54</t>
    </r>
  </si>
  <si>
    <t>67.1 AU</t>
  </si>
  <si>
    <t>22.45°</t>
  </si>
  <si>
    <t>236.7°</t>
  </si>
  <si>
    <t>65.56°</t>
  </si>
  <si>
    <t>343.8°</t>
  </si>
  <si>
    <r>
      <t>2006 BS</t>
    </r>
    <r>
      <rPr>
        <vertAlign val="subscript"/>
        <sz val="10"/>
        <color theme="1"/>
        <rFont val="Aptos Narrow"/>
        <family val="2"/>
        <scheme val="minor"/>
      </rPr>
      <t>284</t>
    </r>
  </si>
  <si>
    <t>60.22 AU</t>
  </si>
  <si>
    <t>4.566°</t>
  </si>
  <si>
    <t>248.08°</t>
  </si>
  <si>
    <t>327.95°</t>
  </si>
  <si>
    <t>329.79°</t>
  </si>
  <si>
    <r>
      <t>2009 DJ</t>
    </r>
    <r>
      <rPr>
        <vertAlign val="subscript"/>
        <sz val="10"/>
        <color theme="1"/>
        <rFont val="Aptos Narrow"/>
        <family val="2"/>
        <scheme val="minor"/>
      </rPr>
      <t>143</t>
    </r>
  </si>
  <si>
    <t>66.79 AU</t>
  </si>
  <si>
    <t>17.62°</t>
  </si>
  <si>
    <t>83.77°</t>
  </si>
  <si>
    <t>141.94°</t>
  </si>
  <si>
    <t>350.07°</t>
  </si>
  <si>
    <t>62.54 AU</t>
  </si>
  <si>
    <r>
      <t>2010 XE</t>
    </r>
    <r>
      <rPr>
        <vertAlign val="subscript"/>
        <sz val="10"/>
        <color theme="1"/>
        <rFont val="Aptos Narrow"/>
        <family val="2"/>
        <scheme val="minor"/>
      </rPr>
      <t>91</t>
    </r>
  </si>
  <si>
    <t>62.614 AU</t>
  </si>
  <si>
    <t>17.766°</t>
  </si>
  <si>
    <t>244.4°</t>
  </si>
  <si>
    <t>147.427°</t>
  </si>
  <si>
    <r>
      <t>2011 CY</t>
    </r>
    <r>
      <rPr>
        <vertAlign val="subscript"/>
        <sz val="10"/>
        <color theme="1"/>
        <rFont val="Aptos Narrow"/>
        <family val="2"/>
        <scheme val="minor"/>
      </rPr>
      <t>119</t>
    </r>
  </si>
  <si>
    <t>62.23 AU</t>
  </si>
  <si>
    <t>21.89°</t>
  </si>
  <si>
    <t>16.64°</t>
  </si>
  <si>
    <t>178.23°</t>
  </si>
  <si>
    <t>353.85°</t>
  </si>
  <si>
    <r>
      <t>2012 HX</t>
    </r>
    <r>
      <rPr>
        <vertAlign val="subscript"/>
        <sz val="10"/>
        <color theme="1"/>
        <rFont val="Aptos Narrow"/>
        <family val="2"/>
        <scheme val="minor"/>
      </rPr>
      <t>87</t>
    </r>
  </si>
  <si>
    <t>103.176 AU</t>
  </si>
  <si>
    <t>12.71°</t>
  </si>
  <si>
    <t>285.14°</t>
  </si>
  <si>
    <t>271.68°</t>
  </si>
  <si>
    <r>
      <t>2013 AS</t>
    </r>
    <r>
      <rPr>
        <vertAlign val="subscript"/>
        <sz val="10"/>
        <color theme="1"/>
        <rFont val="Aptos Narrow"/>
        <family val="2"/>
        <scheme val="minor"/>
      </rPr>
      <t>183</t>
    </r>
  </si>
  <si>
    <t>61.102 AU</t>
  </si>
  <si>
    <t>21.71°</t>
  </si>
  <si>
    <t>320.75°</t>
  </si>
  <si>
    <t>135.41°</t>
  </si>
  <si>
    <t>22.59°</t>
  </si>
  <si>
    <r>
      <t>2013 TJ</t>
    </r>
    <r>
      <rPr>
        <vertAlign val="subscript"/>
        <sz val="10"/>
        <color theme="1"/>
        <rFont val="Aptos Narrow"/>
        <family val="2"/>
        <scheme val="minor"/>
      </rPr>
      <t>172</t>
    </r>
  </si>
  <si>
    <t>52.535 AU</t>
  </si>
  <si>
    <t>27.33°</t>
  </si>
  <si>
    <t>247.61°</t>
  </si>
  <si>
    <t>176.426°</t>
  </si>
  <si>
    <t>347.39°</t>
  </si>
  <si>
    <r>
      <t>2014 KE</t>
    </r>
    <r>
      <rPr>
        <vertAlign val="subscript"/>
        <sz val="10"/>
        <color theme="1"/>
        <rFont val="Aptos Narrow"/>
        <family val="2"/>
        <scheme val="minor"/>
      </rPr>
      <t>113</t>
    </r>
  </si>
  <si>
    <t>72.19 AU</t>
  </si>
  <si>
    <t>33.85°</t>
  </si>
  <si>
    <t>135.99°</t>
  </si>
  <si>
    <t>106.46°</t>
  </si>
  <si>
    <t>2.57°</t>
  </si>
  <si>
    <r>
      <t>2014 QG</t>
    </r>
    <r>
      <rPr>
        <vertAlign val="subscript"/>
        <sz val="10"/>
        <color theme="1"/>
        <rFont val="Aptos Narrow"/>
        <family val="2"/>
        <scheme val="minor"/>
      </rPr>
      <t>442</t>
    </r>
  </si>
  <si>
    <t>54.297 AU</t>
  </si>
  <si>
    <t>30.42°</t>
  </si>
  <si>
    <t>243.03°</t>
  </si>
  <si>
    <t>95.934°</t>
  </si>
  <si>
    <r>
      <t>2014 SK</t>
    </r>
    <r>
      <rPr>
        <vertAlign val="subscript"/>
        <sz val="10"/>
        <color theme="1"/>
        <rFont val="Aptos Narrow"/>
        <family val="2"/>
        <scheme val="minor"/>
      </rPr>
      <t>350</t>
    </r>
  </si>
  <si>
    <t>54.919 AU</t>
  </si>
  <si>
    <t>17.349°</t>
  </si>
  <si>
    <t>334.855°</t>
  </si>
  <si>
    <t>115.413°</t>
  </si>
  <si>
    <t>271.997°</t>
  </si>
  <si>
    <r>
      <t>2015 BG</t>
    </r>
    <r>
      <rPr>
        <vertAlign val="subscript"/>
        <sz val="10"/>
        <color theme="1"/>
        <rFont val="Aptos Narrow"/>
        <family val="2"/>
        <scheme val="minor"/>
      </rPr>
      <t>568</t>
    </r>
  </si>
  <si>
    <t>83.105 AU</t>
  </si>
  <si>
    <t>36.965°</t>
  </si>
  <si>
    <t>337.89°</t>
  </si>
  <si>
    <t>160.24°</t>
  </si>
  <si>
    <t>73°</t>
  </si>
  <si>
    <r>
      <t>2015 GW</t>
    </r>
    <r>
      <rPr>
        <vertAlign val="subscript"/>
        <sz val="10"/>
        <color theme="1"/>
        <rFont val="Aptos Narrow"/>
        <family val="2"/>
        <scheme val="minor"/>
      </rPr>
      <t>55</t>
    </r>
  </si>
  <si>
    <t>85.3 AU</t>
  </si>
  <si>
    <t>73.13°</t>
  </si>
  <si>
    <t>34.911°</t>
  </si>
  <si>
    <r>
      <t>2015 RG</t>
    </r>
    <r>
      <rPr>
        <vertAlign val="subscript"/>
        <sz val="10"/>
        <color theme="1"/>
        <rFont val="Aptos Narrow"/>
        <family val="2"/>
        <scheme val="minor"/>
      </rPr>
      <t>279</t>
    </r>
  </si>
  <si>
    <t>60.42 AU</t>
  </si>
  <si>
    <t>13.79°</t>
  </si>
  <si>
    <t>264.4°</t>
  </si>
  <si>
    <t>9.36°</t>
  </si>
  <si>
    <t>52.22°</t>
  </si>
  <si>
    <r>
      <t>2015 SO</t>
    </r>
    <r>
      <rPr>
        <vertAlign val="subscript"/>
        <sz val="10"/>
        <color theme="1"/>
        <rFont val="Aptos Narrow"/>
        <family val="2"/>
        <scheme val="minor"/>
      </rPr>
      <t>21</t>
    </r>
  </si>
  <si>
    <t>60.122 AU</t>
  </si>
  <si>
    <t>22.487°</t>
  </si>
  <si>
    <t>254.978°</t>
  </si>
  <si>
    <t>146.786°</t>
  </si>
  <si>
    <t>325.016°</t>
  </si>
  <si>
    <r>
      <t>2015 TJ</t>
    </r>
    <r>
      <rPr>
        <vertAlign val="subscript"/>
        <sz val="10"/>
        <color theme="1"/>
        <rFont val="Aptos Narrow"/>
        <family val="2"/>
        <scheme val="minor"/>
      </rPr>
      <t>367</t>
    </r>
  </si>
  <si>
    <t>80.999 AU</t>
  </si>
  <si>
    <t>29.033°</t>
  </si>
  <si>
    <t>57.239°</t>
  </si>
  <si>
    <t>222.86°</t>
  </si>
  <si>
    <t>51.92°</t>
  </si>
  <si>
    <r>
      <t>2015 VB</t>
    </r>
    <r>
      <rPr>
        <vertAlign val="subscript"/>
        <sz val="10"/>
        <color theme="1"/>
        <rFont val="Aptos Narrow"/>
        <family val="2"/>
        <scheme val="minor"/>
      </rPr>
      <t>168</t>
    </r>
  </si>
  <si>
    <t>99.626 AU</t>
  </si>
  <si>
    <t>4.28°</t>
  </si>
  <si>
    <t>49.902°</t>
  </si>
  <si>
    <t>82.74°</t>
  </si>
  <si>
    <t>345.23°</t>
  </si>
  <si>
    <r>
      <t>2017 WH</t>
    </r>
    <r>
      <rPr>
        <vertAlign val="subscript"/>
        <sz val="10"/>
        <color theme="1"/>
        <rFont val="Aptos Narrow"/>
        <family val="2"/>
        <scheme val="minor"/>
      </rPr>
      <t>30</t>
    </r>
  </si>
  <si>
    <t>85.9 AU</t>
  </si>
  <si>
    <t>18.042°</t>
  </si>
  <si>
    <t>329.07°</t>
  </si>
  <si>
    <t>200.54°</t>
  </si>
  <si>
    <r>
      <t>1999 RN</t>
    </r>
    <r>
      <rPr>
        <vertAlign val="subscript"/>
        <sz val="10"/>
        <color theme="1"/>
        <rFont val="Aptos Narrow"/>
        <family val="2"/>
        <scheme val="minor"/>
      </rPr>
      <t>215</t>
    </r>
  </si>
  <si>
    <t>12.41°</t>
  </si>
  <si>
    <t>100.2°</t>
  </si>
  <si>
    <t>140.7°</t>
  </si>
  <si>
    <t>142.3°</t>
  </si>
  <si>
    <r>
      <t>2003 FF</t>
    </r>
    <r>
      <rPr>
        <vertAlign val="subscript"/>
        <sz val="10"/>
        <color theme="1"/>
        <rFont val="Aptos Narrow"/>
        <family val="2"/>
        <scheme val="minor"/>
      </rPr>
      <t>128</t>
    </r>
  </si>
  <si>
    <t>1.91°</t>
  </si>
  <si>
    <t>169.49°</t>
  </si>
  <si>
    <t>91.735°</t>
  </si>
  <si>
    <t>347.185°</t>
  </si>
  <si>
    <r>
      <t>2005 EZ</t>
    </r>
    <r>
      <rPr>
        <vertAlign val="subscript"/>
        <sz val="10"/>
        <color theme="1"/>
        <rFont val="Aptos Narrow"/>
        <family val="2"/>
        <scheme val="minor"/>
      </rPr>
      <t>296</t>
    </r>
  </si>
  <si>
    <t>39.75 AU</t>
  </si>
  <si>
    <t>210.8°</t>
  </si>
  <si>
    <t>24.41°</t>
  </si>
  <si>
    <r>
      <t>2013 QO</t>
    </r>
    <r>
      <rPr>
        <vertAlign val="subscript"/>
        <sz val="10"/>
        <color theme="1"/>
        <rFont val="Aptos Narrow"/>
        <family val="2"/>
        <scheme val="minor"/>
      </rPr>
      <t>95</t>
    </r>
  </si>
  <si>
    <t>39.81 AU</t>
  </si>
  <si>
    <t>20.61°</t>
  </si>
  <si>
    <t>317°</t>
  </si>
  <si>
    <t>83.07°</t>
  </si>
  <si>
    <t>352°</t>
  </si>
  <si>
    <r>
      <t>2000 YB</t>
    </r>
    <r>
      <rPr>
        <vertAlign val="subscript"/>
        <sz val="10"/>
        <color theme="1"/>
        <rFont val="Aptos Narrow"/>
        <family val="2"/>
        <scheme val="minor"/>
      </rPr>
      <t>2</t>
    </r>
  </si>
  <si>
    <t>38.84 AU</t>
  </si>
  <si>
    <t>3.82°</t>
  </si>
  <si>
    <t>210.15°</t>
  </si>
  <si>
    <t>135.49°</t>
  </si>
  <si>
    <t>100.44°</t>
  </si>
  <si>
    <r>
      <t>1998 FS</t>
    </r>
    <r>
      <rPr>
        <vertAlign val="subscript"/>
        <sz val="10"/>
        <color theme="1"/>
        <rFont val="Aptos Narrow"/>
        <family val="2"/>
        <scheme val="minor"/>
      </rPr>
      <t>144</t>
    </r>
  </si>
  <si>
    <t>41.534 AU</t>
  </si>
  <si>
    <t>9.893°</t>
  </si>
  <si>
    <t>193.44°</t>
  </si>
  <si>
    <t>228.81°</t>
  </si>
  <si>
    <t>136.25°</t>
  </si>
  <si>
    <r>
      <t>2001 XU</t>
    </r>
    <r>
      <rPr>
        <vertAlign val="subscript"/>
        <sz val="10"/>
        <color theme="1"/>
        <rFont val="Aptos Narrow"/>
        <family val="2"/>
        <scheme val="minor"/>
      </rPr>
      <t>254</t>
    </r>
  </si>
  <si>
    <t>43.29 AU</t>
  </si>
  <si>
    <t>6.51°</t>
  </si>
  <si>
    <t>74.43°</t>
  </si>
  <si>
    <t>114.74°</t>
  </si>
  <si>
    <t>313°</t>
  </si>
  <si>
    <r>
      <t>2002 GH</t>
    </r>
    <r>
      <rPr>
        <vertAlign val="subscript"/>
        <sz val="10"/>
        <color theme="1"/>
        <rFont val="Aptos Narrow"/>
        <family val="2"/>
        <scheme val="minor"/>
      </rPr>
      <t>32</t>
    </r>
  </si>
  <si>
    <t>42.253 AU</t>
  </si>
  <si>
    <t>253.05°</t>
  </si>
  <si>
    <t>220.62°</t>
  </si>
  <si>
    <t>113.22°</t>
  </si>
  <si>
    <r>
      <t>2003 QB</t>
    </r>
    <r>
      <rPr>
        <vertAlign val="subscript"/>
        <sz val="10"/>
        <color theme="1"/>
        <rFont val="Aptos Narrow"/>
        <family val="2"/>
        <scheme val="minor"/>
      </rPr>
      <t>91</t>
    </r>
  </si>
  <si>
    <t>6.503°</t>
  </si>
  <si>
    <t>79.86°</t>
  </si>
  <si>
    <t>136.89°</t>
  </si>
  <si>
    <t>145.6°</t>
  </si>
  <si>
    <r>
      <t>2003 UE</t>
    </r>
    <r>
      <rPr>
        <vertAlign val="subscript"/>
        <sz val="10"/>
        <color theme="1"/>
        <rFont val="Aptos Narrow"/>
        <family val="2"/>
        <scheme val="minor"/>
      </rPr>
      <t>292</t>
    </r>
  </si>
  <si>
    <t>43.467 AU</t>
  </si>
  <si>
    <t>18.511°</t>
  </si>
  <si>
    <t>169.766°</t>
  </si>
  <si>
    <t>242.375°</t>
  </si>
  <si>
    <r>
      <t>2004 PU</t>
    </r>
    <r>
      <rPr>
        <vertAlign val="subscript"/>
        <sz val="10"/>
        <color theme="1"/>
        <rFont val="Aptos Narrow"/>
        <family val="2"/>
        <scheme val="minor"/>
      </rPr>
      <t>107</t>
    </r>
  </si>
  <si>
    <t>44.992 AU</t>
  </si>
  <si>
    <t>111.705°</t>
  </si>
  <si>
    <t>23.329°</t>
  </si>
  <si>
    <t>181.309°</t>
  </si>
  <si>
    <r>
      <t>2004 VS</t>
    </r>
    <r>
      <rPr>
        <vertAlign val="subscript"/>
        <sz val="10"/>
        <color theme="1"/>
        <rFont val="Aptos Narrow"/>
        <family val="2"/>
        <scheme val="minor"/>
      </rPr>
      <t>75</t>
    </r>
  </si>
  <si>
    <t>44.84 AU</t>
  </si>
  <si>
    <t>7.36°</t>
  </si>
  <si>
    <t>70.16°</t>
  </si>
  <si>
    <t>23.48°</t>
  </si>
  <si>
    <t>14.4°</t>
  </si>
  <si>
    <r>
      <t>2005 JZ</t>
    </r>
    <r>
      <rPr>
        <vertAlign val="subscript"/>
        <sz val="10"/>
        <color theme="1"/>
        <rFont val="Aptos Narrow"/>
        <family val="2"/>
        <scheme val="minor"/>
      </rPr>
      <t>174</t>
    </r>
  </si>
  <si>
    <t>42.74 AU</t>
  </si>
  <si>
    <t>6.5°</t>
  </si>
  <si>
    <t>240.6°</t>
  </si>
  <si>
    <t>59.19°</t>
  </si>
  <si>
    <t>292.1°</t>
  </si>
  <si>
    <r>
      <t>2007 FM</t>
    </r>
    <r>
      <rPr>
        <vertAlign val="subscript"/>
        <sz val="10"/>
        <color theme="1"/>
        <rFont val="Aptos Narrow"/>
        <family val="2"/>
        <scheme val="minor"/>
      </rPr>
      <t>51</t>
    </r>
  </si>
  <si>
    <t>45.319 AU</t>
  </si>
  <si>
    <t>29.22°</t>
  </si>
  <si>
    <t>340.44°</t>
  </si>
  <si>
    <t>106.6°</t>
  </si>
  <si>
    <t>78.45°</t>
  </si>
  <si>
    <r>
      <t>2009 YS</t>
    </r>
    <r>
      <rPr>
        <vertAlign val="subscript"/>
        <sz val="10"/>
        <color theme="1"/>
        <rFont val="Aptos Narrow"/>
        <family val="2"/>
        <scheme val="minor"/>
      </rPr>
      <t>26</t>
    </r>
  </si>
  <si>
    <t>36.53 AU</t>
  </si>
  <si>
    <t>6.56°</t>
  </si>
  <si>
    <t>255.4°</t>
  </si>
  <si>
    <t>142.97°</t>
  </si>
  <si>
    <t>81.72°</t>
  </si>
  <si>
    <r>
      <t>2009 YT</t>
    </r>
    <r>
      <rPr>
        <vertAlign val="subscript"/>
        <sz val="10"/>
        <color theme="1"/>
        <rFont val="Aptos Narrow"/>
        <family val="2"/>
        <scheme val="minor"/>
      </rPr>
      <t>26</t>
    </r>
  </si>
  <si>
    <t>39.33 AU</t>
  </si>
  <si>
    <t>20.14°</t>
  </si>
  <si>
    <t>85.01°</t>
  </si>
  <si>
    <t>8.09°</t>
  </si>
  <si>
    <r>
      <t>2011 UE</t>
    </r>
    <r>
      <rPr>
        <vertAlign val="subscript"/>
        <sz val="10"/>
        <color theme="1"/>
        <rFont val="Aptos Narrow"/>
        <family val="2"/>
        <scheme val="minor"/>
      </rPr>
      <t>412</t>
    </r>
  </si>
  <si>
    <t>43.85 AU</t>
  </si>
  <si>
    <t>22.82°</t>
  </si>
  <si>
    <t>4.22°</t>
  </si>
  <si>
    <t>218.11°</t>
  </si>
  <si>
    <t>172°</t>
  </si>
  <si>
    <r>
      <t>2012 BZ</t>
    </r>
    <r>
      <rPr>
        <vertAlign val="subscript"/>
        <sz val="10"/>
        <color theme="1"/>
        <rFont val="Aptos Narrow"/>
        <family val="2"/>
        <scheme val="minor"/>
      </rPr>
      <t>159</t>
    </r>
  </si>
  <si>
    <t>44.548 AU</t>
  </si>
  <si>
    <t>7.271°</t>
  </si>
  <si>
    <t>5.139°</t>
  </si>
  <si>
    <t>173.28°</t>
  </si>
  <si>
    <r>
      <t>2012 TF</t>
    </r>
    <r>
      <rPr>
        <vertAlign val="subscript"/>
        <sz val="10"/>
        <color theme="1"/>
        <rFont val="Aptos Narrow"/>
        <family val="2"/>
        <scheme val="minor"/>
      </rPr>
      <t>324</t>
    </r>
  </si>
  <si>
    <t>43.745 AU</t>
  </si>
  <si>
    <t>7.882°</t>
  </si>
  <si>
    <t>92.534°</t>
  </si>
  <si>
    <t>318.535°</t>
  </si>
  <si>
    <t>349.578°</t>
  </si>
  <si>
    <r>
      <t>2013 BN</t>
    </r>
    <r>
      <rPr>
        <vertAlign val="subscript"/>
        <sz val="10"/>
        <color theme="1"/>
        <rFont val="Aptos Narrow"/>
        <family val="2"/>
        <scheme val="minor"/>
      </rPr>
      <t>82</t>
    </r>
  </si>
  <si>
    <t>43.581 AU</t>
  </si>
  <si>
    <t>277.37°</t>
  </si>
  <si>
    <t>193.62°</t>
  </si>
  <si>
    <t>20.245°</t>
  </si>
  <si>
    <r>
      <t>2013 FO</t>
    </r>
    <r>
      <rPr>
        <vertAlign val="subscript"/>
        <sz val="10"/>
        <color theme="1"/>
        <rFont val="Aptos Narrow"/>
        <family val="2"/>
        <scheme val="minor"/>
      </rPr>
      <t>28</t>
    </r>
  </si>
  <si>
    <t>47.454 AU</t>
  </si>
  <si>
    <t>262.61°</t>
  </si>
  <si>
    <t>247.94°</t>
  </si>
  <si>
    <t>42.09°</t>
  </si>
  <si>
    <r>
      <t>2013 JX</t>
    </r>
    <r>
      <rPr>
        <vertAlign val="subscript"/>
        <sz val="10"/>
        <color theme="1"/>
        <rFont val="Aptos Narrow"/>
        <family val="2"/>
        <scheme val="minor"/>
      </rPr>
      <t>67</t>
    </r>
  </si>
  <si>
    <t>46.14 AU</t>
  </si>
  <si>
    <t>10.515°</t>
  </si>
  <si>
    <t>88.858°</t>
  </si>
  <si>
    <t>104.51°</t>
  </si>
  <si>
    <t>49.042°</t>
  </si>
  <si>
    <r>
      <t>2013 PE</t>
    </r>
    <r>
      <rPr>
        <vertAlign val="subscript"/>
        <sz val="10"/>
        <color theme="1"/>
        <rFont val="Aptos Narrow"/>
        <family val="2"/>
        <scheme val="minor"/>
      </rPr>
      <t>84</t>
    </r>
  </si>
  <si>
    <t>39.311 AU</t>
  </si>
  <si>
    <t>8.87°</t>
  </si>
  <si>
    <t>222.09°</t>
  </si>
  <si>
    <t>87.36°</t>
  </si>
  <si>
    <t>34.36°</t>
  </si>
  <si>
    <r>
      <t>2014 DU</t>
    </r>
    <r>
      <rPr>
        <vertAlign val="subscript"/>
        <sz val="10"/>
        <color theme="1"/>
        <rFont val="Aptos Narrow"/>
        <family val="2"/>
        <scheme val="minor"/>
      </rPr>
      <t>143</t>
    </r>
  </si>
  <si>
    <t>36.35 AU</t>
  </si>
  <si>
    <t>13.6°</t>
  </si>
  <si>
    <t>190.24°</t>
  </si>
  <si>
    <t>144.54°</t>
  </si>
  <si>
    <t>237.9°</t>
  </si>
  <si>
    <r>
      <t>2014 ME</t>
    </r>
    <r>
      <rPr>
        <vertAlign val="subscript"/>
        <sz val="10"/>
        <color theme="1"/>
        <rFont val="Aptos Narrow"/>
        <family val="2"/>
        <scheme val="minor"/>
      </rPr>
      <t>70</t>
    </r>
  </si>
  <si>
    <t>42.663 AU</t>
  </si>
  <si>
    <t>7.802°</t>
  </si>
  <si>
    <t>274.38°</t>
  </si>
  <si>
    <t>1.118°</t>
  </si>
  <si>
    <t>34.302°</t>
  </si>
  <si>
    <r>
      <t>2014 MF</t>
    </r>
    <r>
      <rPr>
        <vertAlign val="subscript"/>
        <sz val="10"/>
        <color theme="1"/>
        <rFont val="Aptos Narrow"/>
        <family val="2"/>
        <scheme val="minor"/>
      </rPr>
      <t>70</t>
    </r>
  </si>
  <si>
    <t>39.36 AU</t>
  </si>
  <si>
    <t>4.72°</t>
  </si>
  <si>
    <t>185.11°</t>
  </si>
  <si>
    <t>126.02°</t>
  </si>
  <si>
    <t>322.03°</t>
  </si>
  <si>
    <r>
      <t>2014 NC</t>
    </r>
    <r>
      <rPr>
        <vertAlign val="subscript"/>
        <sz val="10"/>
        <color theme="1"/>
        <rFont val="Aptos Narrow"/>
        <family val="2"/>
        <scheme val="minor"/>
      </rPr>
      <t>66</t>
    </r>
  </si>
  <si>
    <t>47.784 AU</t>
  </si>
  <si>
    <t>43.78°</t>
  </si>
  <si>
    <t>199.06°</t>
  </si>
  <si>
    <t>133.8°</t>
  </si>
  <si>
    <t>7.78°</t>
  </si>
  <si>
    <r>
      <t>2014 WV</t>
    </r>
    <r>
      <rPr>
        <vertAlign val="subscript"/>
        <sz val="10"/>
        <color theme="1"/>
        <rFont val="Aptos Narrow"/>
        <family val="2"/>
        <scheme val="minor"/>
      </rPr>
      <t>509</t>
    </r>
  </si>
  <si>
    <t>46.95 AU</t>
  </si>
  <si>
    <t>25.33°</t>
  </si>
  <si>
    <t>197.82°</t>
  </si>
  <si>
    <t>205.5°</t>
  </si>
  <si>
    <r>
      <t>2014 WG</t>
    </r>
    <r>
      <rPr>
        <vertAlign val="subscript"/>
        <sz val="10"/>
        <color theme="1"/>
        <rFont val="Aptos Narrow"/>
        <family val="2"/>
        <scheme val="minor"/>
      </rPr>
      <t>510</t>
    </r>
  </si>
  <si>
    <t>39.41 AU</t>
  </si>
  <si>
    <t>17.48°</t>
  </si>
  <si>
    <t>178.6°</t>
  </si>
  <si>
    <t>167.29°</t>
  </si>
  <si>
    <t>70.14°</t>
  </si>
  <si>
    <r>
      <t>2015 BS</t>
    </r>
    <r>
      <rPr>
        <vertAlign val="subscript"/>
        <sz val="10"/>
        <color theme="1"/>
        <rFont val="Aptos Narrow"/>
        <family val="2"/>
        <scheme val="minor"/>
      </rPr>
      <t>518</t>
    </r>
  </si>
  <si>
    <t>41.63 AU</t>
  </si>
  <si>
    <t>205.83°</t>
  </si>
  <si>
    <t>17.33°</t>
  </si>
  <si>
    <r>
      <t>2015 BW</t>
    </r>
    <r>
      <rPr>
        <vertAlign val="subscript"/>
        <sz val="10"/>
        <color theme="1"/>
        <rFont val="Aptos Narrow"/>
        <family val="2"/>
        <scheme val="minor"/>
      </rPr>
      <t>518</t>
    </r>
  </si>
  <si>
    <t>44.72 AU</t>
  </si>
  <si>
    <t>9.25°</t>
  </si>
  <si>
    <t>98.11°</t>
  </si>
  <si>
    <t>35.59°</t>
  </si>
  <si>
    <t>10.14°</t>
  </si>
  <si>
    <r>
      <t>2016 FR</t>
    </r>
    <r>
      <rPr>
        <vertAlign val="subscript"/>
        <sz val="10"/>
        <color theme="1"/>
        <rFont val="Aptos Narrow"/>
        <family val="2"/>
        <scheme val="minor"/>
      </rPr>
      <t>59</t>
    </r>
  </si>
  <si>
    <t>36.08 AU</t>
  </si>
  <si>
    <t>120.73°</t>
  </si>
  <si>
    <t>300.8°</t>
  </si>
  <si>
    <t>121.11°</t>
  </si>
  <si>
    <r>
      <t>1998 WA</t>
    </r>
    <r>
      <rPr>
        <vertAlign val="subscript"/>
        <sz val="10"/>
        <color theme="1"/>
        <rFont val="Aptos Narrow"/>
        <family val="2"/>
        <scheme val="minor"/>
      </rPr>
      <t>31</t>
    </r>
  </si>
  <si>
    <t>54.9 AU</t>
  </si>
  <si>
    <t>309.2°</t>
  </si>
  <si>
    <t>20.82°</t>
  </si>
  <si>
    <r>
      <t>2001 XT</t>
    </r>
    <r>
      <rPr>
        <vertAlign val="subscript"/>
        <sz val="10"/>
        <color theme="1"/>
        <rFont val="Aptos Narrow"/>
        <family val="2"/>
        <scheme val="minor"/>
      </rPr>
      <t>254</t>
    </r>
  </si>
  <si>
    <t>53.391 AU</t>
  </si>
  <si>
    <t>0.517°</t>
  </si>
  <si>
    <t>133.36°</t>
  </si>
  <si>
    <t>359.55°</t>
  </si>
  <si>
    <t>359.98°</t>
  </si>
  <si>
    <r>
      <t>1999 RD</t>
    </r>
    <r>
      <rPr>
        <vertAlign val="subscript"/>
        <sz val="10"/>
        <color theme="1"/>
        <rFont val="Aptos Narrow"/>
        <family val="2"/>
        <scheme val="minor"/>
      </rPr>
      <t>215</t>
    </r>
  </si>
  <si>
    <t>120.97 AU</t>
  </si>
  <si>
    <t>25.99°</t>
  </si>
  <si>
    <t>137.86°</t>
  </si>
  <si>
    <t>210.32°</t>
  </si>
  <si>
    <t>7.8°</t>
  </si>
  <si>
    <r>
      <t>2003 HB</t>
    </r>
    <r>
      <rPr>
        <vertAlign val="subscript"/>
        <sz val="10"/>
        <color theme="1"/>
        <rFont val="Aptos Narrow"/>
        <family val="2"/>
        <scheme val="minor"/>
      </rPr>
      <t>57</t>
    </r>
  </si>
  <si>
    <t>166.16 AU</t>
  </si>
  <si>
    <t>15.473°</t>
  </si>
  <si>
    <t>11.013°</t>
  </si>
  <si>
    <t>1.426°</t>
  </si>
  <si>
    <r>
      <t>2003 FZ</t>
    </r>
    <r>
      <rPr>
        <vertAlign val="subscript"/>
        <sz val="10"/>
        <color theme="1"/>
        <rFont val="Aptos Narrow"/>
        <family val="2"/>
        <scheme val="minor"/>
      </rPr>
      <t>129</t>
    </r>
  </si>
  <si>
    <t>61.207 AU</t>
  </si>
  <si>
    <t>160.96°</t>
  </si>
  <si>
    <t>28.07°</t>
  </si>
  <si>
    <t>16.02°</t>
  </si>
  <si>
    <r>
      <t>1999 CP</t>
    </r>
    <r>
      <rPr>
        <vertAlign val="subscript"/>
        <sz val="10"/>
        <color theme="1"/>
        <rFont val="Aptos Narrow"/>
        <family val="2"/>
        <scheme val="minor"/>
      </rPr>
      <t>133</t>
    </r>
  </si>
  <si>
    <t>34.801 AU</t>
  </si>
  <si>
    <t>3.2°</t>
  </si>
  <si>
    <t>155.4°</t>
  </si>
  <si>
    <t>334.3°</t>
  </si>
  <si>
    <t>45.5°</t>
  </si>
  <si>
    <r>
      <t>1999 RB</t>
    </r>
    <r>
      <rPr>
        <vertAlign val="subscript"/>
        <sz val="10"/>
        <color theme="1"/>
        <rFont val="Aptos Narrow"/>
        <family val="2"/>
        <scheme val="minor"/>
      </rPr>
      <t>216</t>
    </r>
  </si>
  <si>
    <t>47.41 AU</t>
  </si>
  <si>
    <t>208.7°</t>
  </si>
  <si>
    <t>175.7°</t>
  </si>
  <si>
    <r>
      <t>2001 KB</t>
    </r>
    <r>
      <rPr>
        <vertAlign val="subscript"/>
        <sz val="10"/>
        <color theme="1"/>
        <rFont val="Aptos Narrow"/>
        <family val="2"/>
        <scheme val="minor"/>
      </rPr>
      <t>77</t>
    </r>
  </si>
  <si>
    <t>39.756 AU</t>
  </si>
  <si>
    <t>17.49°</t>
  </si>
  <si>
    <t>52.32°</t>
  </si>
  <si>
    <t>222.96°</t>
  </si>
  <si>
    <t>348.02°</t>
  </si>
  <si>
    <r>
      <t>1998 UU</t>
    </r>
    <r>
      <rPr>
        <vertAlign val="subscript"/>
        <sz val="10"/>
        <color theme="1"/>
        <rFont val="Aptos Narrow"/>
        <family val="2"/>
        <scheme val="minor"/>
      </rPr>
      <t>43</t>
    </r>
  </si>
  <si>
    <t>36.273 AU</t>
  </si>
  <si>
    <t>9.6°</t>
  </si>
  <si>
    <t>280.8°</t>
  </si>
  <si>
    <t>231.36°</t>
  </si>
  <si>
    <r>
      <t>1998 WV</t>
    </r>
    <r>
      <rPr>
        <vertAlign val="subscript"/>
        <sz val="10"/>
        <color theme="1"/>
        <rFont val="Aptos Narrow"/>
        <family val="2"/>
        <scheme val="minor"/>
      </rPr>
      <t>24</t>
    </r>
  </si>
  <si>
    <t>39.11 AU</t>
  </si>
  <si>
    <t>1.51°</t>
  </si>
  <si>
    <t>164.12°</t>
  </si>
  <si>
    <t>183.55°</t>
  </si>
  <si>
    <t>87.96°</t>
  </si>
  <si>
    <r>
      <t>1999 RY</t>
    </r>
    <r>
      <rPr>
        <vertAlign val="subscript"/>
        <sz val="10"/>
        <color theme="1"/>
        <rFont val="Aptos Narrow"/>
        <family val="2"/>
        <scheme val="minor"/>
      </rPr>
      <t>214</t>
    </r>
  </si>
  <si>
    <t>45.53 AU</t>
  </si>
  <si>
    <t>13.68°</t>
  </si>
  <si>
    <t>70.56°</t>
  </si>
  <si>
    <t>327.2°</t>
  </si>
  <si>
    <t>8.1°</t>
  </si>
  <si>
    <t>Praamzius</t>
  </si>
  <si>
    <t>42.587 AU</t>
  </si>
  <si>
    <t>1.1°</t>
  </si>
  <si>
    <t>358.38°</t>
  </si>
  <si>
    <t>314.26°</t>
  </si>
  <si>
    <t>185.1°</t>
  </si>
  <si>
    <t>Teharonhiawako</t>
  </si>
  <si>
    <t>43.845 AU</t>
  </si>
  <si>
    <t>2.583°</t>
  </si>
  <si>
    <t>236.43°</t>
  </si>
  <si>
    <t>304.78°</t>
  </si>
  <si>
    <t>158.44°</t>
  </si>
  <si>
    <t>Sawiskera</t>
  </si>
  <si>
    <t>27,670 km</t>
  </si>
  <si>
    <t>Borasisi</t>
  </si>
  <si>
    <t>43.555 AU</t>
  </si>
  <si>
    <t>0.563°</t>
  </si>
  <si>
    <t>194.98°</t>
  </si>
  <si>
    <t>84.722°</t>
  </si>
  <si>
    <t>60.025°</t>
  </si>
  <si>
    <t>Pabu</t>
  </si>
  <si>
    <t>4,528 km</t>
  </si>
  <si>
    <t>Arawn</t>
  </si>
  <si>
    <t>3.807°</t>
  </si>
  <si>
    <t>101.89°</t>
  </si>
  <si>
    <t>144.69°</t>
  </si>
  <si>
    <t>Manwë</t>
  </si>
  <si>
    <t>43.713 AU</t>
  </si>
  <si>
    <t>2.667°</t>
  </si>
  <si>
    <t>20.173°</t>
  </si>
  <si>
    <t>68.494°</t>
  </si>
  <si>
    <t>285.002°</t>
  </si>
  <si>
    <t>Thorondor</t>
  </si>
  <si>
    <t>6,674 km</t>
  </si>
  <si>
    <t>Deucalion</t>
  </si>
  <si>
    <t>44.395 AU</t>
  </si>
  <si>
    <t>0.372°</t>
  </si>
  <si>
    <t>237.36°</t>
  </si>
  <si>
    <t>51.363°</t>
  </si>
  <si>
    <t>307.41°</t>
  </si>
  <si>
    <t>Logos</t>
  </si>
  <si>
    <t>45.549 AU</t>
  </si>
  <si>
    <t>339.21°</t>
  </si>
  <si>
    <t>132.491°</t>
  </si>
  <si>
    <t>56.495°</t>
  </si>
  <si>
    <t>Zoe</t>
  </si>
  <si>
    <t>33 km</t>
  </si>
  <si>
    <t>8,217 km</t>
  </si>
  <si>
    <t>Valetudo</t>
  </si>
  <si>
    <t>500 m</t>
  </si>
  <si>
    <t>18,819,020 km</t>
  </si>
  <si>
    <t>32.033°</t>
  </si>
  <si>
    <t>Euporie</t>
  </si>
  <si>
    <t>19,302,000 km</t>
  </si>
  <si>
    <t>145.7°</t>
  </si>
  <si>
    <t>Eupheme</t>
  </si>
  <si>
    <t>21,199,710 km</t>
  </si>
  <si>
    <t>146°</t>
  </si>
  <si>
    <t>Mneme</t>
  </si>
  <si>
    <t>21,069,000 km</t>
  </si>
  <si>
    <t>Orthosie</t>
  </si>
  <si>
    <t>21,170,540 km</t>
  </si>
  <si>
    <t>148.487°</t>
  </si>
  <si>
    <t>Thelxinoe</t>
  </si>
  <si>
    <t>151°</t>
  </si>
  <si>
    <t>Philophrosyne</t>
  </si>
  <si>
    <t>22,819,950 km</t>
  </si>
  <si>
    <t>Pasithee</t>
  </si>
  <si>
    <t>22,967,990 km</t>
  </si>
  <si>
    <t>164.728°</t>
  </si>
  <si>
    <t>Kallichore</t>
  </si>
  <si>
    <t>24,043,000 km</t>
  </si>
  <si>
    <t>Kale</t>
  </si>
  <si>
    <t>23,512,340 km</t>
  </si>
  <si>
    <t>166.177°</t>
  </si>
  <si>
    <t>Herse</t>
  </si>
  <si>
    <t>23,097,000 km</t>
  </si>
  <si>
    <t>Sponde</t>
  </si>
  <si>
    <t>23,487,000 km</t>
  </si>
  <si>
    <t>154°</t>
  </si>
  <si>
    <t>Cyllene</t>
  </si>
  <si>
    <t>24,349,000 km</t>
  </si>
  <si>
    <t>140.149°</t>
  </si>
  <si>
    <t>Kore</t>
  </si>
  <si>
    <t>24,543,000 km</t>
  </si>
  <si>
    <t>141°</t>
  </si>
  <si>
    <t>S/2018 J (♃) 4</t>
  </si>
  <si>
    <t>16,328,500 km</t>
  </si>
  <si>
    <t>S/2003 J (♃) 18</t>
  </si>
  <si>
    <t>20,274,000 km</t>
  </si>
  <si>
    <t>143.5°</t>
  </si>
  <si>
    <t>S/2021 J (♃) 3</t>
  </si>
  <si>
    <t>21,495,670 km</t>
  </si>
  <si>
    <t>150.104°</t>
  </si>
  <si>
    <t>S/2010 J (♃) 2</t>
  </si>
  <si>
    <t>20,307,150 km</t>
  </si>
  <si>
    <t>S/2016 J (♃) 1</t>
  </si>
  <si>
    <t>20,650,845 km</t>
  </si>
  <si>
    <t>S/2003 J (♃) 16</t>
  </si>
  <si>
    <t>20,512,500 km</t>
  </si>
  <si>
    <t>151.163°</t>
  </si>
  <si>
    <t>S/2021 J (♃) 2</t>
  </si>
  <si>
    <t>21,140,630 km</t>
  </si>
  <si>
    <t>150.114°</t>
  </si>
  <si>
    <t>20,694,000 km</t>
  </si>
  <si>
    <t>S/2017 J (♃) 3</t>
  </si>
  <si>
    <t>S/2021 J (♃) 1</t>
  </si>
  <si>
    <t>20,667,230 km</t>
  </si>
  <si>
    <t>149.753°</t>
  </si>
  <si>
    <t>600 m</t>
  </si>
  <si>
    <t>S/2003 J (♃) 12</t>
  </si>
  <si>
    <t>21,557,740 km</t>
  </si>
  <si>
    <t>S/2017 J (♃) 7</t>
  </si>
  <si>
    <t>20,627,000 km</t>
  </si>
  <si>
    <t>S/2003 J (♃) 2</t>
  </si>
  <si>
    <t>20,554,390 km</t>
  </si>
  <si>
    <t>149.204°</t>
  </si>
  <si>
    <t>S/2022 J (♃) 3</t>
  </si>
  <si>
    <t>20,552,070 km</t>
  </si>
  <si>
    <t>145.732°</t>
  </si>
  <si>
    <t>S/2016 J (♃) 3</t>
  </si>
  <si>
    <t>22,213,530 km</t>
  </si>
  <si>
    <t>164.066°</t>
  </si>
  <si>
    <t>S/2022 J (♃) 1</t>
  </si>
  <si>
    <t>23,769,050 km</t>
  </si>
  <si>
    <t>165.941°</t>
  </si>
  <si>
    <t>S/2017 J (♃) 8</t>
  </si>
  <si>
    <t>23,232,700 km</t>
  </si>
  <si>
    <t>23,427,220 km</t>
  </si>
  <si>
    <t>S/2021 J (♃) 6</t>
  </si>
  <si>
    <t>S/2003 J (♃) 24</t>
  </si>
  <si>
    <t>23,088,000 km</t>
  </si>
  <si>
    <t>162°</t>
  </si>
  <si>
    <t>S/2011 J (♃) 2</t>
  </si>
  <si>
    <t>23,463,885 km</t>
  </si>
  <si>
    <t>S/2003 J (♃) 4</t>
  </si>
  <si>
    <t>22,048,570 km</t>
  </si>
  <si>
    <t>149.401°</t>
  </si>
  <si>
    <t>S/2017 J (♃) 2</t>
  </si>
  <si>
    <t>23,303,000 km</t>
  </si>
  <si>
    <t>S/2022 J (♃) 2</t>
  </si>
  <si>
    <t>23,811,640 km</t>
  </si>
  <si>
    <t>165.292°</t>
  </si>
  <si>
    <t>S/2021 J (♃) 4</t>
  </si>
  <si>
    <t>22,946,680 km</t>
  </si>
  <si>
    <t>164.547°</t>
  </si>
  <si>
    <t>S/2016 J (♃) 4</t>
  </si>
  <si>
    <t>23,664,140 km</t>
  </si>
  <si>
    <t>146.255°</t>
  </si>
  <si>
    <t>S/2011 J (♃) 1</t>
  </si>
  <si>
    <t>22,462,000 km</t>
  </si>
  <si>
    <t>S/2003 J (♃) 19</t>
  </si>
  <si>
    <t>22,757,000 km</t>
  </si>
  <si>
    <t>S/2010 J (♃) 1</t>
  </si>
  <si>
    <t>23,314,335 km</t>
  </si>
  <si>
    <t>S/2003 J (♃) 9</t>
  </si>
  <si>
    <t>24,168,660 km</t>
  </si>
  <si>
    <t>166.334°</t>
  </si>
  <si>
    <t>S/2017 J (♃) 5</t>
  </si>
  <si>
    <t>23,232,000 km</t>
  </si>
  <si>
    <t>S/2017 J (♃) 6</t>
  </si>
  <si>
    <t>22,455,000 km</t>
  </si>
  <si>
    <t>S/2018 J (♃) 3</t>
  </si>
  <si>
    <t>22,826,560 km</t>
  </si>
  <si>
    <t>164.9°</t>
  </si>
  <si>
    <t>S/2021 J (♃) 5</t>
  </si>
  <si>
    <t>22,831,780 km</t>
  </si>
  <si>
    <t>163.175°</t>
  </si>
  <si>
    <t>S/2003 J (♃) 10</t>
  </si>
  <si>
    <t>22,857,000 km</t>
  </si>
  <si>
    <t>162.994°</t>
  </si>
  <si>
    <t>S/2017 J (♃) 1</t>
  </si>
  <si>
    <t>23,547,105 km</t>
  </si>
  <si>
    <t>S/2003 J (♃) 23</t>
  </si>
  <si>
    <t>24,678,190 km</t>
  </si>
  <si>
    <t>146.155°</t>
  </si>
  <si>
    <t>S/2009 S (♄) 1</t>
  </si>
  <si>
    <t>150 m</t>
  </si>
  <si>
    <t>116,914 km</t>
  </si>
  <si>
    <t>Aegaeon</t>
  </si>
  <si>
    <t>330 m</t>
  </si>
  <si>
    <t>167,494 km</t>
  </si>
  <si>
    <t>Anthe</t>
  </si>
  <si>
    <t>900 m</t>
  </si>
  <si>
    <t>197,700 km</t>
  </si>
  <si>
    <t>S/2020 S (♄) 1</t>
  </si>
  <si>
    <t>11,338,700 km</t>
  </si>
  <si>
    <t>48.2°</t>
  </si>
  <si>
    <t>S/2006 S (♄) 9</t>
  </si>
  <si>
    <t>14,406,600 km</t>
  </si>
  <si>
    <t>173°</t>
  </si>
  <si>
    <t>S/2007 S (♄) 7</t>
  </si>
  <si>
    <t>15,931,600 km</t>
  </si>
  <si>
    <t>169.2°</t>
  </si>
  <si>
    <t>S/2007 S (♄) 2</t>
  </si>
  <si>
    <t>15,850,000 km</t>
  </si>
  <si>
    <t>176.65°</t>
  </si>
  <si>
    <t>S/2004 S (♄) 37</t>
  </si>
  <si>
    <t>16,003,300 km</t>
  </si>
  <si>
    <t>S/2004 S (♄) 47</t>
  </si>
  <si>
    <t>16,050,700 km</t>
  </si>
  <si>
    <t>160.9°</t>
  </si>
  <si>
    <t>S/2004 S (♄) 40</t>
  </si>
  <si>
    <t>16,075,600 km</t>
  </si>
  <si>
    <t>S/2019 S (♄) 2</t>
  </si>
  <si>
    <t>16,559,900 km</t>
  </si>
  <si>
    <t>173.3°</t>
  </si>
  <si>
    <t>S/2007 S (♄) 8</t>
  </si>
  <si>
    <t>17,049,000 km</t>
  </si>
  <si>
    <t>S/2019 S (♄) 3</t>
  </si>
  <si>
    <t>17,077,100 km</t>
  </si>
  <si>
    <t>166.9°</t>
  </si>
  <si>
    <t>S/2020 S (♄) 7</t>
  </si>
  <si>
    <t>17,400,000 km</t>
  </si>
  <si>
    <t>161.5°</t>
  </si>
  <si>
    <t>S/2019 S (♄) 14</t>
  </si>
  <si>
    <t>17,853,000 km</t>
  </si>
  <si>
    <t>46.2°</t>
  </si>
  <si>
    <t>S/2020 S (♄) 2</t>
  </si>
  <si>
    <t>17,869,000 km</t>
  </si>
  <si>
    <t>170.7°</t>
  </si>
  <si>
    <t>S/2019 S (♄) 4</t>
  </si>
  <si>
    <t>17,951,800 km</t>
  </si>
  <si>
    <t>170.1°</t>
  </si>
  <si>
    <t>S/2020 S (♄) 3</t>
  </si>
  <si>
    <t>18,054,700 km</t>
  </si>
  <si>
    <t>S/2004 S (♄) 41</t>
  </si>
  <si>
    <t>18,095,000 km</t>
  </si>
  <si>
    <t>S/2019 S (♄) 6</t>
  </si>
  <si>
    <t>18,205,500 km</t>
  </si>
  <si>
    <t>46.4°</t>
  </si>
  <si>
    <t>S/2020 S (♄) 4</t>
  </si>
  <si>
    <t>18,235,500 km</t>
  </si>
  <si>
    <t>S/2004 S (♄) 42</t>
  </si>
  <si>
    <t>18,240,800 km</t>
  </si>
  <si>
    <t>S/2020 S (♄) 5</t>
  </si>
  <si>
    <t>18,391,300 km</t>
  </si>
  <si>
    <t>S/2004 S (♄) 13</t>
  </si>
  <si>
    <t>166.995°</t>
  </si>
  <si>
    <t>S/2007 S (♄) 6</t>
  </si>
  <si>
    <t>18,544,900 km</t>
  </si>
  <si>
    <t>S/2004 S (♄) 43</t>
  </si>
  <si>
    <t>18,935,000 km</t>
  </si>
  <si>
    <t>171.1°</t>
  </si>
  <si>
    <t>S/2006 S (♄) 10</t>
  </si>
  <si>
    <t>18,979,900 km</t>
  </si>
  <si>
    <t>161.6°</t>
  </si>
  <si>
    <t>S/2019 S (♄) 5</t>
  </si>
  <si>
    <t>19,090,400 km</t>
  </si>
  <si>
    <t>Gridr</t>
  </si>
  <si>
    <t>19,211,000 km</t>
  </si>
  <si>
    <t>163.1°</t>
  </si>
  <si>
    <t>S/2004 S (♄) 44</t>
  </si>
  <si>
    <t>19,515,400 km</t>
  </si>
  <si>
    <t>167.7°</t>
  </si>
  <si>
    <t>S/2006 S (♄) 12</t>
  </si>
  <si>
    <t>19,569,800 km</t>
  </si>
  <si>
    <t>S/2004 S (♄) 45</t>
  </si>
  <si>
    <t>19,693,600 km</t>
  </si>
  <si>
    <t>S/2004 S (♄) 17</t>
  </si>
  <si>
    <t>19,847,000 km</t>
  </si>
  <si>
    <t>168.118°</t>
  </si>
  <si>
    <t>S/2006 S (♄) 11</t>
  </si>
  <si>
    <t>19,711,900 km</t>
  </si>
  <si>
    <t>174.1°</t>
  </si>
  <si>
    <t>S/2004 S (♄) 12</t>
  </si>
  <si>
    <t>19,855,000 km</t>
  </si>
  <si>
    <t>163.857°</t>
  </si>
  <si>
    <t>S/2006 S (♄) 13</t>
  </si>
  <si>
    <t>19,953,800 km</t>
  </si>
  <si>
    <t>S/2007 S (♄) 9</t>
  </si>
  <si>
    <t>20,174,600 km</t>
  </si>
  <si>
    <t>159.3°</t>
  </si>
  <si>
    <t>S/2019 S (♄) 7</t>
  </si>
  <si>
    <t>20,184,900 km</t>
  </si>
  <si>
    <t>174.2°</t>
  </si>
  <si>
    <t>S/2019 S (♄) 8</t>
  </si>
  <si>
    <t>20,286,700 km</t>
  </si>
  <si>
    <t>172.8°</t>
  </si>
  <si>
    <t>S/2019 S (♄) 9</t>
  </si>
  <si>
    <t>20,358,800 km</t>
  </si>
  <si>
    <t>159.5°</t>
  </si>
  <si>
    <t>S/2004 S (♄) 46</t>
  </si>
  <si>
    <t>20,513,000 km</t>
  </si>
  <si>
    <t>177.2°</t>
  </si>
  <si>
    <t>Angrboda</t>
  </si>
  <si>
    <t>20,379,900 km</t>
  </si>
  <si>
    <t>177.4°</t>
  </si>
  <si>
    <t>S/2019 S (♄) 11</t>
  </si>
  <si>
    <t>20,663,700 km</t>
  </si>
  <si>
    <t>144.6°</t>
  </si>
  <si>
    <t>S/2019 S (♄) 10</t>
  </si>
  <si>
    <t>20,700,500 km</t>
  </si>
  <si>
    <t>163.9°</t>
  </si>
  <si>
    <t>Beli</t>
  </si>
  <si>
    <t>20,424,000 km</t>
  </si>
  <si>
    <t>157.5°</t>
  </si>
  <si>
    <t>S/2019 S (♄) 12</t>
  </si>
  <si>
    <t>20,894,700 km</t>
  </si>
  <si>
    <t>167.1°</t>
  </si>
  <si>
    <t>Gerd</t>
  </si>
  <si>
    <t>20,554,500 km</t>
  </si>
  <si>
    <t>S/2019 S (♄) 13</t>
  </si>
  <si>
    <t>20,965,800 km</t>
  </si>
  <si>
    <t>177.3°</t>
  </si>
  <si>
    <t>S/2006 S (♄) 14</t>
  </si>
  <si>
    <t>21,062,100 km</t>
  </si>
  <si>
    <t>Gunnlod</t>
  </si>
  <si>
    <t>21,564,200 km</t>
  </si>
  <si>
    <t>159°</t>
  </si>
  <si>
    <t>S/2019 S (♄) 15</t>
  </si>
  <si>
    <t>21,190,300 km</t>
  </si>
  <si>
    <t>157.8°</t>
  </si>
  <si>
    <t>S/2020 S (♄) 6</t>
  </si>
  <si>
    <t>21,254,200 km</t>
  </si>
  <si>
    <t>S/2005 S (♄) 5</t>
  </si>
  <si>
    <t>21,366,200 km</t>
  </si>
  <si>
    <t>169.5°</t>
  </si>
  <si>
    <t>Skrymir</t>
  </si>
  <si>
    <t>21,427,000 km</t>
  </si>
  <si>
    <t>177.7°</t>
  </si>
  <si>
    <t>S/2006 S (♄) 16</t>
  </si>
  <si>
    <t>21,720,600 km</t>
  </si>
  <si>
    <t>S/2006 S (♄) 15</t>
  </si>
  <si>
    <t>21,799,500 km</t>
  </si>
  <si>
    <t>161.1°</t>
  </si>
  <si>
    <t>S/2020 S (♄) 8</t>
  </si>
  <si>
    <t>21,966,600 km</t>
  </si>
  <si>
    <t>161.8°</t>
  </si>
  <si>
    <t>S/2004 S (♄) 48</t>
  </si>
  <si>
    <t>22,136,800 km</t>
  </si>
  <si>
    <t>Geirrod</t>
  </si>
  <si>
    <t>23,006,200 km</t>
  </si>
  <si>
    <t>S/2004 S (♄) 50</t>
  </si>
  <si>
    <t>22,346,000 km</t>
  </si>
  <si>
    <t>S/2006 S (♄) 17</t>
  </si>
  <si>
    <t>22,384,100 km</t>
  </si>
  <si>
    <t>168.7°</t>
  </si>
  <si>
    <t>S/2004 S (♄) 49</t>
  </si>
  <si>
    <t>22,399,800 km</t>
  </si>
  <si>
    <t>159.7°</t>
  </si>
  <si>
    <t>S/2019 S (♄) 17</t>
  </si>
  <si>
    <t>155.5°</t>
  </si>
  <si>
    <t>22,724,000 km</t>
  </si>
  <si>
    <t>S/2006 S (♄) 18</t>
  </si>
  <si>
    <t>22,760,700 km</t>
  </si>
  <si>
    <t>S/2019 S (♄) 19</t>
  </si>
  <si>
    <t>23,047,200 km</t>
  </si>
  <si>
    <t>146.8°</t>
  </si>
  <si>
    <t>S/2019 S (♄) 18</t>
  </si>
  <si>
    <t>23,140,700 km</t>
  </si>
  <si>
    <t>154.6°</t>
  </si>
  <si>
    <t>S/2004 S (♄) 21</t>
  </si>
  <si>
    <t>23,810,400 km</t>
  </si>
  <si>
    <t>S/2004 S (♄) 39</t>
  </si>
  <si>
    <t>22,790,400 km</t>
  </si>
  <si>
    <t>167.6°</t>
  </si>
  <si>
    <t>S/2019 S (♄) 16</t>
  </si>
  <si>
    <t>23,264,100 km</t>
  </si>
  <si>
    <t>S/2004 S (♄) 53</t>
  </si>
  <si>
    <t>23,279,800 km</t>
  </si>
  <si>
    <t>162.6°</t>
  </si>
  <si>
    <t>S/2004 S (♄) 24</t>
  </si>
  <si>
    <t>22,900,546 km</t>
  </si>
  <si>
    <t>35.538°</t>
  </si>
  <si>
    <t>S/2004 S (♄) 36</t>
  </si>
  <si>
    <t>23,698,700 km</t>
  </si>
  <si>
    <t>Thiazzi</t>
  </si>
  <si>
    <t>23,764,800 km</t>
  </si>
  <si>
    <t>S/2019 S (♄) 20</t>
  </si>
  <si>
    <t>23,679,600 km</t>
  </si>
  <si>
    <t>156.1°</t>
  </si>
  <si>
    <t>S/2006 S (♄) 19</t>
  </si>
  <si>
    <t>23,801,100 km</t>
  </si>
  <si>
    <t>175.5°</t>
  </si>
  <si>
    <t>S/2004 S (♄) 34</t>
  </si>
  <si>
    <t>24,358,900 km</t>
  </si>
  <si>
    <t>S/2004 S (♄) 51</t>
  </si>
  <si>
    <t>25,208,000 km</t>
  </si>
  <si>
    <t>171.2°</t>
  </si>
  <si>
    <t>S/2020 S (♄) 10</t>
  </si>
  <si>
    <t>25,314,700 km</t>
  </si>
  <si>
    <t>165.6°</t>
  </si>
  <si>
    <t>S/2020 S (♄) 9</t>
  </si>
  <si>
    <t>25,434,100 km</t>
  </si>
  <si>
    <t>161.4°</t>
  </si>
  <si>
    <t>S/2019 S (♄) 21</t>
  </si>
  <si>
    <t>26,439,000 km</t>
  </si>
  <si>
    <t>171.9°</t>
  </si>
  <si>
    <t>S/2004 S (♄) 52</t>
  </si>
  <si>
    <t>26,448,100 km</t>
  </si>
  <si>
    <t>165.3°</t>
  </si>
  <si>
    <r>
      <t>1998 VF</t>
    </r>
    <r>
      <rPr>
        <vertAlign val="subscript"/>
        <sz val="10"/>
        <color theme="1"/>
        <rFont val="Aptos Narrow"/>
        <family val="2"/>
        <scheme val="minor"/>
      </rPr>
      <t>31</t>
    </r>
  </si>
  <si>
    <t>605 m</t>
  </si>
  <si>
    <t>31.296°</t>
  </si>
  <si>
    <t>310.566°</t>
  </si>
  <si>
    <t>221.318°</t>
  </si>
  <si>
    <t>301.395°</t>
  </si>
  <si>
    <r>
      <t>1999 UJ</t>
    </r>
    <r>
      <rPr>
        <vertAlign val="subscript"/>
        <sz val="10"/>
        <color theme="1"/>
        <rFont val="Aptos Narrow"/>
        <family val="2"/>
        <scheme val="minor"/>
      </rPr>
      <t>7</t>
    </r>
  </si>
  <si>
    <t>16.75°</t>
  </si>
  <si>
    <t>48.358°</t>
  </si>
  <si>
    <t>347.377°</t>
  </si>
  <si>
    <t>229.928°</t>
  </si>
  <si>
    <r>
      <t>2007 NS</t>
    </r>
    <r>
      <rPr>
        <vertAlign val="subscript"/>
        <sz val="10"/>
        <color theme="1"/>
        <rFont val="Aptos Narrow"/>
        <family val="2"/>
        <scheme val="minor"/>
      </rPr>
      <t>2</t>
    </r>
  </si>
  <si>
    <t>400 m</t>
  </si>
  <si>
    <t>176.949°</t>
  </si>
  <si>
    <t>282.495°</t>
  </si>
  <si>
    <t>29.477°</t>
  </si>
  <si>
    <r>
      <t>2001 DH</t>
    </r>
    <r>
      <rPr>
        <vertAlign val="subscript"/>
        <sz val="10"/>
        <color theme="1"/>
        <rFont val="Aptos Narrow"/>
        <family val="2"/>
        <scheme val="minor"/>
      </rPr>
      <t>47</t>
    </r>
  </si>
  <si>
    <t>281 m</t>
  </si>
  <si>
    <t>24.402°</t>
  </si>
  <si>
    <t>17.549°</t>
  </si>
  <si>
    <t>147.422°</t>
  </si>
  <si>
    <t>322.371°</t>
  </si>
  <si>
    <t>840 AU</t>
  </si>
  <si>
    <t>338.2°</t>
  </si>
  <si>
    <t>328.7°</t>
  </si>
  <si>
    <t>1.3°</t>
  </si>
  <si>
    <t>252 AU</t>
  </si>
  <si>
    <t>10.98°</t>
  </si>
  <si>
    <t>198.74°</t>
  </si>
  <si>
    <t>72.1°</t>
  </si>
  <si>
    <t>356.56°</t>
  </si>
  <si>
    <t>Taowu</t>
  </si>
  <si>
    <t>Máni</t>
  </si>
  <si>
    <t>Aya</t>
  </si>
  <si>
    <t>Achlys</t>
  </si>
  <si>
    <t>Ritona</t>
  </si>
  <si>
    <t>S/2025 U (♅) 1</t>
  </si>
  <si>
    <t>56,250 km</t>
  </si>
  <si>
    <r>
      <t>2005 UQ</t>
    </r>
    <r>
      <rPr>
        <b/>
        <vertAlign val="subscript"/>
        <sz val="10"/>
        <color theme="1"/>
        <rFont val="Aptos Narrow"/>
        <family val="2"/>
        <scheme val="minor"/>
      </rPr>
      <t>513</t>
    </r>
  </si>
  <si>
    <r>
      <t>2010 RF</t>
    </r>
    <r>
      <rPr>
        <b/>
        <vertAlign val="subscript"/>
        <sz val="10"/>
        <color theme="1"/>
        <rFont val="Aptos Narrow"/>
        <family val="2"/>
        <scheme val="minor"/>
      </rPr>
      <t>43</t>
    </r>
  </si>
  <si>
    <r>
      <t>2014 EZ</t>
    </r>
    <r>
      <rPr>
        <b/>
        <vertAlign val="subscript"/>
        <sz val="10"/>
        <color theme="1"/>
        <rFont val="Aptos Narrow"/>
        <family val="2"/>
        <scheme val="minor"/>
      </rPr>
      <t>51</t>
    </r>
  </si>
  <si>
    <r>
      <t>2015 RR</t>
    </r>
    <r>
      <rPr>
        <b/>
        <vertAlign val="subscript"/>
        <sz val="10"/>
        <color theme="1"/>
        <rFont val="Aptos Narrow"/>
        <family val="2"/>
        <scheme val="minor"/>
      </rPr>
      <t>245</t>
    </r>
  </si>
  <si>
    <r>
      <t>2018 VG</t>
    </r>
    <r>
      <rPr>
        <b/>
        <vertAlign val="subscript"/>
        <sz val="10"/>
        <color theme="1"/>
        <rFont val="Aptos Narrow"/>
        <family val="2"/>
        <scheme val="minor"/>
      </rPr>
      <t>18</t>
    </r>
  </si>
  <si>
    <r>
      <t>2014 UZ</t>
    </r>
    <r>
      <rPr>
        <b/>
        <vertAlign val="subscript"/>
        <sz val="10"/>
        <color theme="1"/>
        <rFont val="Aptos Narrow"/>
        <family val="2"/>
        <scheme val="minor"/>
      </rPr>
      <t>224</t>
    </r>
  </si>
  <si>
    <r>
      <t>2012 VP</t>
    </r>
    <r>
      <rPr>
        <b/>
        <vertAlign val="subscript"/>
        <sz val="10"/>
        <color theme="1"/>
        <rFont val="Aptos Narrow"/>
        <family val="2"/>
        <scheme val="minor"/>
      </rPr>
      <t>113</t>
    </r>
  </si>
  <si>
    <t>Chiminigagua</t>
  </si>
  <si>
    <t>345 km</t>
  </si>
  <si>
    <t>285 km</t>
  </si>
  <si>
    <r>
      <t>2013 RF</t>
    </r>
    <r>
      <rPr>
        <vertAlign val="subscript"/>
        <sz val="10"/>
        <color theme="1"/>
        <rFont val="Aptos Narrow"/>
        <family val="2"/>
        <scheme val="minor"/>
      </rPr>
      <t>98</t>
    </r>
  </si>
  <si>
    <t>351 km</t>
  </si>
  <si>
    <r>
      <t>2010 KZ</t>
    </r>
    <r>
      <rPr>
        <b/>
        <vertAlign val="subscript"/>
        <sz val="10"/>
        <color theme="1"/>
        <rFont val="Aptos Narrow"/>
        <family val="2"/>
        <scheme val="minor"/>
      </rPr>
      <t>39</t>
    </r>
  </si>
  <si>
    <r>
      <t>2021 LL</t>
    </r>
    <r>
      <rPr>
        <b/>
        <vertAlign val="subscript"/>
        <sz val="10"/>
        <color theme="1"/>
        <rFont val="Aptos Narrow"/>
        <family val="2"/>
        <scheme val="minor"/>
      </rPr>
      <t>37</t>
    </r>
  </si>
  <si>
    <r>
      <t>2015 KH</t>
    </r>
    <r>
      <rPr>
        <b/>
        <vertAlign val="subscript"/>
        <sz val="10"/>
        <color theme="1"/>
        <rFont val="Aptos Narrow"/>
        <family val="2"/>
        <scheme val="minor"/>
      </rPr>
      <t>162</t>
    </r>
  </si>
  <si>
    <r>
      <t>2021 DR</t>
    </r>
    <r>
      <rPr>
        <b/>
        <vertAlign val="subscript"/>
        <sz val="10"/>
        <color theme="1"/>
        <rFont val="Aptos Narrow"/>
        <family val="2"/>
        <scheme val="minor"/>
      </rPr>
      <t>15</t>
    </r>
  </si>
  <si>
    <r>
      <t>2010 JO</t>
    </r>
    <r>
      <rPr>
        <b/>
        <vertAlign val="subscript"/>
        <sz val="10"/>
        <color theme="1"/>
        <rFont val="Aptos Narrow"/>
        <family val="2"/>
        <scheme val="minor"/>
      </rPr>
      <t>179</t>
    </r>
  </si>
  <si>
    <r>
      <t>2015 BP</t>
    </r>
    <r>
      <rPr>
        <b/>
        <vertAlign val="subscript"/>
        <sz val="10"/>
        <color theme="1"/>
        <rFont val="Aptos Narrow"/>
        <family val="2"/>
        <scheme val="minor"/>
      </rPr>
      <t>519</t>
    </r>
  </si>
  <si>
    <r>
      <t>2017 OF</t>
    </r>
    <r>
      <rPr>
        <b/>
        <vertAlign val="subscript"/>
        <sz val="10"/>
        <color theme="1"/>
        <rFont val="Aptos Narrow"/>
        <family val="2"/>
        <scheme val="minor"/>
      </rPr>
      <t>201</t>
    </r>
  </si>
  <si>
    <t>244 km</t>
  </si>
  <si>
    <t>276 km</t>
  </si>
  <si>
    <t>295 km</t>
  </si>
  <si>
    <t>279 km</t>
  </si>
  <si>
    <t>273 km</t>
  </si>
  <si>
    <t>271 km</t>
  </si>
  <si>
    <t>284 km</t>
  </si>
  <si>
    <t>254 km</t>
  </si>
  <si>
    <r>
      <t>2004 TY</t>
    </r>
    <r>
      <rPr>
        <b/>
        <vertAlign val="subscript"/>
        <sz val="10"/>
        <color theme="1"/>
        <rFont val="Aptos Narrow"/>
        <family val="2"/>
        <scheme val="minor"/>
      </rPr>
      <t>364</t>
    </r>
  </si>
  <si>
    <r>
      <t>2003 UZ</t>
    </r>
    <r>
      <rPr>
        <b/>
        <vertAlign val="subscript"/>
        <sz val="10"/>
        <color theme="1"/>
        <rFont val="Aptos Narrow"/>
        <family val="2"/>
        <scheme val="minor"/>
      </rPr>
      <t>413</t>
    </r>
  </si>
  <si>
    <r>
      <t>2002 XV</t>
    </r>
    <r>
      <rPr>
        <b/>
        <vertAlign val="subscript"/>
        <sz val="10"/>
        <color theme="1"/>
        <rFont val="Aptos Narrow"/>
        <family val="2"/>
        <scheme val="minor"/>
      </rPr>
      <t>93</t>
    </r>
  </si>
  <si>
    <r>
      <t>2003 VS</t>
    </r>
    <r>
      <rPr>
        <b/>
        <vertAlign val="subscript"/>
        <sz val="10"/>
        <color theme="1"/>
        <rFont val="Aptos Narrow"/>
        <family val="2"/>
        <scheme val="minor"/>
      </rPr>
      <t>2</t>
    </r>
  </si>
  <si>
    <r>
      <t>2007 JH</t>
    </r>
    <r>
      <rPr>
        <b/>
        <vertAlign val="subscript"/>
        <sz val="10"/>
        <color theme="1"/>
        <rFont val="Aptos Narrow"/>
        <family val="2"/>
        <scheme val="minor"/>
      </rPr>
      <t>43</t>
    </r>
  </si>
  <si>
    <r>
      <t>2017 OF</t>
    </r>
    <r>
      <rPr>
        <b/>
        <vertAlign val="subscript"/>
        <sz val="10"/>
        <color theme="1"/>
        <rFont val="Aptos Narrow"/>
        <family val="2"/>
        <scheme val="minor"/>
      </rPr>
      <t>69</t>
    </r>
  </si>
  <si>
    <r>
      <t>2013 XC</t>
    </r>
    <r>
      <rPr>
        <b/>
        <vertAlign val="subscript"/>
        <sz val="10"/>
        <color theme="1"/>
        <rFont val="Aptos Narrow"/>
        <family val="2"/>
        <scheme val="minor"/>
      </rPr>
      <t>26</t>
    </r>
  </si>
  <si>
    <r>
      <t>2014 WP</t>
    </r>
    <r>
      <rPr>
        <b/>
        <vertAlign val="subscript"/>
        <sz val="10"/>
        <color theme="1"/>
        <rFont val="Aptos Narrow"/>
        <family val="2"/>
        <scheme val="minor"/>
      </rPr>
      <t>509</t>
    </r>
  </si>
  <si>
    <r>
      <t>2007 XV</t>
    </r>
    <r>
      <rPr>
        <b/>
        <vertAlign val="subscript"/>
        <sz val="10"/>
        <color theme="1"/>
        <rFont val="Aptos Narrow"/>
        <family val="2"/>
        <scheme val="minor"/>
      </rPr>
      <t>50</t>
    </r>
  </si>
  <si>
    <r>
      <t>2014 YA</t>
    </r>
    <r>
      <rPr>
        <b/>
        <vertAlign val="subscript"/>
        <sz val="10"/>
        <color theme="1"/>
        <rFont val="Aptos Narrow"/>
        <family val="2"/>
        <scheme val="minor"/>
      </rPr>
      <t>50</t>
    </r>
  </si>
  <si>
    <r>
      <t>2004 XA</t>
    </r>
    <r>
      <rPr>
        <b/>
        <vertAlign val="subscript"/>
        <sz val="10"/>
        <color theme="1"/>
        <rFont val="Aptos Narrow"/>
        <family val="2"/>
        <scheme val="minor"/>
      </rPr>
      <t>192</t>
    </r>
  </si>
  <si>
    <r>
      <t>2007 JJ</t>
    </r>
    <r>
      <rPr>
        <b/>
        <vertAlign val="subscript"/>
        <sz val="10"/>
        <color theme="1"/>
        <rFont val="Aptos Narrow"/>
        <family val="2"/>
        <scheme val="minor"/>
      </rPr>
      <t>43</t>
    </r>
  </si>
  <si>
    <r>
      <t>2013 FZ</t>
    </r>
    <r>
      <rPr>
        <b/>
        <vertAlign val="subscript"/>
        <sz val="10"/>
        <color theme="1"/>
        <rFont val="Aptos Narrow"/>
        <family val="2"/>
        <scheme val="minor"/>
      </rPr>
      <t>27</t>
    </r>
  </si>
  <si>
    <r>
      <t>2014 WK</t>
    </r>
    <r>
      <rPr>
        <b/>
        <vertAlign val="subscript"/>
        <sz val="10"/>
        <color theme="1"/>
        <rFont val="Aptos Narrow"/>
        <family val="2"/>
        <scheme val="minor"/>
      </rPr>
      <t>509</t>
    </r>
  </si>
  <si>
    <r>
      <t>2002 TC</t>
    </r>
    <r>
      <rPr>
        <b/>
        <vertAlign val="subscript"/>
        <sz val="10"/>
        <color theme="1"/>
        <rFont val="Aptos Narrow"/>
        <family val="2"/>
        <scheme val="minor"/>
      </rPr>
      <t>302</t>
    </r>
  </si>
  <si>
    <r>
      <t>2014 AN</t>
    </r>
    <r>
      <rPr>
        <b/>
        <vertAlign val="subscript"/>
        <sz val="10"/>
        <color theme="1"/>
        <rFont val="Aptos Narrow"/>
        <family val="2"/>
        <scheme val="minor"/>
      </rPr>
      <t>55</t>
    </r>
  </si>
  <si>
    <r>
      <t>2004 XR</t>
    </r>
    <r>
      <rPr>
        <b/>
        <vertAlign val="subscript"/>
        <sz val="10"/>
        <color theme="1"/>
        <rFont val="Aptos Narrow"/>
        <family val="2"/>
        <scheme val="minor"/>
      </rPr>
      <t>190</t>
    </r>
  </si>
  <si>
    <r>
      <t>2010 RE</t>
    </r>
    <r>
      <rPr>
        <b/>
        <vertAlign val="subscript"/>
        <sz val="10"/>
        <color theme="1"/>
        <rFont val="Aptos Narrow"/>
        <family val="2"/>
        <scheme val="minor"/>
      </rPr>
      <t>64</t>
    </r>
  </si>
  <si>
    <r>
      <t>2008 OG</t>
    </r>
    <r>
      <rPr>
        <b/>
        <vertAlign val="subscript"/>
        <sz val="10"/>
        <color theme="1"/>
        <rFont val="Aptos Narrow"/>
        <family val="2"/>
        <scheme val="minor"/>
      </rPr>
      <t>19</t>
    </r>
  </si>
  <si>
    <r>
      <t>2014 FC</t>
    </r>
    <r>
      <rPr>
        <b/>
        <vertAlign val="subscript"/>
        <sz val="10"/>
        <color theme="1"/>
        <rFont val="Aptos Narrow"/>
        <family val="2"/>
        <scheme val="minor"/>
      </rPr>
      <t>69</t>
    </r>
  </si>
  <si>
    <r>
      <t>2014 FC</t>
    </r>
    <r>
      <rPr>
        <b/>
        <vertAlign val="subscript"/>
        <sz val="10"/>
        <color theme="1"/>
        <rFont val="Aptos Narrow"/>
        <family val="2"/>
        <scheme val="minor"/>
      </rPr>
      <t>72</t>
    </r>
  </si>
  <si>
    <r>
      <t>2008 ST</t>
    </r>
    <r>
      <rPr>
        <b/>
        <vertAlign val="subscript"/>
        <sz val="10"/>
        <color theme="1"/>
        <rFont val="Aptos Narrow"/>
        <family val="2"/>
        <scheme val="minor"/>
      </rPr>
      <t>291</t>
    </r>
  </si>
  <si>
    <r>
      <t>2020 MK</t>
    </r>
    <r>
      <rPr>
        <b/>
        <vertAlign val="subscript"/>
        <sz val="10"/>
        <color theme="1"/>
        <rFont val="Aptos Narrow"/>
        <family val="2"/>
        <scheme val="minor"/>
      </rPr>
      <t>53</t>
    </r>
  </si>
  <si>
    <r>
      <t>2018 AG</t>
    </r>
    <r>
      <rPr>
        <b/>
        <vertAlign val="subscript"/>
        <sz val="10"/>
        <color theme="1"/>
        <rFont val="Aptos Narrow"/>
        <family val="2"/>
        <scheme val="minor"/>
      </rPr>
      <t>37</t>
    </r>
  </si>
  <si>
    <t>214 km</t>
  </si>
  <si>
    <t>219 km</t>
  </si>
  <si>
    <t>218 km</t>
  </si>
  <si>
    <t>229 km</t>
  </si>
  <si>
    <t>226 km</t>
  </si>
  <si>
    <t>195 km</t>
  </si>
  <si>
    <t>258 km</t>
  </si>
  <si>
    <t>211 km</t>
  </si>
  <si>
    <t>224 km</t>
  </si>
  <si>
    <t>251 km</t>
  </si>
  <si>
    <t>236 km</t>
  </si>
  <si>
    <r>
      <t>1998 SN</t>
    </r>
    <r>
      <rPr>
        <b/>
        <vertAlign val="subscript"/>
        <sz val="10"/>
        <color theme="1"/>
        <rFont val="Aptos Narrow"/>
        <family val="2"/>
        <scheme val="minor"/>
      </rPr>
      <t>165</t>
    </r>
  </si>
  <si>
    <r>
      <t>2002 KX</t>
    </r>
    <r>
      <rPr>
        <b/>
        <vertAlign val="subscript"/>
        <sz val="10"/>
        <color theme="1"/>
        <rFont val="Aptos Narrow"/>
        <family val="2"/>
        <scheme val="minor"/>
      </rPr>
      <t>14</t>
    </r>
  </si>
  <si>
    <r>
      <t>2010 HE</t>
    </r>
    <r>
      <rPr>
        <b/>
        <vertAlign val="subscript"/>
        <sz val="10"/>
        <color theme="1"/>
        <rFont val="Aptos Narrow"/>
        <family val="2"/>
        <scheme val="minor"/>
      </rPr>
      <t>79</t>
    </r>
  </si>
  <si>
    <r>
      <t>2001 QF</t>
    </r>
    <r>
      <rPr>
        <b/>
        <vertAlign val="subscript"/>
        <sz val="10"/>
        <color theme="1"/>
        <rFont val="Aptos Narrow"/>
        <family val="2"/>
        <scheme val="minor"/>
      </rPr>
      <t>298</t>
    </r>
  </si>
  <si>
    <r>
      <t>2003 QX</t>
    </r>
    <r>
      <rPr>
        <b/>
        <vertAlign val="subscript"/>
        <sz val="10"/>
        <color theme="1"/>
        <rFont val="Aptos Narrow"/>
        <family val="2"/>
        <scheme val="minor"/>
      </rPr>
      <t>111</t>
    </r>
  </si>
  <si>
    <r>
      <t>2002 VR</t>
    </r>
    <r>
      <rPr>
        <b/>
        <vertAlign val="subscript"/>
        <sz val="10"/>
        <color theme="1"/>
        <rFont val="Aptos Narrow"/>
        <family val="2"/>
        <scheme val="minor"/>
      </rPr>
      <t>128</t>
    </r>
  </si>
  <si>
    <r>
      <t>2014 JP</t>
    </r>
    <r>
      <rPr>
        <b/>
        <vertAlign val="subscript"/>
        <sz val="10"/>
        <color theme="1"/>
        <rFont val="Aptos Narrow"/>
        <family val="2"/>
        <scheme val="minor"/>
      </rPr>
      <t>80</t>
    </r>
  </si>
  <si>
    <r>
      <t>2014 JR</t>
    </r>
    <r>
      <rPr>
        <b/>
        <vertAlign val="subscript"/>
        <sz val="10"/>
        <color theme="1"/>
        <rFont val="Aptos Narrow"/>
        <family val="2"/>
        <scheme val="minor"/>
      </rPr>
      <t>80</t>
    </r>
  </si>
  <si>
    <r>
      <t>2014 VU</t>
    </r>
    <r>
      <rPr>
        <b/>
        <vertAlign val="subscript"/>
        <sz val="10"/>
        <color theme="1"/>
        <rFont val="Aptos Narrow"/>
        <family val="2"/>
        <scheme val="minor"/>
      </rPr>
      <t>37</t>
    </r>
  </si>
  <si>
    <r>
      <t>2011 OA</t>
    </r>
    <r>
      <rPr>
        <b/>
        <vertAlign val="subscript"/>
        <sz val="10"/>
        <color theme="1"/>
        <rFont val="Aptos Narrow"/>
        <family val="2"/>
        <scheme val="minor"/>
      </rPr>
      <t>60</t>
    </r>
  </si>
  <si>
    <r>
      <t>2008 AP</t>
    </r>
    <r>
      <rPr>
        <b/>
        <vertAlign val="subscript"/>
        <sz val="10"/>
        <color theme="1"/>
        <rFont val="Aptos Narrow"/>
        <family val="2"/>
        <scheme val="minor"/>
      </rPr>
      <t>129</t>
    </r>
  </si>
  <si>
    <r>
      <t>2015 AN</t>
    </r>
    <r>
      <rPr>
        <b/>
        <vertAlign val="subscript"/>
        <sz val="10"/>
        <color theme="1"/>
        <rFont val="Aptos Narrow"/>
        <family val="2"/>
        <scheme val="minor"/>
      </rPr>
      <t>281</t>
    </r>
  </si>
  <si>
    <r>
      <t>2010 OO</t>
    </r>
    <r>
      <rPr>
        <b/>
        <vertAlign val="subscript"/>
        <sz val="10"/>
        <color theme="1"/>
        <rFont val="Aptos Narrow"/>
        <family val="2"/>
        <scheme val="minor"/>
      </rPr>
      <t>127</t>
    </r>
  </si>
  <si>
    <r>
      <t>2015 FG</t>
    </r>
    <r>
      <rPr>
        <b/>
        <vertAlign val="subscript"/>
        <sz val="10"/>
        <color theme="1"/>
        <rFont val="Aptos Narrow"/>
        <family val="2"/>
        <scheme val="minor"/>
      </rPr>
      <t>345</t>
    </r>
  </si>
  <si>
    <r>
      <t>2014 BZ</t>
    </r>
    <r>
      <rPr>
        <b/>
        <vertAlign val="subscript"/>
        <sz val="10"/>
        <color theme="1"/>
        <rFont val="Aptos Narrow"/>
        <family val="2"/>
        <scheme val="minor"/>
      </rPr>
      <t>57</t>
    </r>
  </si>
  <si>
    <r>
      <t>2014 UM</t>
    </r>
    <r>
      <rPr>
        <b/>
        <vertAlign val="subscript"/>
        <sz val="10"/>
        <color theme="1"/>
        <rFont val="Aptos Narrow"/>
        <family val="2"/>
        <scheme val="minor"/>
      </rPr>
      <t>33</t>
    </r>
  </si>
  <si>
    <r>
      <t>2014 XR</t>
    </r>
    <r>
      <rPr>
        <b/>
        <vertAlign val="subscript"/>
        <sz val="10"/>
        <color theme="1"/>
        <rFont val="Aptos Narrow"/>
        <family val="2"/>
        <scheme val="minor"/>
      </rPr>
      <t>40</t>
    </r>
  </si>
  <si>
    <r>
      <t>2010 VK</t>
    </r>
    <r>
      <rPr>
        <b/>
        <vertAlign val="subscript"/>
        <sz val="10"/>
        <color theme="1"/>
        <rFont val="Aptos Narrow"/>
        <family val="2"/>
        <scheme val="minor"/>
      </rPr>
      <t>201</t>
    </r>
  </si>
  <si>
    <r>
      <t>2015 AJ</t>
    </r>
    <r>
      <rPr>
        <b/>
        <vertAlign val="subscript"/>
        <sz val="10"/>
        <color theme="1"/>
        <rFont val="Aptos Narrow"/>
        <family val="2"/>
        <scheme val="minor"/>
      </rPr>
      <t>281</t>
    </r>
  </si>
  <si>
    <r>
      <t>2014 HZ</t>
    </r>
    <r>
      <rPr>
        <b/>
        <vertAlign val="subscript"/>
        <sz val="10"/>
        <color theme="1"/>
        <rFont val="Aptos Narrow"/>
        <family val="2"/>
        <scheme val="minor"/>
      </rPr>
      <t>199</t>
    </r>
  </si>
  <si>
    <r>
      <t>2004 NT</t>
    </r>
    <r>
      <rPr>
        <b/>
        <vertAlign val="subscript"/>
        <sz val="10"/>
        <color theme="1"/>
        <rFont val="Aptos Narrow"/>
        <family val="2"/>
        <scheme val="minor"/>
      </rPr>
      <t>33</t>
    </r>
  </si>
  <si>
    <r>
      <t>2011 GM</t>
    </r>
    <r>
      <rPr>
        <b/>
        <vertAlign val="subscript"/>
        <sz val="10"/>
        <color theme="1"/>
        <rFont val="Aptos Narrow"/>
        <family val="2"/>
        <scheme val="minor"/>
      </rPr>
      <t>27</t>
    </r>
  </si>
  <si>
    <r>
      <t>2014 TZ</t>
    </r>
    <r>
      <rPr>
        <b/>
        <vertAlign val="subscript"/>
        <sz val="10"/>
        <color theme="1"/>
        <rFont val="Aptos Narrow"/>
        <family val="2"/>
        <scheme val="minor"/>
      </rPr>
      <t>85</t>
    </r>
  </si>
  <si>
    <r>
      <t>2003 QW</t>
    </r>
    <r>
      <rPr>
        <b/>
        <vertAlign val="subscript"/>
        <sz val="10"/>
        <color theme="1"/>
        <rFont val="Aptos Narrow"/>
        <family val="2"/>
        <scheme val="minor"/>
      </rPr>
      <t>90</t>
    </r>
  </si>
  <si>
    <r>
      <t>2014 FT</t>
    </r>
    <r>
      <rPr>
        <b/>
        <vertAlign val="subscript"/>
        <sz val="10"/>
        <color theme="1"/>
        <rFont val="Aptos Narrow"/>
        <family val="2"/>
        <scheme val="minor"/>
      </rPr>
      <t>71</t>
    </r>
  </si>
  <si>
    <r>
      <t>2014 WH</t>
    </r>
    <r>
      <rPr>
        <b/>
        <vertAlign val="subscript"/>
        <sz val="10"/>
        <color theme="1"/>
        <rFont val="Aptos Narrow"/>
        <family val="2"/>
        <scheme val="minor"/>
      </rPr>
      <t>509</t>
    </r>
  </si>
  <si>
    <r>
      <t>2014 QW</t>
    </r>
    <r>
      <rPr>
        <b/>
        <vertAlign val="subscript"/>
        <sz val="10"/>
        <color theme="1"/>
        <rFont val="Aptos Narrow"/>
        <family val="2"/>
        <scheme val="minor"/>
      </rPr>
      <t>441</t>
    </r>
  </si>
  <si>
    <r>
      <t>2014 BV</t>
    </r>
    <r>
      <rPr>
        <b/>
        <vertAlign val="subscript"/>
        <sz val="10"/>
        <color theme="1"/>
        <rFont val="Aptos Narrow"/>
        <family val="2"/>
        <scheme val="minor"/>
      </rPr>
      <t>64</t>
    </r>
  </si>
  <si>
    <r>
      <t>2013 JW</t>
    </r>
    <r>
      <rPr>
        <b/>
        <vertAlign val="subscript"/>
        <sz val="10"/>
        <color theme="1"/>
        <rFont val="Aptos Narrow"/>
        <family val="2"/>
        <scheme val="minor"/>
      </rPr>
      <t>63</t>
    </r>
  </si>
  <si>
    <r>
      <t>2014 US</t>
    </r>
    <r>
      <rPr>
        <b/>
        <vertAlign val="subscript"/>
        <sz val="10"/>
        <color theme="1"/>
        <rFont val="Aptos Narrow"/>
        <family val="2"/>
        <scheme val="minor"/>
      </rPr>
      <t>224</t>
    </r>
  </si>
  <si>
    <r>
      <t>2010 RO</t>
    </r>
    <r>
      <rPr>
        <b/>
        <vertAlign val="subscript"/>
        <sz val="10"/>
        <color theme="1"/>
        <rFont val="Aptos Narrow"/>
        <family val="2"/>
        <scheme val="minor"/>
      </rPr>
      <t>64</t>
    </r>
  </si>
  <si>
    <r>
      <t>2012 VB</t>
    </r>
    <r>
      <rPr>
        <b/>
        <vertAlign val="subscript"/>
        <sz val="10"/>
        <color theme="1"/>
        <rFont val="Aptos Narrow"/>
        <family val="2"/>
        <scheme val="minor"/>
      </rPr>
      <t>116</t>
    </r>
  </si>
  <si>
    <r>
      <t>2014 AM</t>
    </r>
    <r>
      <rPr>
        <b/>
        <vertAlign val="subscript"/>
        <sz val="10"/>
        <color theme="1"/>
        <rFont val="Aptos Narrow"/>
        <family val="2"/>
        <scheme val="minor"/>
      </rPr>
      <t>55</t>
    </r>
  </si>
  <si>
    <r>
      <t>2010 FX</t>
    </r>
    <r>
      <rPr>
        <b/>
        <vertAlign val="subscript"/>
        <sz val="10"/>
        <color theme="1"/>
        <rFont val="Aptos Narrow"/>
        <family val="2"/>
        <scheme val="minor"/>
      </rPr>
      <t>86</t>
    </r>
  </si>
  <si>
    <r>
      <t>2014 XY</t>
    </r>
    <r>
      <rPr>
        <b/>
        <vertAlign val="subscript"/>
        <sz val="10"/>
        <color theme="1"/>
        <rFont val="Aptos Narrow"/>
        <family val="2"/>
        <scheme val="minor"/>
      </rPr>
      <t>40</t>
    </r>
  </si>
  <si>
    <r>
      <t>2015 BZ</t>
    </r>
    <r>
      <rPr>
        <b/>
        <vertAlign val="subscript"/>
        <sz val="10"/>
        <color theme="1"/>
        <rFont val="Aptos Narrow"/>
        <family val="2"/>
        <scheme val="minor"/>
      </rPr>
      <t>518</t>
    </r>
  </si>
  <si>
    <r>
      <t>2001 KA</t>
    </r>
    <r>
      <rPr>
        <b/>
        <vertAlign val="subscript"/>
        <sz val="10"/>
        <color theme="1"/>
        <rFont val="Aptos Narrow"/>
        <family val="2"/>
        <scheme val="minor"/>
      </rPr>
      <t>77</t>
    </r>
  </si>
  <si>
    <r>
      <t>2014 DN</t>
    </r>
    <r>
      <rPr>
        <b/>
        <vertAlign val="subscript"/>
        <sz val="10"/>
        <color theme="1"/>
        <rFont val="Aptos Narrow"/>
        <family val="2"/>
        <scheme val="minor"/>
      </rPr>
      <t>143</t>
    </r>
  </si>
  <si>
    <r>
      <t>2013 HV</t>
    </r>
    <r>
      <rPr>
        <b/>
        <vertAlign val="subscript"/>
        <sz val="10"/>
        <color theme="1"/>
        <rFont val="Aptos Narrow"/>
        <family val="2"/>
        <scheme val="minor"/>
      </rPr>
      <t>156</t>
    </r>
  </si>
  <si>
    <r>
      <t>2003 FY</t>
    </r>
    <r>
      <rPr>
        <b/>
        <vertAlign val="subscript"/>
        <sz val="10"/>
        <color theme="1"/>
        <rFont val="Aptos Narrow"/>
        <family val="2"/>
        <scheme val="minor"/>
      </rPr>
      <t>128</t>
    </r>
  </si>
  <si>
    <r>
      <t>2003 QX</t>
    </r>
    <r>
      <rPr>
        <b/>
        <vertAlign val="subscript"/>
        <sz val="10"/>
        <color theme="1"/>
        <rFont val="Aptos Narrow"/>
        <family val="2"/>
        <scheme val="minor"/>
      </rPr>
      <t>113</t>
    </r>
  </si>
  <si>
    <r>
      <t>2014 OJ</t>
    </r>
    <r>
      <rPr>
        <b/>
        <vertAlign val="subscript"/>
        <sz val="10"/>
        <color theme="1"/>
        <rFont val="Aptos Narrow"/>
        <family val="2"/>
        <scheme val="minor"/>
      </rPr>
      <t>394</t>
    </r>
  </si>
  <si>
    <r>
      <t>2015 AM</t>
    </r>
    <r>
      <rPr>
        <b/>
        <vertAlign val="subscript"/>
        <sz val="10"/>
        <color theme="1"/>
        <rFont val="Aptos Narrow"/>
        <family val="2"/>
        <scheme val="minor"/>
      </rPr>
      <t>281</t>
    </r>
  </si>
  <si>
    <r>
      <t>2010 DN</t>
    </r>
    <r>
      <rPr>
        <b/>
        <vertAlign val="subscript"/>
        <sz val="10"/>
        <color theme="1"/>
        <rFont val="Aptos Narrow"/>
        <family val="2"/>
        <scheme val="minor"/>
      </rPr>
      <t>93</t>
    </r>
  </si>
  <si>
    <r>
      <t>1999 DE</t>
    </r>
    <r>
      <rPr>
        <b/>
        <vertAlign val="subscript"/>
        <sz val="10"/>
        <color theme="1"/>
        <rFont val="Aptos Narrow"/>
        <family val="2"/>
        <scheme val="minor"/>
      </rPr>
      <t>9</t>
    </r>
  </si>
  <si>
    <r>
      <t>2014 HA</t>
    </r>
    <r>
      <rPr>
        <b/>
        <vertAlign val="subscript"/>
        <sz val="10"/>
        <color theme="1"/>
        <rFont val="Aptos Narrow"/>
        <family val="2"/>
        <scheme val="minor"/>
      </rPr>
      <t>200</t>
    </r>
  </si>
  <si>
    <r>
      <t>2017 FO</t>
    </r>
    <r>
      <rPr>
        <b/>
        <vertAlign val="subscript"/>
        <sz val="10"/>
        <color theme="1"/>
        <rFont val="Aptos Narrow"/>
        <family val="2"/>
        <scheme val="minor"/>
      </rPr>
      <t>161</t>
    </r>
  </si>
  <si>
    <r>
      <t>2013 AT</t>
    </r>
    <r>
      <rPr>
        <b/>
        <vertAlign val="subscript"/>
        <sz val="10"/>
        <color theme="1"/>
        <rFont val="Aptos Narrow"/>
        <family val="2"/>
        <scheme val="minor"/>
      </rPr>
      <t>183</t>
    </r>
  </si>
  <si>
    <r>
      <t>2014 SV</t>
    </r>
    <r>
      <rPr>
        <b/>
        <vertAlign val="subscript"/>
        <sz val="10"/>
        <color theme="1"/>
        <rFont val="Aptos Narrow"/>
        <family val="2"/>
        <scheme val="minor"/>
      </rPr>
      <t>349</t>
    </r>
  </si>
  <si>
    <r>
      <t>2010 ET</t>
    </r>
    <r>
      <rPr>
        <b/>
        <vertAlign val="subscript"/>
        <sz val="10"/>
        <color theme="1"/>
        <rFont val="Aptos Narrow"/>
        <family val="2"/>
        <scheme val="minor"/>
      </rPr>
      <t>65</t>
    </r>
  </si>
  <si>
    <r>
      <t>2006 QH</t>
    </r>
    <r>
      <rPr>
        <b/>
        <vertAlign val="subscript"/>
        <sz val="10"/>
        <color theme="1"/>
        <rFont val="Aptos Narrow"/>
        <family val="2"/>
        <scheme val="minor"/>
      </rPr>
      <t>181</t>
    </r>
  </si>
  <si>
    <r>
      <t>2020 FY</t>
    </r>
    <r>
      <rPr>
        <b/>
        <vertAlign val="subscript"/>
        <sz val="10"/>
        <color theme="1"/>
        <rFont val="Aptos Narrow"/>
        <family val="2"/>
        <scheme val="minor"/>
      </rPr>
      <t>30</t>
    </r>
  </si>
  <si>
    <r>
      <t>2005 TB</t>
    </r>
    <r>
      <rPr>
        <b/>
        <vertAlign val="subscript"/>
        <sz val="10"/>
        <color theme="1"/>
        <rFont val="Aptos Narrow"/>
        <family val="2"/>
        <scheme val="minor"/>
      </rPr>
      <t>190</t>
    </r>
  </si>
  <si>
    <r>
      <t>2003 UA</t>
    </r>
    <r>
      <rPr>
        <b/>
        <vertAlign val="subscript"/>
        <sz val="10"/>
        <color theme="1"/>
        <rFont val="Aptos Narrow"/>
        <family val="2"/>
        <scheme val="minor"/>
      </rPr>
      <t>414</t>
    </r>
  </si>
  <si>
    <r>
      <t>2004 PG</t>
    </r>
    <r>
      <rPr>
        <b/>
        <vertAlign val="subscript"/>
        <sz val="10"/>
        <color theme="1"/>
        <rFont val="Aptos Narrow"/>
        <family val="2"/>
        <scheme val="minor"/>
      </rPr>
      <t>115</t>
    </r>
  </si>
  <si>
    <r>
      <t>1996 GQ</t>
    </r>
    <r>
      <rPr>
        <b/>
        <vertAlign val="subscript"/>
        <sz val="10"/>
        <color theme="1"/>
        <rFont val="Aptos Narrow"/>
        <family val="2"/>
        <scheme val="minor"/>
      </rPr>
      <t>21</t>
    </r>
  </si>
  <si>
    <r>
      <t>2011 WJ</t>
    </r>
    <r>
      <rPr>
        <b/>
        <vertAlign val="subscript"/>
        <sz val="10"/>
        <color theme="1"/>
        <rFont val="Aptos Narrow"/>
        <family val="2"/>
        <scheme val="minor"/>
      </rPr>
      <t>157</t>
    </r>
  </si>
  <si>
    <r>
      <t>2014 US</t>
    </r>
    <r>
      <rPr>
        <b/>
        <vertAlign val="subscript"/>
        <sz val="10"/>
        <color theme="1"/>
        <rFont val="Aptos Narrow"/>
        <family val="2"/>
        <scheme val="minor"/>
      </rPr>
      <t>277</t>
    </r>
  </si>
  <si>
    <r>
      <t>2005 QU</t>
    </r>
    <r>
      <rPr>
        <b/>
        <vertAlign val="subscript"/>
        <sz val="10"/>
        <color theme="1"/>
        <rFont val="Aptos Narrow"/>
        <family val="2"/>
        <scheme val="minor"/>
      </rPr>
      <t>182</t>
    </r>
  </si>
  <si>
    <r>
      <t>2013 FS</t>
    </r>
    <r>
      <rPr>
        <b/>
        <vertAlign val="subscript"/>
        <sz val="10"/>
        <color theme="1"/>
        <rFont val="Aptos Narrow"/>
        <family val="2"/>
        <scheme val="minor"/>
      </rPr>
      <t>28</t>
    </r>
  </si>
  <si>
    <r>
      <t>2010 VZ</t>
    </r>
    <r>
      <rPr>
        <b/>
        <vertAlign val="subscript"/>
        <sz val="10"/>
        <color theme="1"/>
        <rFont val="Aptos Narrow"/>
        <family val="2"/>
        <scheme val="minor"/>
      </rPr>
      <t>98</t>
    </r>
  </si>
  <si>
    <r>
      <t>2001 UR</t>
    </r>
    <r>
      <rPr>
        <b/>
        <vertAlign val="subscript"/>
        <sz val="10"/>
        <color theme="1"/>
        <rFont val="Aptos Narrow"/>
        <family val="2"/>
        <scheme val="minor"/>
      </rPr>
      <t>163</t>
    </r>
  </si>
  <si>
    <r>
      <t>2002 WC</t>
    </r>
    <r>
      <rPr>
        <b/>
        <vertAlign val="subscript"/>
        <sz val="10"/>
        <color theme="1"/>
        <rFont val="Aptos Narrow"/>
        <family val="2"/>
        <scheme val="minor"/>
      </rPr>
      <t>19</t>
    </r>
  </si>
  <si>
    <r>
      <t>2000 YW</t>
    </r>
    <r>
      <rPr>
        <b/>
        <vertAlign val="subscript"/>
        <sz val="10"/>
        <color theme="1"/>
        <rFont val="Aptos Narrow"/>
        <family val="2"/>
        <scheme val="minor"/>
      </rPr>
      <t>134</t>
    </r>
  </si>
  <si>
    <r>
      <t>2008 CT</t>
    </r>
    <r>
      <rPr>
        <b/>
        <vertAlign val="subscript"/>
        <sz val="10"/>
        <color theme="1"/>
        <rFont val="Aptos Narrow"/>
        <family val="2"/>
        <scheme val="minor"/>
      </rPr>
      <t>190</t>
    </r>
  </si>
  <si>
    <r>
      <t>2000 QL</t>
    </r>
    <r>
      <rPr>
        <b/>
        <vertAlign val="subscript"/>
        <sz val="10"/>
        <color theme="1"/>
        <rFont val="Aptos Narrow"/>
        <family val="2"/>
        <scheme val="minor"/>
      </rPr>
      <t>251</t>
    </r>
  </si>
  <si>
    <r>
      <t>1998 SM</t>
    </r>
    <r>
      <rPr>
        <b/>
        <vertAlign val="subscript"/>
        <sz val="10"/>
        <color theme="1"/>
        <rFont val="Aptos Narrow"/>
        <family val="2"/>
        <scheme val="minor"/>
      </rPr>
      <t>165</t>
    </r>
  </si>
  <si>
    <r>
      <t>2001 QC</t>
    </r>
    <r>
      <rPr>
        <b/>
        <vertAlign val="subscript"/>
        <sz val="10"/>
        <color theme="1"/>
        <rFont val="Aptos Narrow"/>
        <family val="2"/>
        <scheme val="minor"/>
      </rPr>
      <t>298</t>
    </r>
  </si>
  <si>
    <r>
      <t>2003 QA</t>
    </r>
    <r>
      <rPr>
        <b/>
        <vertAlign val="subscript"/>
        <sz val="10"/>
        <color theme="1"/>
        <rFont val="Aptos Narrow"/>
        <family val="2"/>
        <scheme val="minor"/>
      </rPr>
      <t>91</t>
    </r>
  </si>
  <si>
    <r>
      <t>2014 UQ</t>
    </r>
    <r>
      <rPr>
        <b/>
        <vertAlign val="subscript"/>
        <sz val="10"/>
        <color theme="1"/>
        <rFont val="Aptos Narrow"/>
        <family val="2"/>
        <scheme val="minor"/>
      </rPr>
      <t>224</t>
    </r>
  </si>
  <si>
    <r>
      <t>2002 XH</t>
    </r>
    <r>
      <rPr>
        <b/>
        <vertAlign val="subscript"/>
        <sz val="10"/>
        <color theme="1"/>
        <rFont val="Aptos Narrow"/>
        <family val="2"/>
        <scheme val="minor"/>
      </rPr>
      <t>91</t>
    </r>
  </si>
  <si>
    <r>
      <t>2001 QY</t>
    </r>
    <r>
      <rPr>
        <b/>
        <vertAlign val="subscript"/>
        <sz val="10"/>
        <color theme="1"/>
        <rFont val="Aptos Narrow"/>
        <family val="2"/>
        <scheme val="minor"/>
      </rPr>
      <t>297</t>
    </r>
  </si>
  <si>
    <r>
      <t>1999 XY</t>
    </r>
    <r>
      <rPr>
        <b/>
        <vertAlign val="subscript"/>
        <sz val="10"/>
        <color theme="1"/>
        <rFont val="Aptos Narrow"/>
        <family val="2"/>
        <scheme val="minor"/>
      </rPr>
      <t>143</t>
    </r>
  </si>
  <si>
    <r>
      <t>2001 XR</t>
    </r>
    <r>
      <rPr>
        <b/>
        <vertAlign val="subscript"/>
        <sz val="10"/>
        <color theme="1"/>
        <rFont val="Aptos Narrow"/>
        <family val="2"/>
        <scheme val="minor"/>
      </rPr>
      <t>254</t>
    </r>
  </si>
  <si>
    <t>S/2014 (525816) 1</t>
  </si>
  <si>
    <t>10,275 km</t>
  </si>
  <si>
    <t>MERCURY</t>
  </si>
  <si>
    <t>VENUS</t>
  </si>
  <si>
    <t>EARTH</t>
  </si>
  <si>
    <t>NEAR EARTH OBJECTS</t>
  </si>
  <si>
    <t>MARS</t>
  </si>
  <si>
    <t>ASTEROID BELT</t>
  </si>
  <si>
    <t>JUPITER</t>
  </si>
  <si>
    <t>JUPITER TROJANS</t>
  </si>
  <si>
    <t>SATURN</t>
  </si>
  <si>
    <t>CENTAURS</t>
  </si>
  <si>
    <t>URANUS</t>
  </si>
  <si>
    <t>NEPTUNE</t>
  </si>
  <si>
    <t>DWARF PLANETS</t>
  </si>
  <si>
    <t>KUIPER BELT</t>
  </si>
  <si>
    <t>SCATTERED DISC</t>
  </si>
  <si>
    <t>#A9A9A9</t>
  </si>
  <si>
    <t>#D3D3D3</t>
  </si>
  <si>
    <t>#FFC966</t>
  </si>
  <si>
    <t>#FFE0B3</t>
  </si>
  <si>
    <t>#4DA6FF</t>
  </si>
  <si>
    <t>#B3D9FF</t>
  </si>
  <si>
    <t>#FF6666</t>
  </si>
  <si>
    <t>#FFB3B3</t>
  </si>
  <si>
    <t>#FF9933</t>
  </si>
  <si>
    <t>#FFCC99</t>
  </si>
  <si>
    <t>#CCCC99</t>
  </si>
  <si>
    <t>#E6E6CC</t>
  </si>
  <si>
    <t>#FF9966</t>
  </si>
  <si>
    <t>#FFCCB3</t>
  </si>
  <si>
    <t>#FFCC66</t>
  </si>
  <si>
    <t>#FFE6B3</t>
  </si>
  <si>
    <t>#FFD966</t>
  </si>
  <si>
    <t>#FFF2B3</t>
  </si>
  <si>
    <t>#99CC99</t>
  </si>
  <si>
    <t>#CCE6CC</t>
  </si>
  <si>
    <t>#66CCCC</t>
  </si>
  <si>
    <t>#B3E6E6</t>
  </si>
  <si>
    <t>#3366FF</t>
  </si>
  <si>
    <t>#99B3FF</t>
  </si>
  <si>
    <t>#9966CC</t>
  </si>
  <si>
    <t>#CCB3E6</t>
  </si>
  <si>
    <t>#66CCFF</t>
  </si>
  <si>
    <t>#B3E6FF</t>
  </si>
  <si>
    <t>#FF66CC</t>
  </si>
  <si>
    <t>#FFB3E6</t>
  </si>
  <si>
    <t>#999999</t>
  </si>
  <si>
    <t>#CCCCCC</t>
  </si>
  <si>
    <r>
      <t>2004 PF</t>
    </r>
    <r>
      <rPr>
        <b/>
        <vertAlign val="subscript"/>
        <sz val="10"/>
        <color theme="1"/>
        <rFont val="Aptos Narrow"/>
        <family val="2"/>
        <scheme val="minor"/>
      </rPr>
      <t>115</t>
    </r>
  </si>
  <si>
    <r>
      <t>2014 OE</t>
    </r>
    <r>
      <rPr>
        <b/>
        <vertAlign val="subscript"/>
        <sz val="10"/>
        <color theme="1"/>
        <rFont val="Aptos Narrow"/>
        <family val="2"/>
        <scheme val="minor"/>
      </rPr>
      <t>394</t>
    </r>
  </si>
  <si>
    <r>
      <t>2005 CA</t>
    </r>
    <r>
      <rPr>
        <b/>
        <vertAlign val="subscript"/>
        <sz val="10"/>
        <color theme="1"/>
        <rFont val="Aptos Narrow"/>
        <family val="2"/>
        <scheme val="minor"/>
      </rPr>
      <t>79</t>
    </r>
  </si>
  <si>
    <r>
      <t>1995 TL</t>
    </r>
    <r>
      <rPr>
        <b/>
        <vertAlign val="subscript"/>
        <sz val="10"/>
        <color theme="1"/>
        <rFont val="Aptos Narrow"/>
        <family val="2"/>
        <scheme val="minor"/>
      </rPr>
      <t>8</t>
    </r>
  </si>
  <si>
    <r>
      <t>2010 ER</t>
    </r>
    <r>
      <rPr>
        <b/>
        <vertAlign val="subscript"/>
        <sz val="10"/>
        <color theme="1"/>
        <rFont val="Aptos Narrow"/>
        <family val="2"/>
        <scheme val="minor"/>
      </rPr>
      <t>65</t>
    </r>
  </si>
  <si>
    <r>
      <t>2015 RX</t>
    </r>
    <r>
      <rPr>
        <b/>
        <vertAlign val="subscript"/>
        <sz val="10"/>
        <color theme="1"/>
        <rFont val="Aptos Narrow"/>
        <family val="2"/>
        <scheme val="minor"/>
      </rPr>
      <t>245</t>
    </r>
  </si>
  <si>
    <r>
      <t>2013 SY</t>
    </r>
    <r>
      <rPr>
        <b/>
        <vertAlign val="subscript"/>
        <sz val="10"/>
        <color theme="1"/>
        <rFont val="Aptos Narrow"/>
        <family val="2"/>
        <scheme val="minor"/>
      </rPr>
      <t>99</t>
    </r>
  </si>
  <si>
    <r>
      <t>2014 FE</t>
    </r>
    <r>
      <rPr>
        <b/>
        <vertAlign val="subscript"/>
        <sz val="10"/>
        <color theme="1"/>
        <rFont val="Aptos Narrow"/>
        <family val="2"/>
        <scheme val="minor"/>
      </rPr>
      <t>72</t>
    </r>
  </si>
  <si>
    <r>
      <t>2010 GB</t>
    </r>
    <r>
      <rPr>
        <b/>
        <vertAlign val="subscript"/>
        <sz val="10"/>
        <color theme="1"/>
        <rFont val="Aptos Narrow"/>
        <family val="2"/>
        <scheme val="minor"/>
      </rPr>
      <t>174</t>
    </r>
  </si>
  <si>
    <r>
      <t>2007 TG</t>
    </r>
    <r>
      <rPr>
        <b/>
        <vertAlign val="subscript"/>
        <sz val="10"/>
        <color theme="1"/>
        <rFont val="Aptos Narrow"/>
        <family val="2"/>
        <scheme val="minor"/>
      </rPr>
      <t>422</t>
    </r>
  </si>
  <si>
    <r>
      <t>2014 YZ</t>
    </r>
    <r>
      <rPr>
        <b/>
        <vertAlign val="subscript"/>
        <sz val="10"/>
        <color theme="1"/>
        <rFont val="Aptos Narrow"/>
        <family val="2"/>
        <scheme val="minor"/>
      </rPr>
      <t>49</t>
    </r>
  </si>
  <si>
    <r>
      <t>2002 CY</t>
    </r>
    <r>
      <rPr>
        <b/>
        <vertAlign val="subscript"/>
        <sz val="10"/>
        <color theme="1"/>
        <rFont val="Aptos Narrow"/>
        <family val="2"/>
        <scheme val="minor"/>
      </rPr>
      <t>248</t>
    </r>
  </si>
  <si>
    <t>S/2023 S (♄) 1</t>
  </si>
  <si>
    <t>11,205,400 km</t>
  </si>
  <si>
    <t>48.8°</t>
  </si>
  <si>
    <t>S/2004 S (♄) 54</t>
  </si>
  <si>
    <t>S/2004 S (♄) 55</t>
  </si>
  <si>
    <t>S/2020 S (♄) 11</t>
  </si>
  <si>
    <t>S/2019 S (♄) 22</t>
  </si>
  <si>
    <t>11,277,500 km</t>
  </si>
  <si>
    <t>11,294,700 km</t>
  </si>
  <si>
    <t>11,295,600 km</t>
  </si>
  <si>
    <t>11,305,100 km</t>
  </si>
  <si>
    <t>48.1°</t>
  </si>
  <si>
    <t>48.9°</t>
  </si>
  <si>
    <t>47.3°</t>
  </si>
  <si>
    <t>S/2023 S (♄) 2</t>
  </si>
  <si>
    <t>S/2019 S (♄) 23</t>
  </si>
  <si>
    <t>S/2020 S (♄) 12</t>
  </si>
  <si>
    <t>11,309,900 km</t>
  </si>
  <si>
    <t>11,310,200 km</t>
  </si>
  <si>
    <t>11,314,500 km</t>
  </si>
  <si>
    <t>48.7°</t>
  </si>
  <si>
    <t>S/2019 S (♄) 25</t>
  </si>
  <si>
    <t>11,329,400 km</t>
  </si>
  <si>
    <t>S/2019 S (♄) 24</t>
  </si>
  <si>
    <t>S/2007 S (♄) 10</t>
  </si>
  <si>
    <t>S/2019 S (♄) 26</t>
  </si>
  <si>
    <t>S/2020 S (♄) 13</t>
  </si>
  <si>
    <t>S/2023 S (♄) 50</t>
  </si>
  <si>
    <t>S/2023 S (♄) 6</t>
  </si>
  <si>
    <t>S/2023 S (♄) 7</t>
  </si>
  <si>
    <t>S/2023 S (♄) 38</t>
  </si>
  <si>
    <t>11,360,500 km</t>
  </si>
  <si>
    <t>11,364,900 km</t>
  </si>
  <si>
    <t>11,390,900 km</t>
  </si>
  <si>
    <t>11,415,600 km</t>
  </si>
  <si>
    <t>11,656,500 km</t>
  </si>
  <si>
    <t>11,953,100 km</t>
  </si>
  <si>
    <t>12,133,700 km</t>
  </si>
  <si>
    <t>12,823,500 km</t>
  </si>
  <si>
    <t>49.2°</t>
  </si>
  <si>
    <t>45.8°</t>
  </si>
  <si>
    <t>166.1°</t>
  </si>
  <si>
    <t>47.4°</t>
  </si>
  <si>
    <t>149.2°</t>
  </si>
  <si>
    <t>S/2023 S (♄) 9</t>
  </si>
  <si>
    <t>13,167,500 km</t>
  </si>
  <si>
    <t>172.2°</t>
  </si>
  <si>
    <t>S/2004 S (♄) 56</t>
  </si>
  <si>
    <t>S/2023 S (♄) 8</t>
  </si>
  <si>
    <t>S/2023 S (♄) 11</t>
  </si>
  <si>
    <t>13,670,200 km</t>
  </si>
  <si>
    <t>14,018,800 km</t>
  </si>
  <si>
    <t>14,046,100 km</t>
  </si>
  <si>
    <t>170.9°</t>
  </si>
  <si>
    <t>S/2006 S (♄) 21</t>
  </si>
  <si>
    <t>14,976,500 km</t>
  </si>
  <si>
    <t>169.8°</t>
  </si>
  <si>
    <t>47.1°</t>
  </si>
  <si>
    <t>S/2006 S (♄) 22</t>
  </si>
  <si>
    <t>S/2023 S (♄) 13</t>
  </si>
  <si>
    <t>S/2023 S (♄) 10</t>
  </si>
  <si>
    <t>15,500,200 km</t>
  </si>
  <si>
    <t>15,193,000 km</t>
  </si>
  <si>
    <t>15,109,500 km</t>
  </si>
  <si>
    <t>168.5°</t>
  </si>
  <si>
    <t>S/2023 S (♄) 12</t>
  </si>
  <si>
    <t>15,805,900 km</t>
  </si>
  <si>
    <t>168.8°</t>
  </si>
  <si>
    <t>S/2020 S (♄) 14</t>
  </si>
  <si>
    <t>S/2019 S (♄) 27</t>
  </si>
  <si>
    <t>16,267,000 km</t>
  </si>
  <si>
    <t>16,186,200 km</t>
  </si>
  <si>
    <t>161.7°</t>
  </si>
  <si>
    <t>162.1°</t>
  </si>
  <si>
    <t>S/2020 S (♄) 15</t>
  </si>
  <si>
    <t>S/2023 S (♄) 14</t>
  </si>
  <si>
    <t>S/2020 S (♄) 16</t>
  </si>
  <si>
    <t>S/2023 S (♄) 16</t>
  </si>
  <si>
    <t>16,729,200 km</t>
  </si>
  <si>
    <t>16,853,000 km</t>
  </si>
  <si>
    <t>16,963,400 km</t>
  </si>
  <si>
    <t>17,005,300 km</t>
  </si>
  <si>
    <t>37.1°</t>
  </si>
  <si>
    <t>171.6°</t>
  </si>
  <si>
    <t>167.3°</t>
  </si>
  <si>
    <t>S/2020 S (♄) 17</t>
  </si>
  <si>
    <t>S/2023 S (♄) 20</t>
  </si>
  <si>
    <t>S/2019 S (♄) 29</t>
  </si>
  <si>
    <t>S/2023 S (♄) 18</t>
  </si>
  <si>
    <t>S/2023 S (♄) 17</t>
  </si>
  <si>
    <t>17,261,000 km</t>
  </si>
  <si>
    <t>17,353,900 km</t>
  </si>
  <si>
    <t>17,381,700 km</t>
  </si>
  <si>
    <t>17,385,300 km</t>
  </si>
  <si>
    <t>35.9°</t>
  </si>
  <si>
    <t>36.7°</t>
  </si>
  <si>
    <t>37.7°</t>
  </si>
  <si>
    <t>136.5°</t>
  </si>
  <si>
    <t>S/2007 S (♄) 11</t>
  </si>
  <si>
    <t>S/2019 S (♄) 28</t>
  </si>
  <si>
    <t>17,434,400 km</t>
  </si>
  <si>
    <t>17,496,000 km</t>
  </si>
  <si>
    <t>35.5°</t>
  </si>
  <si>
    <t>38.7°</t>
  </si>
  <si>
    <t>S/2023 S (♄) 19</t>
  </si>
  <si>
    <t>17,590,300 km</t>
  </si>
  <si>
    <t>156°</t>
  </si>
  <si>
    <t>S/2023 S (♄) 3</t>
  </si>
  <si>
    <t>S/2019 S (♄) 30</t>
  </si>
  <si>
    <t>S/2020 S (♄) 19</t>
  </si>
  <si>
    <t>S/2019 S (♄) 31</t>
  </si>
  <si>
    <t>S/2023 S (♄) 21</t>
  </si>
  <si>
    <t>17,646,400 km</t>
  </si>
  <si>
    <t>17,709,900 km</t>
  </si>
  <si>
    <t>17,726,700 km</t>
  </si>
  <si>
    <t>17,739,100 km</t>
  </si>
  <si>
    <t>17,755,400 km</t>
  </si>
  <si>
    <t>46.9°</t>
  </si>
  <si>
    <t>168.3°</t>
  </si>
  <si>
    <t>39.8°</t>
  </si>
  <si>
    <t>157.3°</t>
  </si>
  <si>
    <t>S/2023 S (♄) 4</t>
  </si>
  <si>
    <t>S/2020 S (♄) 18</t>
  </si>
  <si>
    <t>17,777,900 km</t>
  </si>
  <si>
    <t>17,764,600 km</t>
  </si>
  <si>
    <t>168.9°</t>
  </si>
  <si>
    <t>S/2019 S (♄) 32</t>
  </si>
  <si>
    <t>S/2020 S (♄) 20</t>
  </si>
  <si>
    <t>17,960,500 km</t>
  </si>
  <si>
    <t>17,997,300 km</t>
  </si>
  <si>
    <t>S/2005 S (♄) 6</t>
  </si>
  <si>
    <t>S/2004 S (♄) 57</t>
  </si>
  <si>
    <t>18,107,300 km</t>
  </si>
  <si>
    <t>18,150,500 km</t>
  </si>
  <si>
    <t>47.7°</t>
  </si>
  <si>
    <t>167.9°</t>
  </si>
  <si>
    <t>S/2006 S (♄) 24</t>
  </si>
  <si>
    <t>18,210,700 km</t>
  </si>
  <si>
    <t>165.9°</t>
  </si>
  <si>
    <t>S/2023 S (♄) 30</t>
  </si>
  <si>
    <t>18,238,300 km</t>
  </si>
  <si>
    <t>142.4°</t>
  </si>
  <si>
    <t>S/2023 S (♄) 15</t>
  </si>
  <si>
    <t>S/2004 S (♄) 58</t>
  </si>
  <si>
    <t>S/2006 S (♄) 23</t>
  </si>
  <si>
    <t>S/2023 S (♄) 24</t>
  </si>
  <si>
    <t>18,351,800 km</t>
  </si>
  <si>
    <t>18,269,700 km</t>
  </si>
  <si>
    <t>18,254,500 km</t>
  </si>
  <si>
    <t>18,241,300 km</t>
  </si>
  <si>
    <t>169.7°</t>
  </si>
  <si>
    <t>43.8°</t>
  </si>
  <si>
    <t>18,486,000 km</t>
  </si>
  <si>
    <t>S/2019 S (♄) 34</t>
  </si>
  <si>
    <t>18,446,800 km</t>
  </si>
  <si>
    <t>37.6°</t>
  </si>
  <si>
    <t>S/2005 S (♄) 7</t>
  </si>
  <si>
    <t>18,502,500 km</t>
  </si>
  <si>
    <t>34.6°</t>
  </si>
  <si>
    <t>S/2019 S (♄) 35</t>
  </si>
  <si>
    <t>S/2006 S (♄) 25</t>
  </si>
  <si>
    <t>S/2023 S (♄) 22</t>
  </si>
  <si>
    <t>18,577,500 km</t>
  </si>
  <si>
    <t>18,572,400 km</t>
  </si>
  <si>
    <t>18,557,800 km</t>
  </si>
  <si>
    <t>S/2006 S (♄) 26</t>
  </si>
  <si>
    <t>S/2019 S (♄) 33</t>
  </si>
  <si>
    <t>18,696,100 km</t>
  </si>
  <si>
    <t>18,619,300 km</t>
  </si>
  <si>
    <t>S/2023 S (♄) 23</t>
  </si>
  <si>
    <t>18,783,700 km</t>
  </si>
  <si>
    <t>S/2020 S (♄) 21</t>
  </si>
  <si>
    <t>18,862,100 km</t>
  </si>
  <si>
    <t>169.9°</t>
  </si>
  <si>
    <t>S/2023 S (♄) 25</t>
  </si>
  <si>
    <t>S/2004 S (♄) 59</t>
  </si>
  <si>
    <t>S/2006 S (♄) 27</t>
  </si>
  <si>
    <t>19,205,700 km</t>
  </si>
  <si>
    <t>19,170,700 km</t>
  </si>
  <si>
    <t>19,136,600 km</t>
  </si>
  <si>
    <t>170.5°</t>
  </si>
  <si>
    <t>166.4°</t>
  </si>
  <si>
    <t>S/2023 S (♄) 44</t>
  </si>
  <si>
    <t>19,292,400 km</t>
  </si>
  <si>
    <t>167.4°</t>
  </si>
  <si>
    <t>S/2020 S (♄) 22</t>
  </si>
  <si>
    <t>19,443,000 km</t>
  </si>
  <si>
    <t>161.3°</t>
  </si>
  <si>
    <t>S/2004 S (♄) 60</t>
  </si>
  <si>
    <t>19,517,000 km</t>
  </si>
  <si>
    <t>S/2020 S (♄) 23</t>
  </si>
  <si>
    <t>S/2023 S (♄) 27</t>
  </si>
  <si>
    <t>19,801,500 km</t>
  </si>
  <si>
    <t>19,820,100 km</t>
  </si>
  <si>
    <t>151.1°</t>
  </si>
  <si>
    <t>S/2023 S (♄) 28</t>
  </si>
  <si>
    <t>S/2023 S (♄) 37</t>
  </si>
  <si>
    <t>S/2023 S (♄) 26</t>
  </si>
  <si>
    <t>S/2019 S (♄) 36</t>
  </si>
  <si>
    <t>19,881,000 km</t>
  </si>
  <si>
    <t>19,889,800 km</t>
  </si>
  <si>
    <t>19,894,300 km</t>
  </si>
  <si>
    <t>19,903,200 km</t>
  </si>
  <si>
    <t>172.3°</t>
  </si>
  <si>
    <t>S/2019 S (♄) 37</t>
  </si>
  <si>
    <t>S/2023 S (♄) 48</t>
  </si>
  <si>
    <t>S/2023 S (♄) 29</t>
  </si>
  <si>
    <t>19,996,900 km</t>
  </si>
  <si>
    <t>20,029,200 km</t>
  </si>
  <si>
    <t>20,042,400 km</t>
  </si>
  <si>
    <t>149.9°</t>
  </si>
  <si>
    <t>S/2023 S (♄) 32</t>
  </si>
  <si>
    <t>20,454,400 km</t>
  </si>
  <si>
    <t>S/2020 S (♄) 24</t>
  </si>
  <si>
    <t>20,618,300 km</t>
  </si>
  <si>
    <t>159.6°</t>
  </si>
  <si>
    <t>S/2023 S (♄) 31</t>
  </si>
  <si>
    <t>20,729,200 km</t>
  </si>
  <si>
    <t>S/2020 S (♄) 25</t>
  </si>
  <si>
    <t>S/2023 S (♄) 34</t>
  </si>
  <si>
    <t>S/2023 S (♄) 39</t>
  </si>
  <si>
    <t>20,824,500 km</t>
  </si>
  <si>
    <t>20,803,900 km</t>
  </si>
  <si>
    <t>20,763,700 km</t>
  </si>
  <si>
    <t>171.8°</t>
  </si>
  <si>
    <t>S/2004 S (♄) 61</t>
  </si>
  <si>
    <t>20,986,900 km</t>
  </si>
  <si>
    <t>S/2023 S (♄) 40</t>
  </si>
  <si>
    <t>21,065,100 km</t>
  </si>
  <si>
    <t>169.6°</t>
  </si>
  <si>
    <t>S/2020 S (♄) 26</t>
  </si>
  <si>
    <t>S/2023 S (♄) 41</t>
  </si>
  <si>
    <t>21,264,400 km</t>
  </si>
  <si>
    <t>21,286,400 km</t>
  </si>
  <si>
    <t>163.2°</t>
  </si>
  <si>
    <t>172.1°</t>
  </si>
  <si>
    <t>151.7°</t>
  </si>
  <si>
    <t>S/2023 S (♄) 33</t>
  </si>
  <si>
    <t>21,621,900 km</t>
  </si>
  <si>
    <t>155.8°</t>
  </si>
  <si>
    <t>S/2023 S (♄) 49</t>
  </si>
  <si>
    <t>S/2020 S (♄) 30</t>
  </si>
  <si>
    <t>21,766,500 km</t>
  </si>
  <si>
    <t>171.7°</t>
  </si>
  <si>
    <t>21,790,700 km</t>
  </si>
  <si>
    <t>154.2°</t>
  </si>
  <si>
    <t>S/2020 S (♄) 27</t>
  </si>
  <si>
    <t>S/2023 S (♄) 42</t>
  </si>
  <si>
    <t>21,802,300 km</t>
  </si>
  <si>
    <t>21,837,000 km</t>
  </si>
  <si>
    <t>145.3°</t>
  </si>
  <si>
    <t>S/2020 S (♄) 32</t>
  </si>
  <si>
    <t>S/2006 S (♄) 28</t>
  </si>
  <si>
    <t>21,884,100 km</t>
  </si>
  <si>
    <t>21,955,100 km</t>
  </si>
  <si>
    <t>169.1°</t>
  </si>
  <si>
    <t>172.9°</t>
  </si>
  <si>
    <t>S/2020 S (♄) 28</t>
  </si>
  <si>
    <t>21,993,700 km</t>
  </si>
  <si>
    <t>160.1°</t>
  </si>
  <si>
    <t>S/2019 S (♄) 38</t>
  </si>
  <si>
    <t>21,998,400 km</t>
  </si>
  <si>
    <t>S/2023 S (♄) 36</t>
  </si>
  <si>
    <t>22,230,600 km</t>
  </si>
  <si>
    <t>166.3°</t>
  </si>
  <si>
    <t>S/2023 S (♄) 35</t>
  </si>
  <si>
    <t>S/2020 S (♄) 29</t>
  </si>
  <si>
    <t>22,269,700 km</t>
  </si>
  <si>
    <t>22,301,400 km</t>
  </si>
  <si>
    <t>S/2020 S (♄) 34</t>
  </si>
  <si>
    <t>S/2020 S (♄) 31</t>
  </si>
  <si>
    <t>S/2023 S (♄) 43</t>
  </si>
  <si>
    <t>22,435,600 km</t>
  </si>
  <si>
    <t>22,457,300 km</t>
  </si>
  <si>
    <t>22,563,900 km</t>
  </si>
  <si>
    <t>160.6°</t>
  </si>
  <si>
    <t>170.3°</t>
  </si>
  <si>
    <t>S/2020 S (♄) 36</t>
  </si>
  <si>
    <t>22,806,200 km</t>
  </si>
  <si>
    <t>S/2020 S (♄) 33</t>
  </si>
  <si>
    <t>22,922,500 km</t>
  </si>
  <si>
    <t>162.8°</t>
  </si>
  <si>
    <t>S/2020 S (♄) 35</t>
  </si>
  <si>
    <t>23,030,300 km</t>
  </si>
  <si>
    <t>174.9°</t>
  </si>
  <si>
    <t>S/2023 S (♄) 45</t>
  </si>
  <si>
    <t>23,438,400 km</t>
  </si>
  <si>
    <t>157.4°</t>
  </si>
  <si>
    <t>S/2020 S (♄) 38</t>
  </si>
  <si>
    <t>23,583,900 km</t>
  </si>
  <si>
    <t>S/2020 S (♄) 37</t>
  </si>
  <si>
    <t>23,751,800 km</t>
  </si>
  <si>
    <t>174.8°</t>
  </si>
  <si>
    <t>S/2019 S (♄) 39</t>
  </si>
  <si>
    <t>S/2020 S (♄) 40</t>
  </si>
  <si>
    <t>23,785,900 km</t>
  </si>
  <si>
    <t>23,784,500 km</t>
  </si>
  <si>
    <t>S/2019 S (♄) 40</t>
  </si>
  <si>
    <t>S/2019 S (♄) 42</t>
  </si>
  <si>
    <t>24,087,800 km</t>
  </si>
  <si>
    <t>24,111,600 km</t>
  </si>
  <si>
    <t>S/2020 S (♄) 39</t>
  </si>
  <si>
    <t>S/2019 S (♄) 41</t>
  </si>
  <si>
    <t>S/2023 S (♄) 46</t>
  </si>
  <si>
    <t>24,262,400 km</t>
  </si>
  <si>
    <t>24,493,600 km</t>
  </si>
  <si>
    <t>24,708,900 km</t>
  </si>
  <si>
    <t>143.2°</t>
  </si>
  <si>
    <t>S/2023 S (♄) 47</t>
  </si>
  <si>
    <t>25,102,300 km</t>
  </si>
  <si>
    <t>162.5°</t>
  </si>
  <si>
    <t>S/2006 S (♄) 29</t>
  </si>
  <si>
    <t>25,212,100 km</t>
  </si>
  <si>
    <t>156.2°</t>
  </si>
  <si>
    <t>S/2020 S (♄) 42</t>
  </si>
  <si>
    <t>25,329,400 km</t>
  </si>
  <si>
    <t>S/2023 S (♄) 5</t>
  </si>
  <si>
    <t>S/2020 S (♄) 41</t>
  </si>
  <si>
    <t>25,583,500 km</t>
  </si>
  <si>
    <t>25,876,400 km</t>
  </si>
  <si>
    <t>160.2°</t>
  </si>
  <si>
    <t>S/2020 S (♄) 43</t>
  </si>
  <si>
    <t>S/2019 S (♄) 43</t>
  </si>
  <si>
    <t>S/2019 S (♄) 44</t>
  </si>
  <si>
    <t>S/2020 S (♄) 44</t>
  </si>
  <si>
    <t>26,657,400 km</t>
  </si>
  <si>
    <t>26,664,100 km</t>
  </si>
  <si>
    <t>26,796,900 km</t>
  </si>
  <si>
    <t>27,259,400 km</t>
  </si>
  <si>
    <t>164.6°</t>
  </si>
  <si>
    <t>172.6°</t>
  </si>
  <si>
    <t>38.9°</t>
  </si>
  <si>
    <r>
      <t>2004 UX</t>
    </r>
    <r>
      <rPr>
        <vertAlign val="subscript"/>
        <sz val="10"/>
        <color theme="1"/>
        <rFont val="Aptos Narrow"/>
        <family val="2"/>
        <scheme val="minor"/>
      </rPr>
      <t>10</t>
    </r>
  </si>
  <si>
    <r>
      <t>2011 JF</t>
    </r>
    <r>
      <rPr>
        <vertAlign val="subscript"/>
        <sz val="10"/>
        <color theme="1"/>
        <rFont val="Aptos Narrow"/>
        <family val="2"/>
        <scheme val="minor"/>
      </rPr>
      <t>31</t>
    </r>
  </si>
  <si>
    <r>
      <t>2015 AH</t>
    </r>
    <r>
      <rPr>
        <vertAlign val="subscript"/>
        <sz val="10"/>
        <color theme="1"/>
        <rFont val="Aptos Narrow"/>
        <family val="2"/>
        <scheme val="minor"/>
      </rPr>
      <t>281</t>
    </r>
  </si>
  <si>
    <r>
      <t>1999 CD</t>
    </r>
    <r>
      <rPr>
        <vertAlign val="subscript"/>
        <sz val="10"/>
        <color theme="1"/>
        <rFont val="Aptos Narrow"/>
        <family val="2"/>
        <scheme val="minor"/>
      </rPr>
      <t>158</t>
    </r>
  </si>
  <si>
    <r>
      <t>2013 FC</t>
    </r>
    <r>
      <rPr>
        <vertAlign val="subscript"/>
        <sz val="10"/>
        <color theme="1"/>
        <rFont val="Aptos Narrow"/>
        <family val="2"/>
        <scheme val="minor"/>
      </rPr>
      <t>28</t>
    </r>
  </si>
  <si>
    <r>
      <t>2010 RF</t>
    </r>
    <r>
      <rPr>
        <vertAlign val="subscript"/>
        <sz val="10"/>
        <color theme="1"/>
        <rFont val="Aptos Narrow"/>
        <family val="2"/>
        <scheme val="minor"/>
      </rPr>
      <t>188</t>
    </r>
  </si>
  <si>
    <r>
      <t>2005 RS</t>
    </r>
    <r>
      <rPr>
        <vertAlign val="subscript"/>
        <sz val="10"/>
        <color theme="1"/>
        <rFont val="Aptos Narrow"/>
        <family val="2"/>
        <scheme val="minor"/>
      </rPr>
      <t>43</t>
    </r>
  </si>
  <si>
    <r>
      <t>2011 HP</t>
    </r>
    <r>
      <rPr>
        <vertAlign val="subscript"/>
        <sz val="10"/>
        <color theme="1"/>
        <rFont val="Aptos Narrow"/>
        <family val="2"/>
        <scheme val="minor"/>
      </rPr>
      <t>83</t>
    </r>
  </si>
  <si>
    <r>
      <t>1996 TL</t>
    </r>
    <r>
      <rPr>
        <vertAlign val="subscript"/>
        <sz val="10"/>
        <color theme="1"/>
        <rFont val="Aptos Narrow"/>
        <family val="2"/>
        <scheme val="minor"/>
      </rPr>
      <t>66</t>
    </r>
  </si>
  <si>
    <t>Uni</t>
  </si>
  <si>
    <t>Tinia</t>
  </si>
  <si>
    <t>Xewioso</t>
  </si>
  <si>
    <t>Goibniu</t>
  </si>
  <si>
    <t>Rumina</t>
  </si>
  <si>
    <t>21,162,000 km</t>
  </si>
  <si>
    <t>17,094,200 km</t>
  </si>
  <si>
    <t>Radius_km</t>
  </si>
  <si>
    <t>SMA_AU</t>
  </si>
  <si>
    <t>e_value</t>
  </si>
  <si>
    <t>i_value</t>
  </si>
  <si>
    <t>ω_value</t>
  </si>
  <si>
    <t>Ω_value</t>
  </si>
  <si>
    <t>M_value</t>
  </si>
  <si>
    <t>Name</t>
  </si>
  <si>
    <t>Satellite_#</t>
  </si>
  <si>
    <t>ID_#</t>
  </si>
  <si>
    <t>AZ_priority</t>
  </si>
  <si>
    <t>2013 ND15</t>
  </si>
  <si>
    <t>2010 TK7</t>
  </si>
  <si>
    <t>2020 XL5</t>
  </si>
  <si>
    <t>2007 NS2</t>
  </si>
  <si>
    <t>2001 DH47</t>
  </si>
  <si>
    <t>1998 VF31</t>
  </si>
  <si>
    <t>1999 UJ7</t>
  </si>
  <si>
    <t>2015 DB216</t>
  </si>
  <si>
    <t>2011 GN27</t>
  </si>
  <si>
    <t>2007 RH283</t>
  </si>
  <si>
    <t>2011 QF99</t>
  </si>
  <si>
    <t>2014 YX49</t>
  </si>
  <si>
    <t>2007 RG283</t>
  </si>
  <si>
    <t>2003 WL7</t>
  </si>
  <si>
    <t>2003 QC112</t>
  </si>
  <si>
    <t>2016 QF86</t>
  </si>
  <si>
    <t>2014 JG80</t>
  </si>
  <si>
    <t>2010 PL66</t>
  </si>
  <si>
    <t>2015 BJ518</t>
  </si>
  <si>
    <t>2010 FB49</t>
  </si>
  <si>
    <t>2010 UU110</t>
  </si>
  <si>
    <t>2010 LO33</t>
  </si>
  <si>
    <t>2002 GZ32</t>
  </si>
  <si>
    <t>2014 NW65</t>
  </si>
  <si>
    <t>2014 FB72</t>
  </si>
  <si>
    <t>2013 HX156</t>
  </si>
  <si>
    <t>2013 MZ11</t>
  </si>
  <si>
    <t>2005 RL43</t>
  </si>
  <si>
    <t>2010 TV191</t>
  </si>
  <si>
    <t>2013 TC146</t>
  </si>
  <si>
    <t>2010 PC88</t>
  </si>
  <si>
    <t>2010 CD270</t>
  </si>
  <si>
    <t>2015 BH518</t>
  </si>
  <si>
    <t>2015 XW379</t>
  </si>
  <si>
    <t>2010 GX34</t>
  </si>
  <si>
    <t>2005 RO43</t>
  </si>
  <si>
    <t>2009 ME10</t>
  </si>
  <si>
    <t>2012 VU85</t>
  </si>
  <si>
    <t>2015 BE518</t>
  </si>
  <si>
    <t>2006 RJ103</t>
  </si>
  <si>
    <t>2007 VL305</t>
  </si>
  <si>
    <t>2014 QO441</t>
  </si>
  <si>
    <t>2008 LC18</t>
  </si>
  <si>
    <t>2013 KY18</t>
  </si>
  <si>
    <t>2001 QR322</t>
  </si>
  <si>
    <t>2007 RW10</t>
  </si>
  <si>
    <t>2011 HM102</t>
  </si>
  <si>
    <t>2011 WG157</t>
  </si>
  <si>
    <t>2010 TS191</t>
  </si>
  <si>
    <t>2014 RO74</t>
  </si>
  <si>
    <t>2015 VU207</t>
  </si>
  <si>
    <t>2014 UU240</t>
  </si>
  <si>
    <t>2013 RC158</t>
  </si>
  <si>
    <t>2014 SC374</t>
  </si>
  <si>
    <t>2010 TT191</t>
  </si>
  <si>
    <t>2010 KR59</t>
  </si>
  <si>
    <t>2013 RL124</t>
  </si>
  <si>
    <t>2013 VX30</t>
  </si>
  <si>
    <t>2015 VW165</t>
  </si>
  <si>
    <t>2013 TZ187</t>
  </si>
  <si>
    <t>2014 YB92</t>
  </si>
  <si>
    <t>2011 SO277</t>
  </si>
  <si>
    <t>2004 KV18</t>
  </si>
  <si>
    <t>2012 UD185</t>
  </si>
  <si>
    <t>2010 DF106</t>
  </si>
  <si>
    <t>2010 EN65</t>
  </si>
  <si>
    <t>2016 AE193</t>
  </si>
  <si>
    <t>2002 PN34</t>
  </si>
  <si>
    <t>2013 RA156</t>
  </si>
  <si>
    <t>2015 GV55</t>
  </si>
  <si>
    <t>2010 JG210</t>
  </si>
  <si>
    <t>2013 EH154</t>
  </si>
  <si>
    <t>2002 FY36</t>
  </si>
  <si>
    <t>1999 OX3</t>
  </si>
  <si>
    <t>2014 MX69</t>
  </si>
  <si>
    <t>2015 SP21</t>
  </si>
  <si>
    <t>2008 AU138</t>
  </si>
  <si>
    <t>2003 UR292</t>
  </si>
  <si>
    <t>2013 RD109</t>
  </si>
  <si>
    <t>2004 LB33</t>
  </si>
  <si>
    <t>1998 BU48</t>
  </si>
  <si>
    <t>2016 QB135</t>
  </si>
  <si>
    <t>2014 DU143</t>
  </si>
  <si>
    <t>2014 GS53</t>
  </si>
  <si>
    <t>2010 GF65</t>
  </si>
  <si>
    <t>2004 MW8</t>
  </si>
  <si>
    <t>2013 TS227</t>
  </si>
  <si>
    <t>2007 NC7</t>
  </si>
  <si>
    <t>2002 GG166</t>
  </si>
  <si>
    <t>2004 TE282</t>
  </si>
  <si>
    <t>1999 CP133</t>
  </si>
  <si>
    <t>2012 HH2</t>
  </si>
  <si>
    <t>2013 FJ28</t>
  </si>
  <si>
    <t>2013 FN28</t>
  </si>
  <si>
    <t>2016 FR59</t>
  </si>
  <si>
    <t>2015 BM518</t>
  </si>
  <si>
    <t>2013 TY227</t>
  </si>
  <si>
    <t>1998 UU43</t>
  </si>
  <si>
    <t>2014 QY441</t>
  </si>
  <si>
    <t>2010 VL201</t>
  </si>
  <si>
    <t>2009 YS26</t>
  </si>
  <si>
    <t>2014 LN28</t>
  </si>
  <si>
    <t>2005 GH228</t>
  </si>
  <si>
    <t>2003 QP91</t>
  </si>
  <si>
    <t>2015 KK178</t>
  </si>
  <si>
    <t>2001 QT322</t>
  </si>
  <si>
    <t>2014 DJ143</t>
  </si>
  <si>
    <t>2012 GX17</t>
  </si>
  <si>
    <t>2014 HV199</t>
  </si>
  <si>
    <t>2014 VC41</t>
  </si>
  <si>
    <t>1998 SN165</t>
  </si>
  <si>
    <t>2013 SY112</t>
  </si>
  <si>
    <t>2014 QX441</t>
  </si>
  <si>
    <t>2014 KS101</t>
  </si>
  <si>
    <t>2014 OG394</t>
  </si>
  <si>
    <t>2003 YL179</t>
  </si>
  <si>
    <t>2004 TY364</t>
  </si>
  <si>
    <t>2010 FC49</t>
  </si>
  <si>
    <t>2010 TY53</t>
  </si>
  <si>
    <t>2015 BG519</t>
  </si>
  <si>
    <t>2000 YB2</t>
  </si>
  <si>
    <t>2002 KX14</t>
  </si>
  <si>
    <t>2004 UX10</t>
  </si>
  <si>
    <t>2002 GN32</t>
  </si>
  <si>
    <t>2002 VU130</t>
  </si>
  <si>
    <t>2004 PF115</t>
  </si>
  <si>
    <t>2003 FL127</t>
  </si>
  <si>
    <t>2015 BF519</t>
  </si>
  <si>
    <t>2003 UZ413</t>
  </si>
  <si>
    <t>1998 WV24</t>
  </si>
  <si>
    <t>2014 DR143</t>
  </si>
  <si>
    <t>2003 QB91</t>
  </si>
  <si>
    <t>2010 HE79</t>
  </si>
  <si>
    <t>2002 VE95</t>
  </si>
  <si>
    <t>2007 JF43</t>
  </si>
  <si>
    <t>2010 VX11</t>
  </si>
  <si>
    <t>2004 VT75</t>
  </si>
  <si>
    <t>2001 RX143</t>
  </si>
  <si>
    <t>2001 QF298</t>
  </si>
  <si>
    <t>2014 MH70</t>
  </si>
  <si>
    <t>2001 KY76</t>
  </si>
  <si>
    <t>2003 WU172</t>
  </si>
  <si>
    <t>2003 QX111</t>
  </si>
  <si>
    <t>2008 SO266</t>
  </si>
  <si>
    <t>2007 JF45</t>
  </si>
  <si>
    <t>2012 DB99</t>
  </si>
  <si>
    <t>2013 PE84</t>
  </si>
  <si>
    <t>2002 VR128</t>
  </si>
  <si>
    <t>2009 YT26</t>
  </si>
  <si>
    <t>2014 JK80</t>
  </si>
  <si>
    <t>2001 RU143</t>
  </si>
  <si>
    <t>2014 MF70</t>
  </si>
  <si>
    <t>1997 CW29</t>
  </si>
  <si>
    <t>1998 VG44</t>
  </si>
  <si>
    <t>2014 WQ509</t>
  </si>
  <si>
    <t>2003 FB128</t>
  </si>
  <si>
    <t>2014 WG510</t>
  </si>
  <si>
    <t>2002 XV93</t>
  </si>
  <si>
    <t>2003 UT292</t>
  </si>
  <si>
    <t>2003 VS2</t>
  </si>
  <si>
    <t>2014 KY101</t>
  </si>
  <si>
    <t>2014 JP80</t>
  </si>
  <si>
    <t>2013 PX74</t>
  </si>
  <si>
    <t>2005 GV210</t>
  </si>
  <si>
    <t>2010 EL139</t>
  </si>
  <si>
    <t>2001 KD77</t>
  </si>
  <si>
    <t>2002 GF32</t>
  </si>
  <si>
    <t>2014 SJ404</t>
  </si>
  <si>
    <t>2006 HJ123</t>
  </si>
  <si>
    <t>2013 CD223</t>
  </si>
  <si>
    <t>2006 TP130</t>
  </si>
  <si>
    <t>2001 XD255</t>
  </si>
  <si>
    <t>2010 LB136</t>
  </si>
  <si>
    <t>2007 JH43</t>
  </si>
  <si>
    <t>2014 JR80</t>
  </si>
  <si>
    <t>2000 CK105</t>
  </si>
  <si>
    <t>2013 SP102</t>
  </si>
  <si>
    <t>2014 KU101</t>
  </si>
  <si>
    <t>2017 OF69</t>
  </si>
  <si>
    <t>2013 FD28</t>
  </si>
  <si>
    <t>2014 WQ510</t>
  </si>
  <si>
    <t>2010 RK190</t>
  </si>
  <si>
    <t>2013 HU156</t>
  </si>
  <si>
    <t>2004 VZ75</t>
  </si>
  <si>
    <t>2011 VJ24</t>
  </si>
  <si>
    <t>2003 FF128</t>
  </si>
  <si>
    <t>2005 EZ296</t>
  </si>
  <si>
    <t>2001 KB77</t>
  </si>
  <si>
    <t>2004 EW95</t>
  </si>
  <si>
    <t>2010 JK124</t>
  </si>
  <si>
    <t>2013 QO95</t>
  </si>
  <si>
    <t>2013 NL24</t>
  </si>
  <si>
    <t>2011 UT410</t>
  </si>
  <si>
    <t>2010 VX224</t>
  </si>
  <si>
    <t>2000 GP183</t>
  </si>
  <si>
    <t>2004 PY117</t>
  </si>
  <si>
    <t>2010 RD188</t>
  </si>
  <si>
    <t>2017 OG69</t>
  </si>
  <si>
    <t>2014 WZ509</t>
  </si>
  <si>
    <t>2015 OV79</t>
  </si>
  <si>
    <t>2012 HL85</t>
  </si>
  <si>
    <t>2004 PT107</t>
  </si>
  <si>
    <t>2014 YZ49</t>
  </si>
  <si>
    <t>2014 MY69</t>
  </si>
  <si>
    <t>2014 WZ535</t>
  </si>
  <si>
    <t>2014 VU37</t>
  </si>
  <si>
    <t>2010 PK66</t>
  </si>
  <si>
    <t>2014 TF86</t>
  </si>
  <si>
    <t>2014 KW101</t>
  </si>
  <si>
    <t>2010 WN75</t>
  </si>
  <si>
    <t>2010 RN64</t>
  </si>
  <si>
    <t>2010 AH2</t>
  </si>
  <si>
    <t>2014 NY65</t>
  </si>
  <si>
    <t>2014 UP224</t>
  </si>
  <si>
    <t>2002 PP149</t>
  </si>
  <si>
    <t>2011 EZ90</t>
  </si>
  <si>
    <t>2008 SP266</t>
  </si>
  <si>
    <t>2004 KH19</t>
  </si>
  <si>
    <t>2014 GX53</t>
  </si>
  <si>
    <t>2012 KU50</t>
  </si>
  <si>
    <t>2011 OA60</t>
  </si>
  <si>
    <t>2010 RN45</t>
  </si>
  <si>
    <t>1997 RT5</t>
  </si>
  <si>
    <t>2009 YR26</t>
  </si>
  <si>
    <t>2000 KK4</t>
  </si>
  <si>
    <t>2005 RQ43</t>
  </si>
  <si>
    <t>2014 BD70</t>
  </si>
  <si>
    <t>2011 JF31</t>
  </si>
  <si>
    <t>2014 WL509</t>
  </si>
  <si>
    <t>2015 CL62</t>
  </si>
  <si>
    <t>2014 JN80</t>
  </si>
  <si>
    <t>2012 DW98</t>
  </si>
  <si>
    <t>2014 TY85</t>
  </si>
  <si>
    <t>2014 LP28</t>
  </si>
  <si>
    <t>1999 CL158</t>
  </si>
  <si>
    <t>2014 GW53</t>
  </si>
  <si>
    <t>2010 VR11</t>
  </si>
  <si>
    <t>1998 FS144</t>
  </si>
  <si>
    <t>2014 WU509</t>
  </si>
  <si>
    <t>2011 CX119</t>
  </si>
  <si>
    <t>2015 BS518</t>
  </si>
  <si>
    <t>2010 TE192</t>
  </si>
  <si>
    <t>2008 AP129</t>
  </si>
  <si>
    <t>2014 EA52</t>
  </si>
  <si>
    <t>2003 QZ91</t>
  </si>
  <si>
    <t>2013 MA12</t>
  </si>
  <si>
    <t>2011 UK413</t>
  </si>
  <si>
    <t>2014 YB50</t>
  </si>
  <si>
    <t>2008 AQ118</t>
  </si>
  <si>
    <t>2012 UE185</t>
  </si>
  <si>
    <t>2015 BQ518</t>
  </si>
  <si>
    <t>2014 UF241</t>
  </si>
  <si>
    <t>2009 MF10</t>
  </si>
  <si>
    <t>2006 RC103</t>
  </si>
  <si>
    <t>2014 PS70</t>
  </si>
  <si>
    <t>2008 QB43</t>
  </si>
  <si>
    <t>2004 MM10</t>
  </si>
  <si>
    <t>2013 VK46</t>
  </si>
  <si>
    <t>2003 HM57</t>
  </si>
  <si>
    <t>2015 AN281</t>
  </si>
  <si>
    <t>1999 CX131</t>
  </si>
  <si>
    <t>2010 OO127</t>
  </si>
  <si>
    <t>2008 CS190</t>
  </si>
  <si>
    <t>2015 FN345</t>
  </si>
  <si>
    <t>2014 WN509</t>
  </si>
  <si>
    <t>2014 TA86</t>
  </si>
  <si>
    <t>2014 UO224</t>
  </si>
  <si>
    <t>2013 UF15</t>
  </si>
  <si>
    <t>2013 RB98</t>
  </si>
  <si>
    <t>2010 MQ116</t>
  </si>
  <si>
    <t>2014 OK394</t>
  </si>
  <si>
    <t>2002 GH32</t>
  </si>
  <si>
    <t>2010 TA192</t>
  </si>
  <si>
    <t>2015 FG345</t>
  </si>
  <si>
    <t>2013 XC26</t>
  </si>
  <si>
    <t>2015 DZ250</t>
  </si>
  <si>
    <t>2014 WG509</t>
  </si>
  <si>
    <t>2014 DK143</t>
  </si>
  <si>
    <t>2005 JA175</t>
  </si>
  <si>
    <t>2002 VA131</t>
  </si>
  <si>
    <t>2014 QZ441</t>
  </si>
  <si>
    <t>2012 UB178</t>
  </si>
  <si>
    <t>2015 FM345</t>
  </si>
  <si>
    <t>2014 WW509</t>
  </si>
  <si>
    <t>2014 BX64</t>
  </si>
  <si>
    <t>2011 GZ61</t>
  </si>
  <si>
    <t>2014 XS40</t>
  </si>
  <si>
    <t>2014 ME70</t>
  </si>
  <si>
    <t>2012 TC324</t>
  </si>
  <si>
    <t>2014 JR92</t>
  </si>
  <si>
    <t>2015 BX518</t>
  </si>
  <si>
    <t>2005 JZ174</t>
  </si>
  <si>
    <t>2014 UE241</t>
  </si>
  <si>
    <t>2001 XR254</t>
  </si>
  <si>
    <t>2014 TD86</t>
  </si>
  <si>
    <t>2014 BZ57</t>
  </si>
  <si>
    <t>2014 LO28</t>
  </si>
  <si>
    <t>2014 DF143</t>
  </si>
  <si>
    <t>2013 LY35</t>
  </si>
  <si>
    <t>2010 RF64</t>
  </si>
  <si>
    <t>2014 UM33</t>
  </si>
  <si>
    <t>2002 PH149</t>
  </si>
  <si>
    <t>2003 QA112</t>
  </si>
  <si>
    <t>2014 HU199</t>
  </si>
  <si>
    <t>2001 UA17</t>
  </si>
  <si>
    <t>1999 RN215</t>
  </si>
  <si>
    <t>2014 XR40</t>
  </si>
  <si>
    <t>2010 VK201</t>
  </si>
  <si>
    <t>2014 FW71</t>
  </si>
  <si>
    <t>2012 CS57</t>
  </si>
  <si>
    <t>2003 OP32</t>
  </si>
  <si>
    <t>2013 UQ15</t>
  </si>
  <si>
    <t>2014 SH349</t>
  </si>
  <si>
    <t>2012 HG84</t>
  </si>
  <si>
    <t>2014 QA442</t>
  </si>
  <si>
    <t>2002 TX300</t>
  </si>
  <si>
    <t>2005 RR43</t>
  </si>
  <si>
    <t>2004 MO10</t>
  </si>
  <si>
    <t>2013 RM98</t>
  </si>
  <si>
    <t>2014 WJ509</t>
  </si>
  <si>
    <t>1999 XY143</t>
  </si>
  <si>
    <t>2014 JJ80</t>
  </si>
  <si>
    <t>2015 AJ281</t>
  </si>
  <si>
    <t>2005 UQ513</t>
  </si>
  <si>
    <t>2006 QU180</t>
  </si>
  <si>
    <t>2013 RF109</t>
  </si>
  <si>
    <t>2014 MG70</t>
  </si>
  <si>
    <t>2001 XU254</t>
  </si>
  <si>
    <t>2015 AH281</t>
  </si>
  <si>
    <t>2015 BR518</t>
  </si>
  <si>
    <t>2014 GK65</t>
  </si>
  <si>
    <t>2010 TT195</t>
  </si>
  <si>
    <t>2001 HY65</t>
  </si>
  <si>
    <t>2014 HZ199</t>
  </si>
  <si>
    <t>2004 NT33</t>
  </si>
  <si>
    <t>2003 UE292</t>
  </si>
  <si>
    <t>2013 FH28</t>
  </si>
  <si>
    <t>2001 KP76</t>
  </si>
  <si>
    <t>2011 GM27</t>
  </si>
  <si>
    <t>2004 OQ15</t>
  </si>
  <si>
    <t>2014 TZ85</t>
  </si>
  <si>
    <t>2014 DE143</t>
  </si>
  <si>
    <t>2000 FD8</t>
  </si>
  <si>
    <t>2013 BN82</t>
  </si>
  <si>
    <t>2014 WB509</t>
  </si>
  <si>
    <t>2010 VW224</t>
  </si>
  <si>
    <t>2002 PQ145</t>
  </si>
  <si>
    <t>2009 XM26</t>
  </si>
  <si>
    <t>2016 FW59</t>
  </si>
  <si>
    <t>2005 PM21</t>
  </si>
  <si>
    <t>2005 XU100</t>
  </si>
  <si>
    <t>2003 QW90</t>
  </si>
  <si>
    <t>2001 QY297</t>
  </si>
  <si>
    <t>2014 FT71</t>
  </si>
  <si>
    <t>2012 TF324</t>
  </si>
  <si>
    <t>1999 CD158</t>
  </si>
  <si>
    <t>2013 SK102</t>
  </si>
  <si>
    <t>2012 YF12</t>
  </si>
  <si>
    <t>2005 NV125</t>
  </si>
  <si>
    <t>2006 QC181</t>
  </si>
  <si>
    <t>2011 UE412</t>
  </si>
  <si>
    <t>2014 LR28</t>
  </si>
  <si>
    <t>2014 FU71</t>
  </si>
  <si>
    <t>2014 GU53</t>
  </si>
  <si>
    <t>2015 BT518</t>
  </si>
  <si>
    <t>2014 GZ53</t>
  </si>
  <si>
    <t>2014 YC50</t>
  </si>
  <si>
    <t>2014 MA70</t>
  </si>
  <si>
    <t>2015 AQ293</t>
  </si>
  <si>
    <t>2015 BP518</t>
  </si>
  <si>
    <t>2014 WH509</t>
  </si>
  <si>
    <t>2000 OH67</t>
  </si>
  <si>
    <t>2008 NW4</t>
  </si>
  <si>
    <t>2010 VV224</t>
  </si>
  <si>
    <t>2011 LJ29</t>
  </si>
  <si>
    <t>2013 RE109</t>
  </si>
  <si>
    <t>2005 SF278</t>
  </si>
  <si>
    <t>2005 EH305</t>
  </si>
  <si>
    <t>2013 TC172</t>
  </si>
  <si>
    <t>2003 UX292</t>
  </si>
  <si>
    <t>2002 GJ32</t>
  </si>
  <si>
    <t>2014 CO23</t>
  </si>
  <si>
    <t>2014 NZ65</t>
  </si>
  <si>
    <t>2002 XH91</t>
  </si>
  <si>
    <t>2004 PA108</t>
  </si>
  <si>
    <t>2014 LT28</t>
  </si>
  <si>
    <t>2014 UQ224</t>
  </si>
  <si>
    <t>2013 EJ154</t>
  </si>
  <si>
    <t>2000 CJ105</t>
  </si>
  <si>
    <t>2014 QW441</t>
  </si>
  <si>
    <t>2014 WY509</t>
  </si>
  <si>
    <t>2004 PY111</t>
  </si>
  <si>
    <t>2005 LA54</t>
  </si>
  <si>
    <t>2002 PR170</t>
  </si>
  <si>
    <t>1998 WW31</t>
  </si>
  <si>
    <t>2000 CP104</t>
  </si>
  <si>
    <t>2012 BZ159</t>
  </si>
  <si>
    <t>2003 YO179</t>
  </si>
  <si>
    <t>2002 GD32</t>
  </si>
  <si>
    <t>2015 GO50</t>
  </si>
  <si>
    <t>2010 JF210</t>
  </si>
  <si>
    <t>2007 RN314</t>
  </si>
  <si>
    <t>2014 OD394</t>
  </si>
  <si>
    <t>2014 WP509</t>
  </si>
  <si>
    <t>2015 BW518</t>
  </si>
  <si>
    <t>2004 PV107</t>
  </si>
  <si>
    <t>2006 QV180</t>
  </si>
  <si>
    <t>2014 FY71</t>
  </si>
  <si>
    <t>2000 CN105</t>
  </si>
  <si>
    <t>2004 VS75</t>
  </si>
  <si>
    <t>2003 QA91</t>
  </si>
  <si>
    <t>2004 PB108</t>
  </si>
  <si>
    <t>2004 PU107</t>
  </si>
  <si>
    <t>2006 HS122</t>
  </si>
  <si>
    <t>Mbabamwana(..)</t>
  </si>
  <si>
    <t>2014 WF509</t>
  </si>
  <si>
    <t>2010 VQ11</t>
  </si>
  <si>
    <t>2014 DM143</t>
  </si>
  <si>
    <t>2010 SS43</t>
  </si>
  <si>
    <t>2010 TP182</t>
  </si>
  <si>
    <t>2000 QK252</t>
  </si>
  <si>
    <t>2001 KU76</t>
  </si>
  <si>
    <t>2015 PF312</t>
  </si>
  <si>
    <t>2003 UZ291</t>
  </si>
  <si>
    <t>2015 SP20</t>
  </si>
  <si>
    <t>2003 GF55</t>
  </si>
  <si>
    <t>2007 FM51</t>
  </si>
  <si>
    <t>2001 CZ31</t>
  </si>
  <si>
    <t>2013 NM24</t>
  </si>
  <si>
    <t>2002 PJ149</t>
  </si>
  <si>
    <t>2010 KZ39</t>
  </si>
  <si>
    <t>2014 MC70</t>
  </si>
  <si>
    <t>2011 BQ170</t>
  </si>
  <si>
    <t>1999 RY214</t>
  </si>
  <si>
    <t>2000 CY105</t>
  </si>
  <si>
    <t>1999 RY215</t>
  </si>
  <si>
    <t>2012 BW154</t>
  </si>
  <si>
    <t>2014 BW64</t>
  </si>
  <si>
    <t>2013 XB26</t>
  </si>
  <si>
    <t>2002 CV154</t>
  </si>
  <si>
    <t>2007 XV50</t>
  </si>
  <si>
    <t>2002 VE131</t>
  </si>
  <si>
    <t>2014 BV64</t>
  </si>
  <si>
    <t>2015 AL281</t>
  </si>
  <si>
    <t>2010 RE188</t>
  </si>
  <si>
    <t>2015 FL345</t>
  </si>
  <si>
    <t>2013 FB28</t>
  </si>
  <si>
    <t>2007 TW431</t>
  </si>
  <si>
    <t>2003 UD292</t>
  </si>
  <si>
    <t>2013 FC28</t>
  </si>
  <si>
    <t>2014 TB86</t>
  </si>
  <si>
    <t>2002 XE91</t>
  </si>
  <si>
    <t>2014 WX509</t>
  </si>
  <si>
    <t>2014 OH394</t>
  </si>
  <si>
    <t>2001 QC298</t>
  </si>
  <si>
    <t>2013 RY108</t>
  </si>
  <si>
    <t>2013 JX67</t>
  </si>
  <si>
    <t>2014 CQ23</t>
  </si>
  <si>
    <t>2014 MB70</t>
  </si>
  <si>
    <t>2002 CW154</t>
  </si>
  <si>
    <t>2002 CY248</t>
  </si>
  <si>
    <t>2014 OZ393</t>
  </si>
  <si>
    <t>1998 WT31</t>
  </si>
  <si>
    <t>2002 CX224</t>
  </si>
  <si>
    <t>2003 WQ188</t>
  </si>
  <si>
    <t>2014 OE394</t>
  </si>
  <si>
    <t>2013 JW63</t>
  </si>
  <si>
    <t>2014 MZ69</t>
  </si>
  <si>
    <t>2014 QN441</t>
  </si>
  <si>
    <t>2006 JU58</t>
  </si>
  <si>
    <t>2014 GT53</t>
  </si>
  <si>
    <t>2000 CG105</t>
  </si>
  <si>
    <t>2014 YA50</t>
  </si>
  <si>
    <t>2014 US224</t>
  </si>
  <si>
    <t>2007 JK43</t>
  </si>
  <si>
    <t>2013 SA100</t>
  </si>
  <si>
    <t>2012 TE324</t>
  </si>
  <si>
    <t>2014 OB394</t>
  </si>
  <si>
    <t>2014 HW199</t>
  </si>
  <si>
    <t>2002 KW14</t>
  </si>
  <si>
    <t>2003 HP57</t>
  </si>
  <si>
    <t>2010 RF188</t>
  </si>
  <si>
    <t>2002 CC249</t>
  </si>
  <si>
    <t>2014 QS441</t>
  </si>
  <si>
    <t>1999 DF9</t>
  </si>
  <si>
    <t>1999 CL119</t>
  </si>
  <si>
    <t>2010 TK192</t>
  </si>
  <si>
    <t>2003 UA292</t>
  </si>
  <si>
    <t>2014 DL143</t>
  </si>
  <si>
    <t>2010 RM45</t>
  </si>
  <si>
    <t>2010 RO64</t>
  </si>
  <si>
    <t>2012 FK84</t>
  </si>
  <si>
    <t>2012 VB116</t>
  </si>
  <si>
    <t>2014 PD112</t>
  </si>
  <si>
    <t>2014 WV509</t>
  </si>
  <si>
    <t>2013 JV63</t>
  </si>
  <si>
    <t>2014 AM55</t>
  </si>
  <si>
    <t>2003 UB292</t>
  </si>
  <si>
    <t>2010 FX86</t>
  </si>
  <si>
    <t>2013 EC138</t>
  </si>
  <si>
    <t>2014 XY40</t>
  </si>
  <si>
    <t>2014 OF394</t>
  </si>
  <si>
    <t>2016 SR105</t>
  </si>
  <si>
    <t>2004 XA192</t>
  </si>
  <si>
    <t>2015 BY518</t>
  </si>
  <si>
    <t>2015 BZ518</t>
  </si>
  <si>
    <t>2000 CO105</t>
  </si>
  <si>
    <t>2007 PS45</t>
  </si>
  <si>
    <t>2001 KA77</t>
  </si>
  <si>
    <t>2005 JK186</t>
  </si>
  <si>
    <t>2014 GE54</t>
  </si>
  <si>
    <t>1999 RB216</t>
  </si>
  <si>
    <t>1998 SM165</t>
  </si>
  <si>
    <t>2014 WT69</t>
  </si>
  <si>
    <t>2013 FO28</t>
  </si>
  <si>
    <t>2014 DN143</t>
  </si>
  <si>
    <t>2004 TV357</t>
  </si>
  <si>
    <t>2003 UY413</t>
  </si>
  <si>
    <t>2012 SB67</t>
  </si>
  <si>
    <t>2013 CF229</t>
  </si>
  <si>
    <t>2011 FX62</t>
  </si>
  <si>
    <t>2012 VR113</t>
  </si>
  <si>
    <t>2015 QW23</t>
  </si>
  <si>
    <t>2000 QL251</t>
  </si>
  <si>
    <t>2005 RS43</t>
  </si>
  <si>
    <t>2014 UH192</t>
  </si>
  <si>
    <t>2013 GG138</t>
  </si>
  <si>
    <t>2013 HV156</t>
  </si>
  <si>
    <t>2014 NC66</t>
  </si>
  <si>
    <t>2004 HP79</t>
  </si>
  <si>
    <t>2007 JJ43</t>
  </si>
  <si>
    <t>2014 DO143</t>
  </si>
  <si>
    <t>2010 EP65</t>
  </si>
  <si>
    <t>2017 FQ161</t>
  </si>
  <si>
    <t>2015 BE519</t>
  </si>
  <si>
    <t>2015 SW20</t>
  </si>
  <si>
    <t>2002 WC19</t>
  </si>
  <si>
    <t>2014 JS80</t>
  </si>
  <si>
    <t>2012 XR157</t>
  </si>
  <si>
    <t>2014 JV80</t>
  </si>
  <si>
    <t>2013 RE158</t>
  </si>
  <si>
    <t>2013 VJ24</t>
  </si>
  <si>
    <t>2012 JH67</t>
  </si>
  <si>
    <t>2001 UP18</t>
  </si>
  <si>
    <t>2013 FZ27</t>
  </si>
  <si>
    <t>2005 CA79</t>
  </si>
  <si>
    <t>2012 KW51</t>
  </si>
  <si>
    <t>2003 FE128</t>
  </si>
  <si>
    <t>2014 UT224</t>
  </si>
  <si>
    <t>2013 UK15</t>
  </si>
  <si>
    <t>2004 TU357</t>
  </si>
  <si>
    <t>2014 QL441</t>
  </si>
  <si>
    <t>2001 YH140</t>
  </si>
  <si>
    <t>2013 GQ136</t>
  </si>
  <si>
    <t>1999 KR16</t>
  </si>
  <si>
    <t>2000 AF255</t>
  </si>
  <si>
    <t>2013 JQ64</t>
  </si>
  <si>
    <t>2012 WG37</t>
  </si>
  <si>
    <t>2007 OC10</t>
  </si>
  <si>
    <t>2010 RF43</t>
  </si>
  <si>
    <t>2013 PV74</t>
  </si>
  <si>
    <t>2003 FY128</t>
  </si>
  <si>
    <t>2014 XW40</t>
  </si>
  <si>
    <t>2000 EE173</t>
  </si>
  <si>
    <t>2003 QX113</t>
  </si>
  <si>
    <t>2016 SP56</t>
  </si>
  <si>
    <t>2014 GV53</t>
  </si>
  <si>
    <t>2014 UR224</t>
  </si>
  <si>
    <t>2003 FM129</t>
  </si>
  <si>
    <t>2010 WM75</t>
  </si>
  <si>
    <t>2002 GZ31</t>
  </si>
  <si>
    <t>2010 VW11</t>
  </si>
  <si>
    <t>2017 OK69</t>
  </si>
  <si>
    <t>2012 FM87</t>
  </si>
  <si>
    <t>2014 WK509</t>
  </si>
  <si>
    <t>2015 RL258</t>
  </si>
  <si>
    <t>2015 DW248</t>
  </si>
  <si>
    <t>2018 AK39</t>
  </si>
  <si>
    <t>2014 GJ65</t>
  </si>
  <si>
    <t>2013 RM109</t>
  </si>
  <si>
    <t>2001 QW297</t>
  </si>
  <si>
    <t>2001 KG76</t>
  </si>
  <si>
    <t>2005 EB299</t>
  </si>
  <si>
    <t>2003 QW113</t>
  </si>
  <si>
    <t>2001 UR163</t>
  </si>
  <si>
    <t>2018 AX18</t>
  </si>
  <si>
    <t>2015 AS293</t>
  </si>
  <si>
    <t>2013 MY11</t>
  </si>
  <si>
    <t>2014 CP23</t>
  </si>
  <si>
    <t>2014 EZ51</t>
  </si>
  <si>
    <t>2014 FK72</t>
  </si>
  <si>
    <t>2014 HE200</t>
  </si>
  <si>
    <t>2013 TJ172</t>
  </si>
  <si>
    <t>2011 HP83</t>
  </si>
  <si>
    <t>1995 TL8</t>
  </si>
  <si>
    <t>2013 TJ159</t>
  </si>
  <si>
    <t>1999 HW11</t>
  </si>
  <si>
    <t>2010 WG9</t>
  </si>
  <si>
    <t>2014 OJ394</t>
  </si>
  <si>
    <t>2008 CT190</t>
  </si>
  <si>
    <t>2013 SR102</t>
  </si>
  <si>
    <t>2010 FE49</t>
  </si>
  <si>
    <t>2001 XT254</t>
  </si>
  <si>
    <t>2015 BH519</t>
  </si>
  <si>
    <t>2014 JU80</t>
  </si>
  <si>
    <t>2016 TS97</t>
  </si>
  <si>
    <t>2015 GR50</t>
  </si>
  <si>
    <t>2000 PE30</t>
  </si>
  <si>
    <t>2016 FX58</t>
  </si>
  <si>
    <t>2011 BT163</t>
  </si>
  <si>
    <t>2015 DU249</t>
  </si>
  <si>
    <t>2005 CG81</t>
  </si>
  <si>
    <t>2010 TB192</t>
  </si>
  <si>
    <t>2014 QG442</t>
  </si>
  <si>
    <t>2012 AZ25</t>
  </si>
  <si>
    <t>1999 CC158</t>
  </si>
  <si>
    <t>2002 CY224</t>
  </si>
  <si>
    <t>2014 UD228</t>
  </si>
  <si>
    <t>2012 BA155</t>
  </si>
  <si>
    <t>1998 WA31</t>
  </si>
  <si>
    <t>2014 SK350</t>
  </si>
  <si>
    <t>2014 FV71</t>
  </si>
  <si>
    <t>2001 KC77</t>
  </si>
  <si>
    <t>2004 OJ14</t>
  </si>
  <si>
    <t>2015 BD519</t>
  </si>
  <si>
    <t>2014 FL70</t>
  </si>
  <si>
    <t>2015 AM281</t>
  </si>
  <si>
    <t>2015 GP50</t>
  </si>
  <si>
    <t>2002 TC302</t>
  </si>
  <si>
    <t>2010 DN93</t>
  </si>
  <si>
    <t>1999 CF119</t>
  </si>
  <si>
    <t>2011 BM170</t>
  </si>
  <si>
    <t>2014 FM72</t>
  </si>
  <si>
    <t>2005 XN113</t>
  </si>
  <si>
    <t>2021 DQ15</t>
  </si>
  <si>
    <t>2015 GN55</t>
  </si>
  <si>
    <t>2014 WS510</t>
  </si>
  <si>
    <t>2003 UY117</t>
  </si>
  <si>
    <t>2005 SD278</t>
  </si>
  <si>
    <t>2014 UA230</t>
  </si>
  <si>
    <t>2015 KG172</t>
  </si>
  <si>
    <t>2010 FD49</t>
  </si>
  <si>
    <t>2021 LL37</t>
  </si>
  <si>
    <t>2000 FE8</t>
  </si>
  <si>
    <t>2014 AN55</t>
  </si>
  <si>
    <t>1999 DE9</t>
  </si>
  <si>
    <t>2014 HA200</t>
  </si>
  <si>
    <t>2010 JC80</t>
  </si>
  <si>
    <t>2014 JX80</t>
  </si>
  <si>
    <t>1999 HB12</t>
  </si>
  <si>
    <t>2015 DV224</t>
  </si>
  <si>
    <t>2014 WY535</t>
  </si>
  <si>
    <t>2009 YG19</t>
  </si>
  <si>
    <t>2006 QS180</t>
  </si>
  <si>
    <t>2014 YH50</t>
  </si>
  <si>
    <t>2007 VK305</t>
  </si>
  <si>
    <t>2007 TB418</t>
  </si>
  <si>
    <t>2004 XR190</t>
  </si>
  <si>
    <t>2000 YW134</t>
  </si>
  <si>
    <t>2000 CQ105</t>
  </si>
  <si>
    <t>2014 XO40</t>
  </si>
  <si>
    <t>2001 QX322</t>
  </si>
  <si>
    <t>2013 AP183</t>
  </si>
  <si>
    <t>2014 GL54</t>
  </si>
  <si>
    <t>2010 OE153</t>
  </si>
  <si>
    <t>2014 WD510</t>
  </si>
  <si>
    <t>2013 RO98</t>
  </si>
  <si>
    <t>2014 YE50</t>
  </si>
  <si>
    <t>2000 CM114</t>
  </si>
  <si>
    <t>2013 JH64</t>
  </si>
  <si>
    <t>2010 EQ65</t>
  </si>
  <si>
    <t>2017 FO161</t>
  </si>
  <si>
    <t>2014 UN225</t>
  </si>
  <si>
    <t>2015 VJ168</t>
  </si>
  <si>
    <t>2015 SO21</t>
  </si>
  <si>
    <t>2006 BS284</t>
  </si>
  <si>
    <t>2014 GH54</t>
  </si>
  <si>
    <t>2014 WB536</t>
  </si>
  <si>
    <t>2015 RG279</t>
  </si>
  <si>
    <t>2015 RA279</t>
  </si>
  <si>
    <t>2014 XV40</t>
  </si>
  <si>
    <t>2013 UE15</t>
  </si>
  <si>
    <t>2013 AS183</t>
  </si>
  <si>
    <t>2003 FZ129</t>
  </si>
  <si>
    <t>2011 MV11</t>
  </si>
  <si>
    <t>2013 AT183</t>
  </si>
  <si>
    <t>2010 JE215</t>
  </si>
  <si>
    <t>2014 SV349</t>
  </si>
  <si>
    <t>2008 QY40</t>
  </si>
  <si>
    <t>2014 HF200</t>
  </si>
  <si>
    <t>2010 PT66</t>
  </si>
  <si>
    <t>2015 KH162</t>
  </si>
  <si>
    <t>2014 FX71</t>
  </si>
  <si>
    <t>2011 CY119</t>
  </si>
  <si>
    <t>2010 ET65</t>
  </si>
  <si>
    <t>2010 MR116</t>
  </si>
  <si>
    <t>2010 XE91</t>
  </si>
  <si>
    <t>2013 FQ28</t>
  </si>
  <si>
    <t>2015 UH87</t>
  </si>
  <si>
    <t>2014 JM80</t>
  </si>
  <si>
    <t>2014 SP363</t>
  </si>
  <si>
    <t>2005 EO297</t>
  </si>
  <si>
    <t>2014 WL510</t>
  </si>
  <si>
    <t>2015 BB519</t>
  </si>
  <si>
    <t>1998 XY95</t>
  </si>
  <si>
    <t>2015 FG415</t>
  </si>
  <si>
    <t>2000 YY1</t>
  </si>
  <si>
    <t>2011 LZ28</t>
  </si>
  <si>
    <t>2014 HC200</t>
  </si>
  <si>
    <t>2014 HO211</t>
  </si>
  <si>
    <t>2015 VG168</t>
  </si>
  <si>
    <t>2010 RE64</t>
  </si>
  <si>
    <t>2014 QB442</t>
  </si>
  <si>
    <t>2008 OG19</t>
  </si>
  <si>
    <t>2006 QH181</t>
  </si>
  <si>
    <t>2004 LX32</t>
  </si>
  <si>
    <t>2015 DX224</t>
  </si>
  <si>
    <t>2009 DJ143</t>
  </si>
  <si>
    <t>2005 LC54</t>
  </si>
  <si>
    <t>2021 DR15</t>
  </si>
  <si>
    <t>2003 QK91</t>
  </si>
  <si>
    <t>2002 XU93</t>
  </si>
  <si>
    <t>2014 OP394</t>
  </si>
  <si>
    <t>2015 TP454</t>
  </si>
  <si>
    <t>2014 WJ510</t>
  </si>
  <si>
    <t>2012 EE18</t>
  </si>
  <si>
    <t>2014 LV28</t>
  </si>
  <si>
    <t>2006 HX122</t>
  </si>
  <si>
    <t>2004 VM131</t>
  </si>
  <si>
    <t>2015 KF172</t>
  </si>
  <si>
    <t>2014 QC442</t>
  </si>
  <si>
    <t>2003 FH129</t>
  </si>
  <si>
    <t>2007 RM314</t>
  </si>
  <si>
    <t>2014 UV224</t>
  </si>
  <si>
    <t>2020 FY30</t>
  </si>
  <si>
    <t>2013 AR183</t>
  </si>
  <si>
    <t>2014 FC69</t>
  </si>
  <si>
    <t>2014 KE113</t>
  </si>
  <si>
    <t>2012 BX154</t>
  </si>
  <si>
    <t>2013 YJ151</t>
  </si>
  <si>
    <t>2011 YN79</t>
  </si>
  <si>
    <t>2016 SS55</t>
  </si>
  <si>
    <t>2005 TB190</t>
  </si>
  <si>
    <t>2015 VO166</t>
  </si>
  <si>
    <t>2014 WN510</t>
  </si>
  <si>
    <t>2014 FC72</t>
  </si>
  <si>
    <t>2003 LA7</t>
  </si>
  <si>
    <t>2008 UA332</t>
  </si>
  <si>
    <t>2013 SF106</t>
  </si>
  <si>
    <t>2014 WH510</t>
  </si>
  <si>
    <t>2014 WZ508</t>
  </si>
  <si>
    <t>2015 TH367</t>
  </si>
  <si>
    <t>2013 TB187</t>
  </si>
  <si>
    <t>2010 JO179</t>
  </si>
  <si>
    <t>2010 BP153</t>
  </si>
  <si>
    <t>2003 HL57</t>
  </si>
  <si>
    <t>2006 QT180</t>
  </si>
  <si>
    <t>2018 AG37</t>
  </si>
  <si>
    <t>2015 TJ367</t>
  </si>
  <si>
    <t>2005 NU125</t>
  </si>
  <si>
    <t>2013 OR11</t>
  </si>
  <si>
    <t>2004 TF282</t>
  </si>
  <si>
    <t>2014 YF50</t>
  </si>
  <si>
    <t>2015 RR245</t>
  </si>
  <si>
    <t>2018 VG18</t>
  </si>
  <si>
    <t>2010 JJ124</t>
  </si>
  <si>
    <t>2003 UA414</t>
  </si>
  <si>
    <t>2015 PZ315</t>
  </si>
  <si>
    <t>2015 BG568</t>
  </si>
  <si>
    <t>1996 TL66</t>
  </si>
  <si>
    <t>2014 SJ378</t>
  </si>
  <si>
    <t>2010 PU75</t>
  </si>
  <si>
    <t>2015 GW55</t>
  </si>
  <si>
    <t>2017 WH30</t>
  </si>
  <si>
    <t>2015 VL168</t>
  </si>
  <si>
    <t>2001 FZ173</t>
  </si>
  <si>
    <t>2007 LF38</t>
  </si>
  <si>
    <t>2014 GD54</t>
  </si>
  <si>
    <t>2011 BP170</t>
  </si>
  <si>
    <t>2015 DD249</t>
  </si>
  <si>
    <t>2008 LP17</t>
  </si>
  <si>
    <t>2004 PG115</t>
  </si>
  <si>
    <t>2006 HQ122</t>
  </si>
  <si>
    <t>2005 SA278</t>
  </si>
  <si>
    <t>2011 HO60</t>
  </si>
  <si>
    <t>2018 VO35</t>
  </si>
  <si>
    <t>1996 GQ21</t>
  </si>
  <si>
    <t>2014 FJ72</t>
  </si>
  <si>
    <t>2005 RP43</t>
  </si>
  <si>
    <t>2017 SN132</t>
  </si>
  <si>
    <t>2013 SQ102</t>
  </si>
  <si>
    <t>1999 TD10</t>
  </si>
  <si>
    <t>2000 OM67</t>
  </si>
  <si>
    <t>2011 WJ157</t>
  </si>
  <si>
    <t>2014 WY508</t>
  </si>
  <si>
    <t>2011 BR163</t>
  </si>
  <si>
    <t>2010 ER65</t>
  </si>
  <si>
    <t>2014 US277</t>
  </si>
  <si>
    <t>2015 VB168</t>
  </si>
  <si>
    <t>2008 ST291</t>
  </si>
  <si>
    <t>2014 XP40</t>
  </si>
  <si>
    <t>2014 SR350</t>
  </si>
  <si>
    <t>2014 BE70</t>
  </si>
  <si>
    <t>2012 HX87</t>
  </si>
  <si>
    <t>2014 UZ224</t>
  </si>
  <si>
    <t>2014 KA102</t>
  </si>
  <si>
    <t>2004 MK10</t>
  </si>
  <si>
    <t>2005 QU182</t>
  </si>
  <si>
    <t>2020 MK53</t>
  </si>
  <si>
    <t>2015 DW224</t>
  </si>
  <si>
    <t>2013 TV158</t>
  </si>
  <si>
    <t>2010 QQ7</t>
  </si>
  <si>
    <t>2015 VD168</t>
  </si>
  <si>
    <t>2014 KZ101</t>
  </si>
  <si>
    <t>1999 RD215</t>
  </si>
  <si>
    <t>2013 GJ138</t>
  </si>
  <si>
    <t>2014 YK50</t>
  </si>
  <si>
    <t>2000 PJ30</t>
  </si>
  <si>
    <t>2014 MJ70</t>
  </si>
  <si>
    <t>2013 FS28</t>
  </si>
  <si>
    <t>2014 JW80</t>
  </si>
  <si>
    <t>2014 OS394</t>
  </si>
  <si>
    <t>2010 VZ98</t>
  </si>
  <si>
    <t>2013 GP136</t>
  </si>
  <si>
    <t>2015 SO20</t>
  </si>
  <si>
    <t>2003 HB57</t>
  </si>
  <si>
    <t>2016 QV89</t>
  </si>
  <si>
    <t>2011 QY100</t>
  </si>
  <si>
    <t>2005 PU21</t>
  </si>
  <si>
    <t>2017 DO121</t>
  </si>
  <si>
    <t>2013 LU28</t>
  </si>
  <si>
    <t>2007 VJ305</t>
  </si>
  <si>
    <t>2013 UT15</t>
  </si>
  <si>
    <t>2014 GR53</t>
  </si>
  <si>
    <t>2014 QW510</t>
  </si>
  <si>
    <t>2001 FP185</t>
  </si>
  <si>
    <t>2000 CR105</t>
  </si>
  <si>
    <t>2015 RM306</t>
  </si>
  <si>
    <t>2023 KQ14</t>
  </si>
  <si>
    <t>2012 VP113</t>
  </si>
  <si>
    <t>2015 DM319</t>
  </si>
  <si>
    <t>2014 LM28</t>
  </si>
  <si>
    <t>2010 NV1</t>
  </si>
  <si>
    <t>2014 SR349</t>
  </si>
  <si>
    <t>2013 FT28</t>
  </si>
  <si>
    <t>2015 GT50</t>
  </si>
  <si>
    <t>2009 MS9</t>
  </si>
  <si>
    <t>2010 GB174</t>
  </si>
  <si>
    <t>2013 RF98</t>
  </si>
  <si>
    <t>2014 RK86</t>
  </si>
  <si>
    <t>2015 DK249</t>
  </si>
  <si>
    <t>2015 RX245</t>
  </si>
  <si>
    <t>2015 BP519</t>
  </si>
  <si>
    <t>2013 RA109</t>
  </si>
  <si>
    <t>2015 AD298</t>
  </si>
  <si>
    <t>2007 TG422</t>
  </si>
  <si>
    <t>2010 BK118</t>
  </si>
  <si>
    <t>2020 YR3</t>
  </si>
  <si>
    <t>2013 GW141</t>
  </si>
  <si>
    <t>2015 KG163</t>
  </si>
  <si>
    <t>2013 SY99</t>
  </si>
  <si>
    <t>2017 OF201</t>
  </si>
  <si>
    <t>2006 SQ372</t>
  </si>
  <si>
    <t>2013 BL76</t>
  </si>
  <si>
    <t>2012 DR30</t>
  </si>
  <si>
    <t>2014 FE72</t>
  </si>
  <si>
    <r>
      <t>2015 SO</t>
    </r>
    <r>
      <rPr>
        <b/>
        <vertAlign val="subscript"/>
        <sz val="10"/>
        <color theme="1"/>
        <rFont val="Aptos Narrow"/>
        <family val="2"/>
        <scheme val="minor"/>
      </rPr>
      <t>20</t>
    </r>
  </si>
  <si>
    <r>
      <t>2016 QV</t>
    </r>
    <r>
      <rPr>
        <b/>
        <vertAlign val="subscript"/>
        <sz val="10"/>
        <color theme="1"/>
        <rFont val="Aptos Narrow"/>
        <family val="2"/>
        <scheme val="minor"/>
      </rPr>
      <t>89</t>
    </r>
  </si>
  <si>
    <r>
      <t>2007 VJ</t>
    </r>
    <r>
      <rPr>
        <b/>
        <vertAlign val="subscript"/>
        <sz val="10"/>
        <color theme="1"/>
        <rFont val="Aptos Narrow"/>
        <family val="2"/>
        <scheme val="minor"/>
      </rPr>
      <t>305</t>
    </r>
  </si>
  <si>
    <r>
      <t>2013 UT</t>
    </r>
    <r>
      <rPr>
        <b/>
        <vertAlign val="subscript"/>
        <sz val="10"/>
        <color theme="1"/>
        <rFont val="Aptos Narrow"/>
        <family val="2"/>
        <scheme val="minor"/>
      </rPr>
      <t>15</t>
    </r>
  </si>
  <si>
    <r>
      <t>2001 FP</t>
    </r>
    <r>
      <rPr>
        <b/>
        <vertAlign val="subscript"/>
        <sz val="10"/>
        <color theme="1"/>
        <rFont val="Aptos Narrow"/>
        <family val="2"/>
        <scheme val="minor"/>
      </rPr>
      <t>185</t>
    </r>
  </si>
  <si>
    <r>
      <t>2000 CR</t>
    </r>
    <r>
      <rPr>
        <b/>
        <vertAlign val="subscript"/>
        <sz val="10"/>
        <color theme="1"/>
        <rFont val="Aptos Narrow"/>
        <family val="2"/>
        <scheme val="minor"/>
      </rPr>
      <t>105</t>
    </r>
  </si>
  <si>
    <r>
      <t>2023 KQ</t>
    </r>
    <r>
      <rPr>
        <b/>
        <vertAlign val="subscript"/>
        <sz val="10"/>
        <color theme="1"/>
        <rFont val="Aptos Narrow"/>
        <family val="2"/>
        <scheme val="minor"/>
      </rPr>
      <t>14</t>
    </r>
  </si>
  <si>
    <r>
      <t>2013 RA</t>
    </r>
    <r>
      <rPr>
        <b/>
        <vertAlign val="subscript"/>
        <sz val="10"/>
        <color theme="1"/>
        <rFont val="Aptos Narrow"/>
        <family val="2"/>
        <scheme val="minor"/>
      </rPr>
      <t>109</t>
    </r>
  </si>
  <si>
    <r>
      <t xml:space="preserve">Longitude of Ascending Node </t>
    </r>
    <r>
      <rPr>
        <sz val="11"/>
        <color theme="1"/>
        <rFont val="Aptos Display"/>
        <family val="2"/>
        <scheme val="major"/>
      </rPr>
      <t>(Ω)</t>
    </r>
  </si>
  <si>
    <r>
      <t xml:space="preserve">Argument of Periapsis </t>
    </r>
    <r>
      <rPr>
        <sz val="11"/>
        <color theme="1"/>
        <rFont val="Aptos Display"/>
        <family val="2"/>
        <scheme val="major"/>
      </rPr>
      <t>(ω)</t>
    </r>
  </si>
  <si>
    <r>
      <t xml:space="preserve">Inclination </t>
    </r>
    <r>
      <rPr>
        <sz val="11"/>
        <color theme="1"/>
        <rFont val="Aptos Display"/>
        <family val="2"/>
        <scheme val="major"/>
      </rPr>
      <t>(i)</t>
    </r>
  </si>
  <si>
    <r>
      <t>Eccentricity</t>
    </r>
    <r>
      <rPr>
        <sz val="11"/>
        <color theme="1"/>
        <rFont val="Aptos Display"/>
        <family val="2"/>
        <scheme val="major"/>
      </rPr>
      <t xml:space="preserve"> (e)</t>
    </r>
  </si>
  <si>
    <r>
      <t xml:space="preserve">Semi-Major Axis </t>
    </r>
    <r>
      <rPr>
        <sz val="11"/>
        <color theme="1"/>
        <rFont val="Aptos Display"/>
        <family val="2"/>
        <scheme val="major"/>
      </rPr>
      <t>(a)</t>
    </r>
  </si>
  <si>
    <r>
      <t>Radius</t>
    </r>
    <r>
      <rPr>
        <sz val="11"/>
        <color theme="1"/>
        <rFont val="Aptos Display"/>
        <family val="2"/>
        <scheme val="major"/>
      </rPr>
      <t xml:space="preserve"> (r)</t>
    </r>
  </si>
  <si>
    <r>
      <rPr>
        <sz val="11"/>
        <color theme="1"/>
        <rFont val="Aptos Display"/>
        <family val="2"/>
        <scheme val="major"/>
      </rPr>
      <t>#</t>
    </r>
    <r>
      <rPr>
        <b/>
        <sz val="11"/>
        <color theme="1"/>
        <rFont val="Aptos Display"/>
        <family val="2"/>
        <scheme val="major"/>
      </rPr>
      <t xml:space="preserve"> of Satellites</t>
    </r>
  </si>
  <si>
    <r>
      <t xml:space="preserve">Color </t>
    </r>
    <r>
      <rPr>
        <sz val="11"/>
        <color rgb="FF3F3F3F"/>
        <rFont val="Aptos Display"/>
        <family val="2"/>
        <scheme val="major"/>
      </rPr>
      <t>#</t>
    </r>
    <r>
      <rPr>
        <b/>
        <sz val="11"/>
        <color rgb="FF3F3F3F"/>
        <rFont val="Aptos Display"/>
        <family val="2"/>
        <scheme val="major"/>
      </rPr>
      <t>1</t>
    </r>
  </si>
  <si>
    <r>
      <t xml:space="preserve">Color </t>
    </r>
    <r>
      <rPr>
        <sz val="11"/>
        <color rgb="FF3F3F3F"/>
        <rFont val="Aptos Display"/>
        <family val="2"/>
        <scheme val="major"/>
      </rPr>
      <t>#</t>
    </r>
    <r>
      <rPr>
        <b/>
        <sz val="11"/>
        <color rgb="FF3F3F3F"/>
        <rFont val="Aptos Display"/>
        <family val="2"/>
        <scheme val="major"/>
      </rPr>
      <t>2</t>
    </r>
  </si>
  <si>
    <t>SolSys_ID</t>
  </si>
  <si>
    <t>Domain_ID</t>
  </si>
  <si>
    <t>Color_ID</t>
  </si>
  <si>
    <t>DETACHED OBJECTS</t>
  </si>
  <si>
    <t>Type_priority</t>
  </si>
  <si>
    <r>
      <t xml:space="preserve">Mean Anomaly </t>
    </r>
    <r>
      <rPr>
        <sz val="11"/>
        <color theme="1"/>
        <rFont val="Aptos Display"/>
        <family val="2"/>
        <scheme val="major"/>
      </rPr>
      <t>(M)</t>
    </r>
  </si>
  <si>
    <r>
      <t xml:space="preserve">Density </t>
    </r>
    <r>
      <rPr>
        <sz val="11"/>
        <color theme="1"/>
        <rFont val="Aptos Display"/>
        <family val="2"/>
        <scheme val="major"/>
      </rPr>
      <t>(ρ)</t>
    </r>
  </si>
  <si>
    <r>
      <t xml:space="preserve">5.427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</si>
  <si>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5.243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</si>
  <si>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5.513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</si>
  <si>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3.344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</si>
  <si>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1.19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</si>
  <si>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1.925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</si>
  <si>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2.67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</si>
  <si>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3.934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</si>
  <si>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1.861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</si>
  <si>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1.465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</si>
  <si>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</si>
  <si>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1.525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</si>
  <si>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2.72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</si>
  <si>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</si>
  <si>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2.867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</si>
  <si>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2.375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</si>
  <si>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1.23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</si>
  <si>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2.925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</si>
  <si>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3.465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</si>
  <si>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1.815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</si>
  <si>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3.81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</si>
  <si>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2.695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</si>
  <si>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2.98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</si>
  <si>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3.53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</si>
  <si>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3.21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</si>
  <si>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4.64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</si>
  <si>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3.54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</si>
  <si>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3.18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</si>
  <si>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</si>
  <si>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2.25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</si>
  <si>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2.78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</si>
  <si>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3.24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</si>
  <si>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5.81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</si>
  <si>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</si>
  <si>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3.334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</si>
  <si>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5.05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</si>
  <si>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2.61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</si>
  <si>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1.713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</si>
  <si>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3.501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</si>
  <si>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</si>
  <si>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2.765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</si>
  <si>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3.172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</si>
  <si>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</si>
  <si>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1.15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</si>
  <si>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</si>
  <si>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1.454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</si>
  <si>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</si>
  <si>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3.48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</si>
  <si>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1.03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</si>
  <si>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1.28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</si>
  <si>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3.07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</si>
  <si>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</si>
  <si>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2.906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</si>
  <si>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3.035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</si>
  <si>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</si>
  <si>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2.14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</si>
  <si>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2.99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</si>
  <si>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4.175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</si>
  <si>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3.175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</si>
  <si>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4.16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</si>
  <si>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</si>
  <si>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1.595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</si>
  <si>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4.83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</si>
  <si>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</si>
  <si>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</si>
  <si>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</si>
  <si>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</si>
  <si>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1.287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</si>
  <si>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7.72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</si>
  <si>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7.86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</si>
  <si>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1.395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</si>
  <si>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1.626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</si>
  <si>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</si>
  <si>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1.606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</si>
  <si>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9.14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</si>
  <si>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</si>
  <si>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3.156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</si>
  <si>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8.95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</si>
  <si>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1.693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</si>
  <si>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1.672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</si>
  <si>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</si>
  <si>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</si>
  <si>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6.1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</si>
  <si>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3.75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</si>
  <si>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1.865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</si>
  <si>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</si>
  <si>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2.47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</si>
  <si>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2.162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</si>
  <si>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2.793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</si>
  <si>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5.04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</si>
  <si>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3.374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</si>
  <si>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2.958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</si>
  <si>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3.95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</si>
  <si>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6.66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</si>
  <si>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2.158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</si>
  <si>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4.234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</si>
  <si>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3.504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</si>
  <si>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6.29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</si>
  <si>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2.93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</si>
  <si>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6.54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</si>
  <si>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2.96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</si>
  <si>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2.17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</si>
  <si>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3.079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</si>
  <si>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3.14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</si>
  <si>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3.028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</si>
  <si>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3.977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</si>
  <si>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3.401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</si>
  <si>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2.23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</si>
  <si>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1.686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</si>
  <si>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4.38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</si>
  <si>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0.98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</si>
  <si>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1.769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</si>
  <si>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3.67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</si>
  <si>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</si>
  <si>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2.54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</si>
  <si>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</si>
  <si>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2.357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</si>
  <si>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1.92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</si>
  <si>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</si>
  <si>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1.462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</si>
  <si>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9.29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</si>
  <si>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1.565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</si>
  <si>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1.455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</si>
  <si>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</si>
  <si>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3.27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</si>
  <si>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8.41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</si>
  <si>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2.48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</si>
  <si>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2.29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</si>
  <si>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4.46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</si>
  <si>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8.14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</si>
  <si>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</si>
  <si>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1.755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</si>
  <si>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2.16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</si>
  <si>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14.13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</si>
  <si>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2.002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</si>
  <si>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2.045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</si>
  <si>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7.81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</si>
  <si>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1.678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</si>
  <si>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16.62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</si>
  <si>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3.524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</si>
  <si>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1.633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</si>
  <si>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</si>
  <si>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</si>
  <si>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</si>
  <si>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1.676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</si>
  <si>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2.09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</si>
  <si>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2.445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</si>
  <si>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</si>
  <si>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8.37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</si>
  <si>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</si>
  <si>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4.32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</si>
  <si>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4.39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</si>
  <si>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</si>
  <si>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2.69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</si>
  <si>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5.76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</si>
  <si>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9.32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</si>
  <si>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2.26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</si>
  <si>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9.96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</si>
  <si>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0.79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</si>
  <si>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</si>
  <si>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1.378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</si>
  <si>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</si>
  <si>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13.36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</si>
  <si>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</si>
  <si>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1.326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</si>
  <si>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</si>
  <si>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0.857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</si>
  <si>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3.528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</si>
  <si>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3.013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</si>
  <si>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1.936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</si>
  <si>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1.834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</si>
  <si>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</si>
  <si>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</si>
  <si>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</si>
  <si>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1.687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</si>
  <si>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0.687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</si>
  <si>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</si>
  <si>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0.276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</si>
  <si>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0.394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</si>
  <si>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0.487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</si>
  <si>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0.505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</si>
  <si>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0.623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</si>
  <si>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0.641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</si>
  <si>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0.539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</si>
  <si>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0.307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</si>
  <si>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</si>
  <si>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0.251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</si>
  <si>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</si>
  <si>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0.984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</si>
  <si>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1.478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</si>
  <si>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0.293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</si>
  <si>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1.237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</si>
  <si>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1.089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</si>
  <si>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1.643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</si>
  <si>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</si>
  <si>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1.27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</si>
  <si>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</si>
  <si>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</si>
  <si>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0.78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</si>
  <si>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0.858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</si>
  <si>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1.148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</si>
  <si>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1.517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</si>
  <si>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1.539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</si>
  <si>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1.683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</si>
  <si>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1.682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</si>
  <si>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1.638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</si>
  <si>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</si>
  <si>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</si>
  <si>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0.811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</si>
  <si>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0.685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</si>
  <si>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2.061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</si>
  <si>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</si>
  <si>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2.645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</si>
  <si>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1.853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</si>
  <si>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1.705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</si>
  <si>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1.031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</si>
  <si>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1.22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</si>
  <si>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1.073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</si>
  <si>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</si>
  <si>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1.887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</si>
  <si>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</si>
  <si>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0.461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</si>
  <si>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</si>
  <si>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1.715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</si>
  <si>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0.92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</si>
  <si>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0.72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</si>
  <si>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</si>
  <si>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0.33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</si>
  <si>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</si>
  <si>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1.505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</si>
  <si>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0.51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</si>
  <si>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1.97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</si>
  <si>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0.609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</si>
  <si>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2.43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</si>
  <si>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</si>
  <si>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1.04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</si>
  <si>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</si>
  <si>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t>ρ_value</t>
  </si>
  <si>
    <t>Select:</t>
  </si>
  <si>
    <t>Semi-Major Axis (a)</t>
  </si>
  <si>
    <t>Eccentricity (e)</t>
  </si>
  <si>
    <t>θ</t>
  </si>
  <si>
    <t>x</t>
  </si>
  <si>
    <t>y</t>
  </si>
  <si>
    <t>Apsis (Q)</t>
  </si>
  <si>
    <t>⇘</t>
  </si>
  <si>
    <t>Plot_list</t>
  </si>
  <si>
    <r>
      <t xml:space="preserve">Sedna </t>
    </r>
    <r>
      <rPr>
        <b/>
        <sz val="8"/>
        <color theme="1"/>
        <rFont val="Astromoony"/>
      </rPr>
      <t>⯲</t>
    </r>
  </si>
  <si>
    <r>
      <t xml:space="preserve">Eris </t>
    </r>
    <r>
      <rPr>
        <b/>
        <sz val="8"/>
        <color theme="1"/>
        <rFont val="Astromoony"/>
      </rPr>
      <t>⯰</t>
    </r>
  </si>
  <si>
    <r>
      <t xml:space="preserve">Gonggong </t>
    </r>
    <r>
      <rPr>
        <b/>
        <sz val="8"/>
        <color theme="1"/>
        <rFont val="Astromoony"/>
      </rPr>
      <t>🝽</t>
    </r>
  </si>
  <si>
    <r>
      <t xml:space="preserve">Makemake </t>
    </r>
    <r>
      <rPr>
        <b/>
        <sz val="8"/>
        <color theme="1"/>
        <rFont val="Astromoony"/>
      </rPr>
      <t>🝼</t>
    </r>
  </si>
  <si>
    <r>
      <t xml:space="preserve">Quaoar </t>
    </r>
    <r>
      <rPr>
        <b/>
        <sz val="8"/>
        <color theme="1"/>
        <rFont val="Astromoony"/>
      </rPr>
      <t>🝾</t>
    </r>
  </si>
  <si>
    <r>
      <t xml:space="preserve">Haumea </t>
    </r>
    <r>
      <rPr>
        <b/>
        <sz val="8"/>
        <color theme="1"/>
        <rFont val="Astromoony"/>
      </rPr>
      <t>🝻</t>
    </r>
  </si>
  <si>
    <r>
      <t xml:space="preserve">Pluto </t>
    </r>
    <r>
      <rPr>
        <b/>
        <sz val="8"/>
        <color theme="1"/>
        <rFont val="Aptos Narrow"/>
        <family val="2"/>
        <scheme val="minor"/>
      </rPr>
      <t>♇</t>
    </r>
  </si>
  <si>
    <r>
      <t xml:space="preserve">Orcus </t>
    </r>
    <r>
      <rPr>
        <b/>
        <sz val="8"/>
        <color theme="1"/>
        <rFont val="Astromoony"/>
      </rPr>
      <t>🝿</t>
    </r>
  </si>
  <si>
    <r>
      <t xml:space="preserve">Neptune </t>
    </r>
    <r>
      <rPr>
        <b/>
        <sz val="8"/>
        <color theme="1"/>
        <rFont val="Aptos Narrow"/>
        <family val="2"/>
        <scheme val="minor"/>
      </rPr>
      <t>♆</t>
    </r>
  </si>
  <si>
    <r>
      <t xml:space="preserve">Uranus </t>
    </r>
    <r>
      <rPr>
        <b/>
        <sz val="8"/>
        <color theme="1"/>
        <rFont val="Aptos Narrow"/>
        <family val="2"/>
        <scheme val="minor"/>
      </rPr>
      <t>♅</t>
    </r>
  </si>
  <si>
    <r>
      <t xml:space="preserve">Chiron </t>
    </r>
    <r>
      <rPr>
        <b/>
        <sz val="8"/>
        <color theme="1"/>
        <rFont val="Aptos Narrow"/>
        <family val="2"/>
        <scheme val="minor"/>
      </rPr>
      <t>⚷</t>
    </r>
  </si>
  <si>
    <r>
      <t xml:space="preserve">Saturn </t>
    </r>
    <r>
      <rPr>
        <b/>
        <sz val="8"/>
        <color theme="1"/>
        <rFont val="Aptos Narrow"/>
        <family val="2"/>
        <scheme val="minor"/>
      </rPr>
      <t>♄</t>
    </r>
  </si>
  <si>
    <r>
      <t xml:space="preserve">Jupiter </t>
    </r>
    <r>
      <rPr>
        <b/>
        <sz val="8"/>
        <color theme="1"/>
        <rFont val="Aptos Narrow"/>
        <family val="2"/>
        <scheme val="minor"/>
      </rPr>
      <t>♃</t>
    </r>
  </si>
  <si>
    <r>
      <t xml:space="preserve">Hygiea </t>
    </r>
    <r>
      <rPr>
        <b/>
        <sz val="8"/>
        <color theme="1"/>
        <rFont val="Aptos Narrow"/>
        <family val="2"/>
        <scheme val="minor"/>
      </rPr>
      <t>⚕</t>
    </r>
  </si>
  <si>
    <r>
      <t xml:space="preserve">Pallas </t>
    </r>
    <r>
      <rPr>
        <b/>
        <sz val="8"/>
        <color theme="1"/>
        <rFont val="Aptos Narrow"/>
        <family val="2"/>
        <scheme val="minor"/>
      </rPr>
      <t>⚴</t>
    </r>
  </si>
  <si>
    <r>
      <t xml:space="preserve">Ceres </t>
    </r>
    <r>
      <rPr>
        <b/>
        <sz val="8"/>
        <color theme="1"/>
        <rFont val="Aptos Narrow"/>
        <family val="2"/>
        <scheme val="minor"/>
      </rPr>
      <t>⚳</t>
    </r>
  </si>
  <si>
    <r>
      <t xml:space="preserve">Juno </t>
    </r>
    <r>
      <rPr>
        <b/>
        <sz val="8"/>
        <color theme="1"/>
        <rFont val="Aptos Narrow"/>
        <family val="2"/>
        <scheme val="minor"/>
      </rPr>
      <t>⚵</t>
    </r>
  </si>
  <si>
    <r>
      <t xml:space="preserve">Vesta </t>
    </r>
    <r>
      <rPr>
        <b/>
        <sz val="8"/>
        <color theme="1"/>
        <rFont val="Aptos Narrow"/>
        <family val="2"/>
        <scheme val="minor"/>
      </rPr>
      <t>⚶</t>
    </r>
  </si>
  <si>
    <r>
      <t xml:space="preserve">Mars </t>
    </r>
    <r>
      <rPr>
        <b/>
        <sz val="8"/>
        <color theme="1"/>
        <rFont val="Aptos Narrow"/>
        <family val="2"/>
        <scheme val="minor"/>
      </rPr>
      <t>♂</t>
    </r>
  </si>
  <si>
    <r>
      <t xml:space="preserve">Earth </t>
    </r>
    <r>
      <rPr>
        <b/>
        <sz val="8"/>
        <color theme="1"/>
        <rFont val="Aptos Narrow"/>
        <family val="2"/>
        <scheme val="minor"/>
      </rPr>
      <t>⊕</t>
    </r>
  </si>
  <si>
    <r>
      <t xml:space="preserve">Venus </t>
    </r>
    <r>
      <rPr>
        <b/>
        <sz val="8"/>
        <color theme="1"/>
        <rFont val="Aptos Narrow"/>
        <family val="2"/>
        <scheme val="minor"/>
      </rPr>
      <t>♀</t>
    </r>
  </si>
  <si>
    <r>
      <t xml:space="preserve">Mercury </t>
    </r>
    <r>
      <rPr>
        <b/>
        <sz val="8"/>
        <color theme="1"/>
        <rFont val="Aptos Narrow"/>
        <family val="2"/>
        <scheme val="minor"/>
      </rPr>
      <t>☿</t>
    </r>
  </si>
  <si>
    <t>Plot_display</t>
  </si>
  <si>
    <t>Plot List</t>
  </si>
  <si>
    <t>Earth ⊕</t>
  </si>
  <si>
    <t>Plot_color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</si>
</sst>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vertAlign val="subscript"/>
      <sz val="10"/>
      <color theme="1"/>
      <name val="Aptos Narrow"/>
      <family val="2"/>
      <scheme val="minor"/>
    </font>
    <font>
      <b/>
      <sz val="11"/>
      <color theme="1"/>
      <name val="Astromoony"/>
    </font>
    <font>
      <i/>
      <sz val="11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vertAlign val="subscript"/>
      <sz val="10"/>
      <color theme="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sz val="10"/>
      <color theme="1"/>
      <name val="Courier New"/>
      <family val="3"/>
    </font>
    <font>
      <b/>
      <sz val="8"/>
      <color rgb="FF3F3F3F"/>
      <name val="Aptos Narrow"/>
      <family val="2"/>
      <scheme val="minor"/>
    </font>
    <font>
      <sz val="8"/>
      <color rgb="FF3F3F3F"/>
      <name val="Aptos Narrow"/>
      <family val="2"/>
      <scheme val="minor"/>
    </font>
    <font>
      <b/>
      <sz val="10"/>
      <color theme="1"/>
      <name val="Astromoony"/>
    </font>
    <font>
      <sz val="8"/>
      <color theme="1"/>
      <name val="Courier New"/>
      <family val="3"/>
    </font>
    <font>
      <sz val="11"/>
      <name val="Aptos Narrow"/>
      <family val="2"/>
      <scheme val="minor"/>
    </font>
    <font>
      <b/>
      <sz val="11"/>
      <name val="Aptos Display"/>
      <family val="2"/>
      <scheme val="major"/>
    </font>
    <font>
      <b/>
      <sz val="11"/>
      <color theme="1"/>
      <name val="Aptos Display"/>
      <family val="2"/>
      <scheme val="major"/>
    </font>
    <font>
      <sz val="11"/>
      <color theme="1"/>
      <name val="Aptos Display"/>
      <family val="2"/>
      <scheme val="major"/>
    </font>
    <font>
      <b/>
      <sz val="11"/>
      <color rgb="FF3F3F3F"/>
      <name val="Aptos Display"/>
      <family val="2"/>
      <scheme val="major"/>
    </font>
    <font>
      <sz val="11"/>
      <color rgb="FF3F3F3F"/>
      <name val="Aptos Display"/>
      <family val="2"/>
      <scheme val="major"/>
    </font>
    <font>
      <b/>
      <sz val="8"/>
      <color theme="1"/>
      <name val="Aptos Display"/>
      <family val="2"/>
      <scheme val="major"/>
    </font>
    <font>
      <b/>
      <sz val="8"/>
      <name val="Aptos Display"/>
      <family val="2"/>
      <scheme val="major"/>
    </font>
    <font>
      <sz val="8"/>
      <color theme="1"/>
      <name val="Aptos Display"/>
      <family val="2"/>
      <scheme val="major"/>
    </font>
    <font>
      <sz val="10"/>
      <name val="Courier New"/>
      <family val="3"/>
    </font>
    <font>
      <sz val="9"/>
      <color theme="1"/>
      <name val="Aptos Narrow"/>
      <family val="2"/>
      <scheme val="minor"/>
    </font>
    <font>
      <vertAlign val="superscript"/>
      <sz val="9"/>
      <color theme="1"/>
      <name val="Aptos Narrow"/>
      <family val="2"/>
      <scheme val="minor"/>
    </font>
    <font>
      <sz val="11"/>
      <color theme="0"/>
      <name val="Aptos Display"/>
      <family val="2"/>
      <scheme val="major"/>
    </font>
    <font>
      <b/>
      <sz val="11"/>
      <color theme="0"/>
      <name val="Aptos Display"/>
      <family val="2"/>
      <scheme val="major"/>
    </font>
    <font>
      <sz val="11"/>
      <color theme="1"/>
      <name val="Courier New"/>
      <family val="3"/>
    </font>
    <font>
      <sz val="9"/>
      <color theme="1"/>
      <name val="Courier New"/>
      <family val="3"/>
    </font>
    <font>
      <b/>
      <u/>
      <sz val="11"/>
      <color theme="1"/>
      <name val="Aptos Display"/>
      <family val="2"/>
      <scheme val="major"/>
    </font>
    <font>
      <b/>
      <sz val="8"/>
      <color theme="1"/>
      <name val="Astromoony"/>
    </font>
    <font>
      <b/>
      <sz val="8"/>
      <color theme="1"/>
      <name val="Aptos Narrow"/>
      <family val="2"/>
      <scheme val="minor"/>
    </font>
    <font>
      <sz val="8"/>
      <color theme="1"/>
      <name val="Astromoony"/>
    </font>
  </fonts>
  <fills count="40">
    <fill>
      <patternFill patternType="none"/>
    </fill>
    <fill>
      <patternFill patternType="gray125"/>
    </fill>
    <fill>
      <patternFill patternType="solid">
        <fgColor rgb="FFA9A9A9"/>
        <bgColor indexed="64"/>
      </patternFill>
    </fill>
    <fill>
      <patternFill patternType="solid">
        <fgColor rgb="FFFFE0B3"/>
        <bgColor indexed="64"/>
      </patternFill>
    </fill>
    <fill>
      <patternFill patternType="solid">
        <fgColor rgb="FFFFC966"/>
        <bgColor indexed="64"/>
      </patternFill>
    </fill>
    <fill>
      <patternFill patternType="solid">
        <fgColor rgb="FFFFB3B3"/>
        <bgColor indexed="64"/>
      </patternFill>
    </fill>
    <fill>
      <patternFill patternType="solid">
        <fgColor rgb="FF4DA6FF"/>
        <bgColor indexed="64"/>
      </patternFill>
    </fill>
    <fill>
      <patternFill patternType="solid">
        <fgColor rgb="FFB3D9FF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CCCC99"/>
        <bgColor indexed="64"/>
      </patternFill>
    </fill>
    <fill>
      <patternFill patternType="solid">
        <fgColor rgb="FFE6E6CC"/>
        <bgColor indexed="64"/>
      </patternFill>
    </fill>
    <fill>
      <patternFill patternType="solid">
        <fgColor rgb="FFFFE6B3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B3"/>
        <bgColor indexed="64"/>
      </patternFill>
    </fill>
    <fill>
      <patternFill patternType="solid">
        <fgColor rgb="FFFFF2B3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99CC99"/>
        <bgColor indexed="64"/>
      </patternFill>
    </fill>
    <fill>
      <patternFill patternType="solid">
        <fgColor rgb="FFCCE6CC"/>
        <bgColor indexed="64"/>
      </patternFill>
    </fill>
    <fill>
      <patternFill patternType="solid">
        <fgColor rgb="FFB3E6E6"/>
        <bgColor indexed="64"/>
      </patternFill>
    </fill>
    <fill>
      <patternFill patternType="solid">
        <fgColor rgb="FF66CCCC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99B3FF"/>
        <bgColor indexed="64"/>
      </patternFill>
    </fill>
    <fill>
      <patternFill patternType="solid">
        <fgColor rgb="FFB3E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9966CC"/>
        <bgColor indexed="64"/>
      </patternFill>
    </fill>
    <fill>
      <patternFill patternType="solid">
        <fgColor rgb="FFCCB3E6"/>
        <bgColor indexed="64"/>
      </patternFill>
    </fill>
    <fill>
      <patternFill patternType="solid">
        <fgColor rgb="FFFFB3E6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F2F2F2"/>
      </patternFill>
    </fill>
    <fill>
      <patternFill patternType="solid">
        <fgColor rgb="FFD3D3D3"/>
        <bgColor indexed="64"/>
      </patternFill>
    </fill>
    <fill>
      <patternFill patternType="solid">
        <fgColor theme="0"/>
        <bgColor indexed="64"/>
      </patternFill>
    </fill>
    <fill>
      <patternFill patternType="lightUp">
        <fgColor theme="0" tint="-0.14996795556505021"/>
        <bgColor indexed="65"/>
      </patternFill>
    </fill>
    <fill>
      <patternFill patternType="lightUp">
        <fgColor theme="0" tint="-0.24994659260841701"/>
        <bgColor indexed="65"/>
      </patternFill>
    </fill>
    <fill>
      <patternFill patternType="solid">
        <fgColor theme="1" tint="0.14999847407452621"/>
        <bgColor indexed="64"/>
      </patternFill>
    </fill>
    <fill>
      <patternFill patternType="lightUp">
        <fgColor theme="0" tint="-0.24994659260841701"/>
        <bgColor theme="1" tint="0.14999847407452621"/>
      </patternFill>
    </fill>
  </fills>
  <borders count="1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9" fillId="33" borderId="1" applyNumberFormat="0" applyAlignment="0" applyProtection="0"/>
    <xf numFmtId="0" fontId="10" fillId="2" borderId="0" applyNumberFormat="0" applyFont="0" applyFill="0" applyBorder="0" applyAlignment="0" applyProtection="0">
      <alignment horizontal="center"/>
    </xf>
  </cellStyleXfs>
  <cellXfs count="240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2" fillId="4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2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2" fillId="6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1" fillId="7" borderId="0" xfId="0" applyFont="1" applyFill="1" applyAlignment="1">
      <alignment horizontal="center"/>
    </xf>
    <xf numFmtId="0" fontId="2" fillId="7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0" fillId="7" borderId="0" xfId="0" quotePrefix="1" applyFill="1" applyAlignment="1">
      <alignment horizontal="center"/>
    </xf>
    <xf numFmtId="0" fontId="1" fillId="6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2" fillId="9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2" fillId="10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0" fillId="10" borderId="0" xfId="0" applyFill="1"/>
    <xf numFmtId="0" fontId="0" fillId="9" borderId="0" xfId="0" applyFill="1"/>
    <xf numFmtId="0" fontId="3" fillId="10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0" fillId="5" borderId="0" xfId="0" applyFill="1"/>
    <xf numFmtId="0" fontId="2" fillId="11" borderId="0" xfId="0" applyFont="1" applyFill="1" applyAlignment="1">
      <alignment horizontal="center"/>
    </xf>
    <xf numFmtId="0" fontId="0" fillId="11" borderId="0" xfId="0" applyFill="1" applyAlignment="1">
      <alignment horizontal="center"/>
    </xf>
    <xf numFmtId="0" fontId="2" fillId="1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1" fillId="11" borderId="0" xfId="0" applyFont="1" applyFill="1" applyAlignment="1">
      <alignment horizontal="center"/>
    </xf>
    <xf numFmtId="0" fontId="0" fillId="11" borderId="0" xfId="0" applyFill="1"/>
    <xf numFmtId="0" fontId="6" fillId="11" borderId="0" xfId="0" applyFont="1" applyFill="1" applyAlignment="1">
      <alignment horizontal="center"/>
    </xf>
    <xf numFmtId="0" fontId="0" fillId="12" borderId="0" xfId="0" applyFill="1"/>
    <xf numFmtId="0" fontId="1" fillId="12" borderId="0" xfId="0" applyFont="1" applyFill="1" applyAlignment="1">
      <alignment horizontal="center"/>
    </xf>
    <xf numFmtId="3" fontId="0" fillId="12" borderId="0" xfId="0" applyNumberFormat="1" applyFill="1" applyAlignment="1">
      <alignment horizontal="center"/>
    </xf>
    <xf numFmtId="0" fontId="2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2" fillId="14" borderId="0" xfId="0" applyFont="1" applyFill="1" applyAlignment="1">
      <alignment horizontal="center"/>
    </xf>
    <xf numFmtId="0" fontId="0" fillId="14" borderId="0" xfId="0" applyFill="1" applyAlignment="1">
      <alignment horizontal="center"/>
    </xf>
    <xf numFmtId="0" fontId="0" fillId="14" borderId="0" xfId="0" applyFill="1"/>
    <xf numFmtId="0" fontId="1" fillId="15" borderId="0" xfId="0" applyFont="1" applyFill="1" applyAlignment="1">
      <alignment horizontal="center"/>
    </xf>
    <xf numFmtId="0" fontId="2" fillId="15" borderId="0" xfId="0" applyFont="1" applyFill="1" applyAlignment="1">
      <alignment horizontal="center"/>
    </xf>
    <xf numFmtId="0" fontId="0" fillId="15" borderId="0" xfId="0" applyFill="1" applyAlignment="1">
      <alignment horizontal="center"/>
    </xf>
    <xf numFmtId="0" fontId="0" fillId="15" borderId="0" xfId="0" applyFill="1"/>
    <xf numFmtId="0" fontId="0" fillId="16" borderId="0" xfId="0" applyFill="1" applyAlignment="1">
      <alignment horizontal="center"/>
    </xf>
    <xf numFmtId="0" fontId="2" fillId="16" borderId="0" xfId="0" applyFont="1" applyFill="1" applyAlignment="1">
      <alignment horizontal="center"/>
    </xf>
    <xf numFmtId="0" fontId="0" fillId="16" borderId="0" xfId="0" applyFill="1"/>
    <xf numFmtId="0" fontId="1" fillId="16" borderId="0" xfId="0" applyFont="1" applyFill="1" applyAlignment="1">
      <alignment horizontal="center"/>
    </xf>
    <xf numFmtId="0" fontId="0" fillId="13" borderId="0" xfId="0" applyFill="1"/>
    <xf numFmtId="0" fontId="1" fillId="17" borderId="0" xfId="0" applyFont="1" applyFill="1" applyAlignment="1">
      <alignment horizontal="center"/>
    </xf>
    <xf numFmtId="0" fontId="2" fillId="17" borderId="0" xfId="0" applyFont="1" applyFill="1" applyAlignment="1">
      <alignment horizontal="center"/>
    </xf>
    <xf numFmtId="0" fontId="0" fillId="17" borderId="0" xfId="0" applyFill="1" applyAlignment="1">
      <alignment horizontal="center"/>
    </xf>
    <xf numFmtId="0" fontId="0" fillId="17" borderId="0" xfId="0" applyFill="1"/>
    <xf numFmtId="0" fontId="0" fillId="18" borderId="0" xfId="0" applyFill="1" applyAlignment="1">
      <alignment horizontal="center"/>
    </xf>
    <xf numFmtId="0" fontId="2" fillId="18" borderId="0" xfId="0" applyFont="1" applyFill="1" applyAlignment="1">
      <alignment horizontal="center"/>
    </xf>
    <xf numFmtId="0" fontId="0" fillId="18" borderId="0" xfId="0" applyFill="1"/>
    <xf numFmtId="0" fontId="1" fillId="18" borderId="0" xfId="0" applyFont="1" applyFill="1" applyAlignment="1">
      <alignment horizontal="center"/>
    </xf>
    <xf numFmtId="0" fontId="2" fillId="19" borderId="0" xfId="0" applyFont="1" applyFill="1" applyAlignment="1">
      <alignment horizontal="center"/>
    </xf>
    <xf numFmtId="0" fontId="0" fillId="19" borderId="0" xfId="0" applyFill="1" applyAlignment="1">
      <alignment horizontal="center"/>
    </xf>
    <xf numFmtId="0" fontId="3" fillId="19" borderId="0" xfId="0" applyFont="1" applyFill="1" applyAlignment="1">
      <alignment horizontal="center"/>
    </xf>
    <xf numFmtId="0" fontId="1" fillId="19" borderId="0" xfId="0" applyFont="1" applyFill="1" applyAlignment="1">
      <alignment horizontal="center"/>
    </xf>
    <xf numFmtId="0" fontId="2" fillId="20" borderId="0" xfId="0" applyFont="1" applyFill="1" applyAlignment="1">
      <alignment horizontal="center"/>
    </xf>
    <xf numFmtId="0" fontId="0" fillId="20" borderId="0" xfId="0" applyFill="1" applyAlignment="1">
      <alignment horizontal="center"/>
    </xf>
    <xf numFmtId="0" fontId="3" fillId="20" borderId="0" xfId="0" applyFont="1" applyFill="1" applyAlignment="1">
      <alignment horizontal="center"/>
    </xf>
    <xf numFmtId="0" fontId="2" fillId="21" borderId="0" xfId="0" applyFont="1" applyFill="1" applyAlignment="1">
      <alignment horizontal="center"/>
    </xf>
    <xf numFmtId="0" fontId="3" fillId="21" borderId="0" xfId="0" applyFont="1" applyFill="1" applyAlignment="1">
      <alignment horizontal="center"/>
    </xf>
    <xf numFmtId="0" fontId="0" fillId="21" borderId="0" xfId="0" applyFill="1" applyAlignment="1">
      <alignment horizontal="center"/>
    </xf>
    <xf numFmtId="0" fontId="1" fillId="21" borderId="0" xfId="0" applyFont="1" applyFill="1" applyAlignment="1">
      <alignment horizontal="center"/>
    </xf>
    <xf numFmtId="0" fontId="0" fillId="21" borderId="0" xfId="0" applyFill="1"/>
    <xf numFmtId="0" fontId="2" fillId="22" borderId="0" xfId="0" applyFont="1" applyFill="1" applyAlignment="1">
      <alignment horizontal="center"/>
    </xf>
    <xf numFmtId="0" fontId="3" fillId="22" borderId="0" xfId="0" applyFont="1" applyFill="1" applyAlignment="1">
      <alignment horizontal="center"/>
    </xf>
    <xf numFmtId="0" fontId="0" fillId="22" borderId="0" xfId="0" applyFill="1" applyAlignment="1">
      <alignment horizontal="center"/>
    </xf>
    <xf numFmtId="0" fontId="0" fillId="22" borderId="0" xfId="0" applyFill="1"/>
    <xf numFmtId="0" fontId="1" fillId="22" borderId="0" xfId="0" applyFont="1" applyFill="1" applyAlignment="1">
      <alignment horizontal="center"/>
    </xf>
    <xf numFmtId="0" fontId="2" fillId="23" borderId="0" xfId="0" applyFont="1" applyFill="1" applyAlignment="1">
      <alignment horizontal="center"/>
    </xf>
    <xf numFmtId="0" fontId="3" fillId="23" borderId="0" xfId="0" applyFont="1" applyFill="1" applyAlignment="1">
      <alignment horizontal="center"/>
    </xf>
    <xf numFmtId="0" fontId="0" fillId="23" borderId="0" xfId="0" applyFill="1" applyAlignment="1">
      <alignment horizontal="center"/>
    </xf>
    <xf numFmtId="0" fontId="1" fillId="23" borderId="0" xfId="0" applyFont="1" applyFill="1" applyAlignment="1">
      <alignment horizontal="center"/>
    </xf>
    <xf numFmtId="0" fontId="0" fillId="23" borderId="0" xfId="0" applyFill="1"/>
    <xf numFmtId="0" fontId="2" fillId="24" borderId="0" xfId="0" applyFont="1" applyFill="1" applyAlignment="1">
      <alignment horizontal="center"/>
    </xf>
    <xf numFmtId="0" fontId="3" fillId="24" borderId="0" xfId="0" applyFont="1" applyFill="1" applyAlignment="1">
      <alignment horizontal="center"/>
    </xf>
    <xf numFmtId="0" fontId="0" fillId="24" borderId="0" xfId="0" applyFill="1" applyAlignment="1">
      <alignment horizontal="center"/>
    </xf>
    <xf numFmtId="0" fontId="1" fillId="24" borderId="0" xfId="0" applyFont="1" applyFill="1" applyAlignment="1">
      <alignment horizontal="center"/>
    </xf>
    <xf numFmtId="0" fontId="0" fillId="24" borderId="0" xfId="0" applyFill="1"/>
    <xf numFmtId="0" fontId="2" fillId="25" borderId="0" xfId="0" applyFont="1" applyFill="1" applyAlignment="1">
      <alignment horizontal="center"/>
    </xf>
    <xf numFmtId="0" fontId="3" fillId="25" borderId="0" xfId="0" applyFont="1" applyFill="1" applyAlignment="1">
      <alignment horizontal="center"/>
    </xf>
    <xf numFmtId="0" fontId="0" fillId="25" borderId="0" xfId="0" applyFill="1" applyAlignment="1">
      <alignment horizontal="center"/>
    </xf>
    <xf numFmtId="0" fontId="2" fillId="26" borderId="0" xfId="0" applyFont="1" applyFill="1" applyAlignment="1">
      <alignment horizontal="center"/>
    </xf>
    <xf numFmtId="0" fontId="3" fillId="26" borderId="0" xfId="0" applyFont="1" applyFill="1" applyAlignment="1">
      <alignment horizontal="center"/>
    </xf>
    <xf numFmtId="0" fontId="0" fillId="26" borderId="0" xfId="0" applyFill="1" applyAlignment="1">
      <alignment horizontal="center"/>
    </xf>
    <xf numFmtId="0" fontId="0" fillId="19" borderId="0" xfId="0" applyFill="1"/>
    <xf numFmtId="0" fontId="5" fillId="27" borderId="0" xfId="0" applyFont="1" applyFill="1" applyAlignment="1">
      <alignment horizontal="center"/>
    </xf>
    <xf numFmtId="0" fontId="1" fillId="27" borderId="0" xfId="0" applyFont="1" applyFill="1" applyAlignment="1">
      <alignment horizontal="center"/>
    </xf>
    <xf numFmtId="0" fontId="2" fillId="27" borderId="0" xfId="0" applyFont="1" applyFill="1" applyAlignment="1">
      <alignment horizontal="center"/>
    </xf>
    <xf numFmtId="0" fontId="0" fillId="27" borderId="0" xfId="0" applyFill="1" applyAlignment="1">
      <alignment horizontal="center"/>
    </xf>
    <xf numFmtId="0" fontId="0" fillId="28" borderId="0" xfId="0" applyFill="1" applyAlignment="1">
      <alignment horizontal="center"/>
    </xf>
    <xf numFmtId="0" fontId="2" fillId="28" borderId="0" xfId="0" applyFont="1" applyFill="1" applyAlignment="1">
      <alignment horizontal="center"/>
    </xf>
    <xf numFmtId="0" fontId="1" fillId="28" borderId="0" xfId="0" applyFont="1" applyFill="1" applyAlignment="1">
      <alignment horizontal="center"/>
    </xf>
    <xf numFmtId="0" fontId="0" fillId="28" borderId="0" xfId="0" applyFill="1"/>
    <xf numFmtId="0" fontId="0" fillId="26" borderId="0" xfId="0" applyFill="1"/>
    <xf numFmtId="0" fontId="0" fillId="25" borderId="0" xfId="0" applyFill="1"/>
    <xf numFmtId="0" fontId="0" fillId="27" borderId="0" xfId="0" applyFill="1"/>
    <xf numFmtId="0" fontId="5" fillId="28" borderId="0" xfId="0" applyFont="1" applyFill="1" applyAlignment="1">
      <alignment horizontal="center"/>
    </xf>
    <xf numFmtId="0" fontId="3" fillId="29" borderId="0" xfId="0" applyFont="1" applyFill="1" applyAlignment="1">
      <alignment horizontal="center"/>
    </xf>
    <xf numFmtId="0" fontId="2" fillId="29" borderId="0" xfId="0" applyFont="1" applyFill="1" applyAlignment="1">
      <alignment horizontal="center"/>
    </xf>
    <xf numFmtId="0" fontId="0" fillId="29" borderId="0" xfId="0" applyFill="1" applyAlignment="1">
      <alignment horizontal="center"/>
    </xf>
    <xf numFmtId="0" fontId="3" fillId="30" borderId="0" xfId="0" applyFont="1" applyFill="1" applyAlignment="1">
      <alignment horizontal="center"/>
    </xf>
    <xf numFmtId="0" fontId="2" fillId="30" borderId="0" xfId="0" applyFont="1" applyFill="1" applyAlignment="1">
      <alignment horizontal="center"/>
    </xf>
    <xf numFmtId="0" fontId="0" fillId="30" borderId="0" xfId="0" applyFill="1" applyAlignment="1">
      <alignment horizontal="center"/>
    </xf>
    <xf numFmtId="0" fontId="0" fillId="30" borderId="0" xfId="0" applyFill="1"/>
    <xf numFmtId="0" fontId="0" fillId="29" borderId="0" xfId="0" applyFill="1"/>
    <xf numFmtId="0" fontId="2" fillId="31" borderId="0" xfId="0" applyFont="1" applyFill="1" applyAlignment="1">
      <alignment horizontal="center"/>
    </xf>
    <xf numFmtId="0" fontId="3" fillId="31" borderId="0" xfId="0" applyFont="1" applyFill="1" applyAlignment="1">
      <alignment horizontal="center"/>
    </xf>
    <xf numFmtId="0" fontId="0" fillId="31" borderId="0" xfId="0" applyFill="1" applyAlignment="1">
      <alignment horizontal="center"/>
    </xf>
    <xf numFmtId="0" fontId="2" fillId="32" borderId="0" xfId="0" applyFont="1" applyFill="1" applyAlignment="1">
      <alignment horizontal="center"/>
    </xf>
    <xf numFmtId="0" fontId="3" fillId="32" borderId="0" xfId="0" applyFont="1" applyFill="1" applyAlignment="1">
      <alignment horizontal="center"/>
    </xf>
    <xf numFmtId="0" fontId="0" fillId="32" borderId="0" xfId="0" applyFill="1" applyAlignment="1">
      <alignment horizontal="center"/>
    </xf>
    <xf numFmtId="0" fontId="1" fillId="10" borderId="0" xfId="0" applyFont="1" applyFill="1" applyAlignment="1">
      <alignment horizontal="center"/>
    </xf>
    <xf numFmtId="0" fontId="1" fillId="25" borderId="0" xfId="0" applyFont="1" applyFill="1" applyAlignment="1">
      <alignment horizontal="center"/>
    </xf>
    <xf numFmtId="0" fontId="1" fillId="26" borderId="0" xfId="0" applyFont="1" applyFill="1" applyAlignment="1">
      <alignment horizontal="center"/>
    </xf>
    <xf numFmtId="0" fontId="7" fillId="25" borderId="0" xfId="0" applyFont="1" applyFill="1" applyAlignment="1">
      <alignment horizontal="center"/>
    </xf>
    <xf numFmtId="0" fontId="7" fillId="26" borderId="0" xfId="0" applyFont="1" applyFill="1" applyAlignment="1">
      <alignment horizontal="center"/>
    </xf>
    <xf numFmtId="0" fontId="7" fillId="29" borderId="0" xfId="0" applyFont="1" applyFill="1" applyAlignment="1">
      <alignment horizontal="center"/>
    </xf>
    <xf numFmtId="0" fontId="7" fillId="30" borderId="0" xfId="0" applyFont="1" applyFill="1" applyAlignment="1">
      <alignment horizontal="center"/>
    </xf>
    <xf numFmtId="0" fontId="1" fillId="32" borderId="0" xfId="0" applyFont="1" applyFill="1" applyAlignment="1">
      <alignment horizontal="center"/>
    </xf>
    <xf numFmtId="0" fontId="3" fillId="11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3" fillId="16" borderId="0" xfId="0" applyFont="1" applyFill="1" applyAlignment="1">
      <alignment horizontal="center"/>
    </xf>
    <xf numFmtId="0" fontId="3" fillId="15" borderId="0" xfId="0" applyFont="1" applyFill="1" applyAlignment="1">
      <alignment horizontal="center"/>
    </xf>
    <xf numFmtId="0" fontId="3" fillId="18" borderId="0" xfId="0" applyFont="1" applyFill="1" applyAlignment="1">
      <alignment horizontal="center"/>
    </xf>
    <xf numFmtId="0" fontId="1" fillId="31" borderId="0" xfId="0" applyFont="1" applyFill="1" applyAlignment="1">
      <alignment horizontal="center"/>
    </xf>
    <xf numFmtId="0" fontId="7" fillId="12" borderId="0" xfId="0" applyFont="1" applyFill="1" applyAlignment="1">
      <alignment horizontal="center"/>
    </xf>
    <xf numFmtId="0" fontId="1" fillId="13" borderId="0" xfId="0" applyFont="1" applyFill="1" applyAlignment="1">
      <alignment horizontal="center"/>
    </xf>
    <xf numFmtId="0" fontId="7" fillId="11" borderId="0" xfId="0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7" fillId="20" borderId="0" xfId="0" applyFont="1" applyFill="1" applyAlignment="1">
      <alignment horizontal="center"/>
    </xf>
    <xf numFmtId="0" fontId="1" fillId="20" borderId="0" xfId="0" applyFont="1" applyFill="1" applyAlignment="1">
      <alignment horizontal="center"/>
    </xf>
    <xf numFmtId="0" fontId="7" fillId="27" borderId="0" xfId="0" applyFont="1" applyFill="1" applyAlignment="1">
      <alignment horizontal="center"/>
    </xf>
    <xf numFmtId="0" fontId="1" fillId="30" borderId="0" xfId="0" applyFont="1" applyFill="1" applyAlignment="1">
      <alignment horizontal="center"/>
    </xf>
    <xf numFmtId="0" fontId="0" fillId="20" borderId="0" xfId="0" applyFill="1"/>
    <xf numFmtId="0" fontId="7" fillId="31" borderId="0" xfId="0" applyFont="1" applyFill="1" applyAlignment="1">
      <alignment horizontal="center"/>
    </xf>
    <xf numFmtId="0" fontId="11" fillId="35" borderId="3" xfId="1" applyFont="1" applyFill="1" applyBorder="1" applyAlignment="1">
      <alignment horizontal="center"/>
    </xf>
    <xf numFmtId="0" fontId="10" fillId="2" borderId="2" xfId="0" applyFont="1" applyFill="1" applyBorder="1" applyAlignment="1">
      <alignment horizontal="center"/>
    </xf>
    <xf numFmtId="0" fontId="10" fillId="4" borderId="2" xfId="0" applyFont="1" applyFill="1" applyBorder="1" applyAlignment="1">
      <alignment horizontal="center"/>
    </xf>
    <xf numFmtId="0" fontId="10" fillId="6" borderId="2" xfId="0" applyFont="1" applyFill="1" applyBorder="1" applyAlignment="1">
      <alignment horizontal="center"/>
    </xf>
    <xf numFmtId="0" fontId="10" fillId="8" borderId="2" xfId="0" applyFont="1" applyFill="1" applyBorder="1" applyAlignment="1">
      <alignment horizontal="center"/>
    </xf>
    <xf numFmtId="0" fontId="10" fillId="10" borderId="2" xfId="0" applyFont="1" applyFill="1" applyBorder="1" applyAlignment="1">
      <alignment horizontal="center"/>
    </xf>
    <xf numFmtId="0" fontId="10" fillId="11" borderId="2" xfId="0" applyFont="1" applyFill="1" applyBorder="1" applyAlignment="1">
      <alignment horizontal="center"/>
    </xf>
    <xf numFmtId="0" fontId="10" fillId="15" borderId="2" xfId="0" applyFont="1" applyFill="1" applyBorder="1" applyAlignment="1">
      <alignment horizontal="center"/>
    </xf>
    <xf numFmtId="0" fontId="10" fillId="14" borderId="2" xfId="0" applyFont="1" applyFill="1" applyBorder="1" applyAlignment="1">
      <alignment horizontal="center"/>
    </xf>
    <xf numFmtId="0" fontId="10" fillId="18" borderId="2" xfId="0" applyFont="1" applyFill="1" applyBorder="1" applyAlignment="1">
      <alignment horizontal="center"/>
    </xf>
    <xf numFmtId="0" fontId="10" fillId="19" borderId="2" xfId="0" applyFont="1" applyFill="1" applyBorder="1" applyAlignment="1">
      <alignment horizontal="center"/>
    </xf>
    <xf numFmtId="0" fontId="10" fillId="22" borderId="2" xfId="0" applyFont="1" applyFill="1" applyBorder="1" applyAlignment="1">
      <alignment horizontal="center"/>
    </xf>
    <xf numFmtId="0" fontId="10" fillId="23" borderId="2" xfId="0" applyFont="1" applyFill="1" applyBorder="1" applyAlignment="1">
      <alignment horizontal="center"/>
    </xf>
    <xf numFmtId="0" fontId="10" fillId="27" borderId="2" xfId="0" applyFont="1" applyFill="1" applyBorder="1" applyAlignment="1">
      <alignment horizontal="center"/>
    </xf>
    <xf numFmtId="0" fontId="10" fillId="26" borderId="2" xfId="0" applyFont="1" applyFill="1" applyBorder="1" applyAlignment="1">
      <alignment horizontal="center"/>
    </xf>
    <xf numFmtId="0" fontId="10" fillId="30" borderId="2" xfId="0" applyFont="1" applyFill="1" applyBorder="1" applyAlignment="1">
      <alignment horizontal="center"/>
    </xf>
    <xf numFmtId="0" fontId="9" fillId="35" borderId="8" xfId="1" applyFill="1" applyBorder="1" applyAlignment="1">
      <alignment horizontal="center"/>
    </xf>
    <xf numFmtId="0" fontId="10" fillId="34" borderId="9" xfId="0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10" fillId="7" borderId="9" xfId="0" applyFont="1" applyFill="1" applyBorder="1" applyAlignment="1">
      <alignment horizontal="center"/>
    </xf>
    <xf numFmtId="0" fontId="12" fillId="35" borderId="8" xfId="1" applyFont="1" applyFill="1" applyBorder="1" applyAlignment="1">
      <alignment horizontal="center"/>
    </xf>
    <xf numFmtId="0" fontId="10" fillId="5" borderId="9" xfId="0" applyFont="1" applyFill="1" applyBorder="1" applyAlignment="1">
      <alignment horizontal="center"/>
    </xf>
    <xf numFmtId="0" fontId="10" fillId="9" borderId="9" xfId="0" applyFont="1" applyFill="1" applyBorder="1" applyAlignment="1">
      <alignment horizontal="center"/>
    </xf>
    <xf numFmtId="0" fontId="10" fillId="12" borderId="9" xfId="0" applyFont="1" applyFill="1" applyBorder="1" applyAlignment="1">
      <alignment horizontal="center"/>
    </xf>
    <xf numFmtId="0" fontId="10" fillId="16" borderId="9" xfId="0" applyFont="1" applyFill="1" applyBorder="1" applyAlignment="1">
      <alignment horizontal="center"/>
    </xf>
    <xf numFmtId="0" fontId="10" fillId="13" borderId="9" xfId="0" applyFont="1" applyFill="1" applyBorder="1" applyAlignment="1">
      <alignment horizontal="center"/>
    </xf>
    <xf numFmtId="0" fontId="10" fillId="17" borderId="9" xfId="0" applyFont="1" applyFill="1" applyBorder="1" applyAlignment="1">
      <alignment horizontal="center"/>
    </xf>
    <xf numFmtId="0" fontId="10" fillId="20" borderId="9" xfId="0" applyFont="1" applyFill="1" applyBorder="1" applyAlignment="1">
      <alignment horizontal="center"/>
    </xf>
    <xf numFmtId="0" fontId="10" fillId="21" borderId="9" xfId="0" applyFont="1" applyFill="1" applyBorder="1" applyAlignment="1">
      <alignment horizontal="center"/>
    </xf>
    <xf numFmtId="0" fontId="10" fillId="24" borderId="9" xfId="0" applyFont="1" applyFill="1" applyBorder="1" applyAlignment="1">
      <alignment horizontal="center"/>
    </xf>
    <xf numFmtId="0" fontId="10" fillId="28" borderId="9" xfId="0" applyFont="1" applyFill="1" applyBorder="1" applyAlignment="1">
      <alignment horizontal="center"/>
    </xf>
    <xf numFmtId="0" fontId="10" fillId="25" borderId="9" xfId="0" applyFont="1" applyFill="1" applyBorder="1" applyAlignment="1">
      <alignment horizontal="center"/>
    </xf>
    <xf numFmtId="0" fontId="10" fillId="29" borderId="9" xfId="0" applyFont="1" applyFill="1" applyBorder="1" applyAlignment="1">
      <alignment horizontal="center"/>
    </xf>
    <xf numFmtId="0" fontId="12" fillId="35" borderId="10" xfId="1" applyFont="1" applyFill="1" applyBorder="1" applyAlignment="1">
      <alignment horizontal="center"/>
    </xf>
    <xf numFmtId="0" fontId="11" fillId="35" borderId="11" xfId="1" applyFont="1" applyFill="1" applyBorder="1" applyAlignment="1">
      <alignment horizontal="center"/>
    </xf>
    <xf numFmtId="0" fontId="10" fillId="31" borderId="12" xfId="0" applyFont="1" applyFill="1" applyBorder="1" applyAlignment="1">
      <alignment horizontal="center"/>
    </xf>
    <xf numFmtId="0" fontId="10" fillId="32" borderId="13" xfId="0" applyFont="1" applyFill="1" applyBorder="1" applyAlignment="1">
      <alignment horizontal="center"/>
    </xf>
    <xf numFmtId="0" fontId="7" fillId="32" borderId="0" xfId="0" applyFont="1" applyFill="1" applyAlignment="1">
      <alignment horizontal="center"/>
    </xf>
    <xf numFmtId="0" fontId="3" fillId="17" borderId="0" xfId="0" applyFont="1" applyFill="1" applyAlignment="1">
      <alignment horizontal="center"/>
    </xf>
    <xf numFmtId="3" fontId="0" fillId="18" borderId="0" xfId="0" applyNumberFormat="1" applyFill="1" applyAlignment="1">
      <alignment horizontal="center"/>
    </xf>
    <xf numFmtId="3" fontId="0" fillId="17" borderId="0" xfId="0" applyNumberFormat="1" applyFill="1" applyAlignment="1">
      <alignment horizontal="center"/>
    </xf>
    <xf numFmtId="0" fontId="7" fillId="14" borderId="0" xfId="0" applyFont="1" applyFill="1" applyAlignment="1">
      <alignment horizontal="center"/>
    </xf>
    <xf numFmtId="0" fontId="1" fillId="29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164" fontId="2" fillId="36" borderId="0" xfId="0" applyNumberFormat="1" applyFont="1" applyFill="1" applyAlignment="1">
      <alignment horizontal="center"/>
    </xf>
    <xf numFmtId="0" fontId="7" fillId="36" borderId="0" xfId="0" applyFont="1" applyFill="1" applyAlignment="1">
      <alignment horizontal="center"/>
    </xf>
    <xf numFmtId="0" fontId="2" fillId="36" borderId="0" xfId="0" applyFont="1" applyFill="1" applyAlignment="1">
      <alignment horizontal="center"/>
    </xf>
    <xf numFmtId="0" fontId="13" fillId="36" borderId="0" xfId="0" applyFont="1" applyFill="1" applyAlignment="1">
      <alignment horizontal="center"/>
    </xf>
    <xf numFmtId="0" fontId="14" fillId="0" borderId="0" xfId="0" applyFont="1" applyAlignment="1">
      <alignment horizontal="center"/>
    </xf>
    <xf numFmtId="0" fontId="15" fillId="0" borderId="0" xfId="0" applyFont="1"/>
    <xf numFmtId="0" fontId="16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35" borderId="5" xfId="1" applyFont="1" applyFill="1" applyBorder="1" applyAlignment="1">
      <alignment horizontal="center"/>
    </xf>
    <xf numFmtId="0" fontId="20" fillId="35" borderId="4" xfId="1" applyFont="1" applyFill="1" applyBorder="1" applyAlignment="1">
      <alignment horizontal="center"/>
    </xf>
    <xf numFmtId="0" fontId="19" fillId="35" borderId="6" xfId="1" applyFont="1" applyFill="1" applyBorder="1" applyAlignment="1">
      <alignment horizontal="center"/>
    </xf>
    <xf numFmtId="0" fontId="19" fillId="35" borderId="7" xfId="1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164" fontId="22" fillId="0" borderId="0" xfId="0" applyNumberFormat="1" applyFont="1" applyAlignment="1">
      <alignment horizontal="center"/>
    </xf>
    <xf numFmtId="164" fontId="21" fillId="0" borderId="0" xfId="0" applyNumberFormat="1" applyFont="1" applyAlignment="1">
      <alignment horizontal="center"/>
    </xf>
    <xf numFmtId="0" fontId="23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37" borderId="0" xfId="0" applyFill="1" applyAlignment="1">
      <alignment horizontal="center"/>
    </xf>
    <xf numFmtId="0" fontId="27" fillId="38" borderId="0" xfId="0" applyFont="1" applyFill="1" applyAlignment="1">
      <alignment horizontal="center"/>
    </xf>
    <xf numFmtId="0" fontId="27" fillId="38" borderId="0" xfId="0" applyFont="1" applyFill="1"/>
    <xf numFmtId="0" fontId="28" fillId="38" borderId="0" xfId="0" applyFont="1" applyFill="1" applyAlignment="1">
      <alignment horizontal="right"/>
    </xf>
    <xf numFmtId="0" fontId="28" fillId="38" borderId="0" xfId="0" applyFont="1" applyFill="1" applyAlignment="1">
      <alignment horizontal="center"/>
    </xf>
    <xf numFmtId="0" fontId="18" fillId="0" borderId="0" xfId="0" applyFont="1"/>
    <xf numFmtId="0" fontId="0" fillId="37" borderId="0" xfId="0" applyFill="1"/>
    <xf numFmtId="0" fontId="18" fillId="37" borderId="0" xfId="0" applyFont="1" applyFill="1"/>
    <xf numFmtId="0" fontId="17" fillId="35" borderId="0" xfId="0" applyFont="1" applyFill="1" applyAlignment="1">
      <alignment horizontal="center"/>
    </xf>
    <xf numFmtId="0" fontId="29" fillId="35" borderId="0" xfId="0" applyFont="1" applyFill="1" applyAlignment="1">
      <alignment horizontal="center"/>
    </xf>
    <xf numFmtId="164" fontId="28" fillId="38" borderId="0" xfId="0" applyNumberFormat="1" applyFont="1" applyFill="1" applyAlignment="1">
      <alignment horizontal="center"/>
    </xf>
    <xf numFmtId="164" fontId="29" fillId="0" borderId="0" xfId="0" applyNumberFormat="1" applyFont="1" applyAlignment="1">
      <alignment horizontal="center"/>
    </xf>
    <xf numFmtId="1" fontId="28" fillId="38" borderId="0" xfId="0" applyNumberFormat="1" applyFont="1" applyFill="1" applyAlignment="1">
      <alignment horizontal="center"/>
    </xf>
    <xf numFmtId="1" fontId="29" fillId="0" borderId="0" xfId="0" applyNumberFormat="1" applyFont="1" applyAlignment="1">
      <alignment horizontal="center"/>
    </xf>
    <xf numFmtId="1" fontId="30" fillId="0" borderId="0" xfId="0" applyNumberFormat="1" applyFont="1" applyAlignment="1">
      <alignment horizontal="center"/>
    </xf>
    <xf numFmtId="164" fontId="30" fillId="0" borderId="0" xfId="0" applyNumberFormat="1" applyFont="1" applyAlignment="1">
      <alignment horizontal="center"/>
    </xf>
    <xf numFmtId="0" fontId="31" fillId="37" borderId="0" xfId="0" applyFont="1" applyFill="1" applyAlignment="1">
      <alignment horizontal="right"/>
    </xf>
    <xf numFmtId="164" fontId="18" fillId="0" borderId="0" xfId="0" applyNumberFormat="1" applyFont="1" applyAlignment="1">
      <alignment horizontal="center"/>
    </xf>
    <xf numFmtId="164" fontId="0" fillId="37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28" fillId="38" borderId="0" xfId="0" applyFont="1" applyFill="1" applyAlignment="1">
      <alignment horizontal="left"/>
    </xf>
    <xf numFmtId="0" fontId="18" fillId="39" borderId="0" xfId="0" applyFont="1" applyFill="1" applyAlignment="1">
      <alignment horizontal="center"/>
    </xf>
    <xf numFmtId="0" fontId="0" fillId="39" borderId="0" xfId="0" applyFill="1" applyAlignment="1">
      <alignment horizontal="center"/>
    </xf>
    <xf numFmtId="164" fontId="29" fillId="35" borderId="0" xfId="0" applyNumberFormat="1" applyFont="1" applyFill="1" applyAlignment="1">
      <alignment horizontal="center"/>
    </xf>
    <xf numFmtId="0" fontId="34" fillId="0" borderId="0" xfId="0" applyFont="1" applyAlignment="1">
      <alignment horizontal="center"/>
    </xf>
  </cellXfs>
  <cellStyles count="3">
    <cellStyle name="Normal" xfId="0" builtinId="0"/>
    <cellStyle name="Output" xfId="1" builtinId="21"/>
    <cellStyle name="Style 1" xfId="2" xr:uid="{FCFDAADE-B745-48A7-8095-E96BAC7BE3B7}"/>
  </cellStyles>
  <dxfs count="0"/>
  <tableStyles count="0" defaultTableStyle="TableStyleMedium2" defaultPivotStyle="PivotStyleLight16"/>
  <colors>
    <mruColors>
      <color rgb="FFFFF2B3"/>
      <color rgb="FFFFD966"/>
      <color rgb="FFBF00FF"/>
      <color rgb="FFFF5F1F"/>
      <color rgb="FFFF63C7"/>
      <color rgb="FF39FF14"/>
      <color rgb="FF1E90FF"/>
      <color rgb="FF99B3FF"/>
      <color rgb="FF3366FF"/>
      <color rgb="FFB3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Orbital Plot</c:v>
          </c:tx>
          <c:spPr>
            <a:ln w="19050" cap="rnd">
              <a:solidFill>
                <a:srgbClr val="4DA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DA6FF"/>
              </a:solidFill>
              <a:ln w="9525">
                <a:solidFill>
                  <a:srgbClr val="4DA6FF"/>
                </a:solidFill>
              </a:ln>
              <a:effectLst/>
            </c:spPr>
          </c:marker>
          <c:xVal>
            <c:numRef>
              <c:f>'Orbital Plotter'!$L$2:$L$362</c:f>
              <c:numCache>
                <c:formatCode>0.000</c:formatCode>
                <c:ptCount val="361"/>
                <c:pt idx="0">
                  <c:v>0.9830000000000001</c:v>
                </c:pt>
                <c:pt idx="1">
                  <c:v>0.98285278658561481</c:v>
                </c:pt>
                <c:pt idx="2">
                  <c:v>0.98241118668835337</c:v>
                </c:pt>
                <c:pt idx="3">
                  <c:v>0.98167532133874424</c:v>
                </c:pt>
                <c:pt idx="4">
                  <c:v>0.98064539223048386</c:v>
                </c:pt>
                <c:pt idx="5">
                  <c:v>0.97932168168464784</c:v>
                </c:pt>
                <c:pt idx="6">
                  <c:v>0.97770455259956612</c:v>
                </c:pt>
                <c:pt idx="7">
                  <c:v>0.97579444838633755</c:v>
                </c:pt>
                <c:pt idx="8">
                  <c:v>0.97359189288995618</c:v>
                </c:pt>
                <c:pt idx="9">
                  <c:v>0.97109749029601389</c:v>
                </c:pt>
                <c:pt idx="10">
                  <c:v>0.96831192502294239</c:v>
                </c:pt>
                <c:pt idx="11">
                  <c:v>0.96523596159973934</c:v>
                </c:pt>
                <c:pt idx="12">
                  <c:v>0.96187044452913373</c:v>
                </c:pt>
                <c:pt idx="13">
                  <c:v>0.95821629813612852</c:v>
                </c:pt>
                <c:pt idx="14">
                  <c:v>0.95427452640185273</c:v>
                </c:pt>
                <c:pt idx="15">
                  <c:v>0.95004621278265766</c:v>
                </c:pt>
                <c:pt idx="16">
                  <c:v>0.94553252001437726</c:v>
                </c:pt>
                <c:pt idx="17">
                  <c:v>0.94073468990167164</c:v>
                </c:pt>
                <c:pt idx="18">
                  <c:v>0.93565404309236899</c:v>
                </c:pt>
                <c:pt idx="19">
                  <c:v>0.93029197883670911</c:v>
                </c:pt>
                <c:pt idx="20">
                  <c:v>0.92464997473139676</c:v>
                </c:pt>
                <c:pt idx="21">
                  <c:v>0.91872958644835923</c:v>
                </c:pt>
                <c:pt idx="22">
                  <c:v>0.91253244744810025</c:v>
                </c:pt>
                <c:pt idx="23">
                  <c:v>0.90606026867754497</c:v>
                </c:pt>
                <c:pt idx="24">
                  <c:v>0.89931483825225123</c:v>
                </c:pt>
                <c:pt idx="25">
                  <c:v>0.89229802112287837</c:v>
                </c:pt>
                <c:pt idx="26">
                  <c:v>0.88501175872577931</c:v>
                </c:pt>
                <c:pt idx="27">
                  <c:v>0.87745806861759745</c:v>
                </c:pt>
                <c:pt idx="28">
                  <c:v>0.86963904409373294</c:v>
                </c:pt>
                <c:pt idx="29">
                  <c:v>0.86155685379054658</c:v>
                </c:pt>
                <c:pt idx="30">
                  <c:v>0.85321374127116545</c:v>
                </c:pt>
                <c:pt idx="31">
                  <c:v>0.84461202459474805</c:v>
                </c:pt>
                <c:pt idx="32">
                  <c:v>0.83575409586907279</c:v>
                </c:pt>
                <c:pt idx="33">
                  <c:v>0.82664242078630124</c:v>
                </c:pt>
                <c:pt idx="34">
                  <c:v>0.81727953814177401</c:v>
                </c:pt>
                <c:pt idx="35">
                  <c:v>0.80766805933569241</c:v>
                </c:pt>
                <c:pt idx="36">
                  <c:v>0.79781066785753674</c:v>
                </c:pt>
                <c:pt idx="37">
                  <c:v>0.78771011875307306</c:v>
                </c:pt>
                <c:pt idx="38">
                  <c:v>0.77736923807380087</c:v>
                </c:pt>
                <c:pt idx="39">
                  <c:v>0.76679092230869061</c:v>
                </c:pt>
                <c:pt idx="40">
                  <c:v>0.75597813779806267</c:v>
                </c:pt>
                <c:pt idx="41">
                  <c:v>0.74493392012945925</c:v>
                </c:pt>
                <c:pt idx="42">
                  <c:v>0.73366137351536143</c:v>
                </c:pt>
                <c:pt idx="43">
                  <c:v>0.72216367015260574</c:v>
                </c:pt>
                <c:pt idx="44">
                  <c:v>0.71044404956335361</c:v>
                </c:pt>
                <c:pt idx="45">
                  <c:v>0.69850581791747368</c:v>
                </c:pt>
                <c:pt idx="46">
                  <c:v>0.6863523473361931</c:v>
                </c:pt>
                <c:pt idx="47">
                  <c:v>0.67398707517688317</c:v>
                </c:pt>
                <c:pt idx="48">
                  <c:v>0.66141350329884363</c:v>
                </c:pt>
                <c:pt idx="49">
                  <c:v>0.648635197309953</c:v>
                </c:pt>
                <c:pt idx="50">
                  <c:v>0.63565578579406223</c:v>
                </c:pt>
                <c:pt idx="51">
                  <c:v>0.62247895951900256</c:v>
                </c:pt>
                <c:pt idx="52">
                  <c:v>0.60910847062509643</c:v>
                </c:pt>
                <c:pt idx="53">
                  <c:v>0.59554813179405297</c:v>
                </c:pt>
                <c:pt idx="54">
                  <c:v>0.58180181539814435</c:v>
                </c:pt>
                <c:pt idx="55">
                  <c:v>0.56787345262956102</c:v>
                </c:pt>
                <c:pt idx="56">
                  <c:v>0.55376703260984861</c:v>
                </c:pt>
                <c:pt idx="57">
                  <c:v>0.53948660147934258</c:v>
                </c:pt>
                <c:pt idx="58">
                  <c:v>0.52503626146651594</c:v>
                </c:pt>
                <c:pt idx="59">
                  <c:v>0.51042016993717021</c:v>
                </c:pt>
                <c:pt idx="60">
                  <c:v>0.49564253842340122</c:v>
                </c:pt>
                <c:pt idx="61">
                  <c:v>0.48070763163228608</c:v>
                </c:pt>
                <c:pt idx="62">
                  <c:v>0.46561976643424369</c:v>
                </c:pt>
                <c:pt idx="63">
                  <c:v>0.45038331083102706</c:v>
                </c:pt>
                <c:pt idx="64">
                  <c:v>0.43500268290332422</c:v>
                </c:pt>
                <c:pt idx="65">
                  <c:v>0.41948234973794479</c:v>
                </c:pt>
                <c:pt idx="66">
                  <c:v>0.40382682633458744</c:v>
                </c:pt>
                <c:pt idx="67">
                  <c:v>0.38804067449219104</c:v>
                </c:pt>
                <c:pt idx="68">
                  <c:v>0.37212850167488309</c:v>
                </c:pt>
                <c:pt idx="69">
                  <c:v>0.35609495985755313</c:v>
                </c:pt>
                <c:pt idx="70">
                  <c:v>0.33994474435108962</c:v>
                </c:pt>
                <c:pt idx="71">
                  <c:v>0.32368259260733234</c:v>
                </c:pt>
                <c:pt idx="72">
                  <c:v>0.30731328300380245</c:v>
                </c:pt>
                <c:pt idx="73">
                  <c:v>0.29084163360829107</c:v>
                </c:pt>
                <c:pt idx="74">
                  <c:v>0.27427250092339478</c:v>
                </c:pt>
                <c:pt idx="75">
                  <c:v>0.25761077861110598</c:v>
                </c:pt>
                <c:pt idx="76">
                  <c:v>0.2408613961975761</c:v>
                </c:pt>
                <c:pt idx="77">
                  <c:v>0.22402931775818763</c:v>
                </c:pt>
                <c:pt idx="78">
                  <c:v>0.20711954058308468</c:v>
                </c:pt>
                <c:pt idx="79">
                  <c:v>0.19013709382332492</c:v>
                </c:pt>
                <c:pt idx="80">
                  <c:v>0.1730870371178389</c:v>
                </c:pt>
                <c:pt idx="81">
                  <c:v>0.15597445920138747</c:v>
                </c:pt>
                <c:pt idx="82">
                  <c:v>0.1388044764937349</c:v>
                </c:pt>
                <c:pt idx="83">
                  <c:v>0.12158223167026583</c:v>
                </c:pt>
                <c:pt idx="84">
                  <c:v>0.10431289221429231</c:v>
                </c:pt>
                <c:pt idx="85">
                  <c:v>8.7001648951315486E-2</c:v>
                </c:pt>
                <c:pt idx="86">
                  <c:v>6.9653714565521593E-2</c:v>
                </c:pt>
                <c:pt idx="87">
                  <c:v>5.2274322098811873E-2</c:v>
                </c:pt>
                <c:pt idx="88">
                  <c:v>3.486872343268025E-2</c:v>
                </c:pt>
                <c:pt idx="89">
                  <c:v>1.7442187753276189E-2</c:v>
                </c:pt>
                <c:pt idx="90">
                  <c:v>6.1239719350257574E-17</c:v>
                </c:pt>
                <c:pt idx="91">
                  <c:v>-1.7452540701995908E-2</c:v>
                </c:pt>
                <c:pt idx="92">
                  <c:v>-3.4910122625014341E-2</c:v>
                </c:pt>
                <c:pt idx="93">
                  <c:v>-5.2367423037320462E-2</c:v>
                </c:pt>
                <c:pt idx="94">
                  <c:v>-6.9819109816526115E-2</c:v>
                </c:pt>
                <c:pt idx="95">
                  <c:v>-8.7259843077406904E-2</c:v>
                </c:pt>
                <c:pt idx="96">
                  <c:v>-0.10468427681369076</c:v>
                </c:pt>
                <c:pt idx="97">
                  <c:v>-0.12208706055333757</c:v>
                </c:pt>
                <c:pt idx="98">
                  <c:v>-0.13946284102681272</c:v>
                </c:pt>
                <c:pt idx="99">
                  <c:v>-0.15680626384783408</c:v>
                </c:pt>
                <c:pt idx="100">
                  <c:v>-0.17411197520606145</c:v>
                </c:pt>
                <c:pt idx="101">
                  <c:v>-0.19137462357117205</c:v>
                </c:pt>
                <c:pt idx="102">
                  <c:v>-0.20858886140775065</c:v>
                </c:pt>
                <c:pt idx="103">
                  <c:v>-0.22574934690040527</c:v>
                </c:pt>
                <c:pt idx="104">
                  <c:v>-0.24285074568850035</c:v>
                </c:pt>
                <c:pt idx="105">
                  <c:v>-0.25988773260988135</c:v>
                </c:pt>
                <c:pt idx="106">
                  <c:v>-0.27685499345294967</c:v>
                </c:pt>
                <c:pt idx="107">
                  <c:v>-0.293747226716427</c:v>
                </c:pt>
                <c:pt idx="108">
                  <c:v>-0.31055914537612933</c:v>
                </c:pt>
                <c:pt idx="109">
                  <c:v>-0.32728547865806318</c:v>
                </c:pt>
                <c:pt idx="110">
                  <c:v>-0.34392097381712744</c:v>
                </c:pt>
                <c:pt idx="111">
                  <c:v>-0.36046039792069878</c:v>
                </c:pt>
                <c:pt idx="112">
                  <c:v>-0.37689853963635717</c:v>
                </c:pt>
                <c:pt idx="113">
                  <c:v>-0.39323021102299494</c:v>
                </c:pt>
                <c:pt idx="114">
                  <c:v>-0.40945024932453711</c:v>
                </c:pt>
                <c:pt idx="115">
                  <c:v>-0.42555351876548753</c:v>
                </c:pt>
                <c:pt idx="116">
                  <c:v>-0.44153491234749964</c:v>
                </c:pt>
                <c:pt idx="117">
                  <c:v>-0.45738935364615718</c:v>
                </c:pt>
                <c:pt idx="118">
                  <c:v>-0.47311179860714297</c:v>
                </c:pt>
                <c:pt idx="119">
                  <c:v>-0.48869723734094772</c:v>
                </c:pt>
                <c:pt idx="120">
                  <c:v>-0.50414069591527966</c:v>
                </c:pt>
                <c:pt idx="121">
                  <c:v>-0.51943723814430276</c:v>
                </c:pt>
                <c:pt idx="122">
                  <c:v>-0.53458196737383379</c:v>
                </c:pt>
                <c:pt idx="123">
                  <c:v>-0.54957002826162271</c:v>
                </c:pt>
                <c:pt idx="124">
                  <c:v>-0.56439660855181084</c:v>
                </c:pt>
                <c:pt idx="125">
                  <c:v>-0.57905694084267967</c:v>
                </c:pt>
                <c:pt idx="126">
                  <c:v>-0.59354630434677202</c:v>
                </c:pt>
                <c:pt idx="127">
                  <c:v>-0.60786002664247718</c:v>
                </c:pt>
                <c:pt idx="128">
                  <c:v>-0.62199348541615151</c:v>
                </c:pt>
                <c:pt idx="129">
                  <c:v>-0.63594211019385216</c:v>
                </c:pt>
                <c:pt idx="130">
                  <c:v>-0.64970138406174849</c:v>
                </c:pt>
                <c:pt idx="131">
                  <c:v>-0.66326684537427216</c:v>
                </c:pt>
                <c:pt idx="132">
                  <c:v>-0.67663408944907477</c:v>
                </c:pt>
                <c:pt idx="133">
                  <c:v>-0.68979877024783687</c:v>
                </c:pt>
                <c:pt idx="134">
                  <c:v>-0.7027566020419993</c:v>
                </c:pt>
                <c:pt idx="135">
                  <c:v>-0.71550336106245815</c:v>
                </c:pt>
                <c:pt idx="136">
                  <c:v>-0.7280348871322917</c:v>
                </c:pt>
                <c:pt idx="137">
                  <c:v>-0.74034708528156434</c:v>
                </c:pt>
                <c:pt idx="138">
                  <c:v>-0.75243592734327458</c:v>
                </c:pt>
                <c:pt idx="139">
                  <c:v>-0.76429745352950362</c:v>
                </c:pt>
                <c:pt idx="140">
                  <c:v>-0.77592777398682955</c:v>
                </c:pt>
                <c:pt idx="141">
                  <c:v>-0.78732307033008164</c:v>
                </c:pt>
                <c:pt idx="142">
                  <c:v>-0.79847959715350247</c:v>
                </c:pt>
                <c:pt idx="143">
                  <c:v>-0.80939368351840757</c:v>
                </c:pt>
                <c:pt idx="144">
                  <c:v>-0.82006173441642416</c:v>
                </c:pt>
                <c:pt idx="145">
                  <c:v>-0.83048023220741551</c:v>
                </c:pt>
                <c:pt idx="146">
                  <c:v>-0.84064573803118736</c:v>
                </c:pt>
                <c:pt idx="147">
                  <c:v>-0.85055489319210487</c:v>
                </c:pt>
                <c:pt idx="148">
                  <c:v>-0.86020442051574009</c:v>
                </c:pt>
                <c:pt idx="149">
                  <c:v>-0.86959112567669294</c:v>
                </c:pt>
                <c:pt idx="150">
                  <c:v>-0.87871189849674414</c:v>
                </c:pt>
                <c:pt idx="151">
                  <c:v>-0.88756371421249802</c:v>
                </c:pt>
                <c:pt idx="152">
                  <c:v>-0.89614363471170821</c:v>
                </c:pt>
                <c:pt idx="153">
                  <c:v>-0.90444880973747566</c:v>
                </c:pt>
                <c:pt idx="154">
                  <c:v>-0.91247647805954168</c:v>
                </c:pt>
                <c:pt idx="155">
                  <c:v>-0.92022396861189881</c:v>
                </c:pt>
                <c:pt idx="156">
                  <c:v>-0.92768870159598138</c:v>
                </c:pt>
                <c:pt idx="157">
                  <c:v>-0.93486818954869655</c:v>
                </c:pt>
                <c:pt idx="158">
                  <c:v>-0.94176003837458855</c:v>
                </c:pt>
                <c:pt idx="159">
                  <c:v>-0.94836194834145149</c:v>
                </c:pt>
                <c:pt idx="160">
                  <c:v>-0.95467171503871473</c:v>
                </c:pt>
                <c:pt idx="161">
                  <c:v>-0.96068723029796088</c:v>
                </c:pt>
                <c:pt idx="162">
                  <c:v>-0.96640648307495569</c:v>
                </c:pt>
                <c:pt idx="163">
                  <c:v>-0.97182756029258599</c:v>
                </c:pt>
                <c:pt idx="164">
                  <c:v>-0.97694864764413658</c:v>
                </c:pt>
                <c:pt idx="165">
                  <c:v>-0.9817680303563554</c:v>
                </c:pt>
                <c:pt idx="166">
                  <c:v>-0.98628409391178495</c:v>
                </c:pt>
                <c:pt idx="167">
                  <c:v>-0.9904953247298629</c:v>
                </c:pt>
                <c:pt idx="168">
                  <c:v>-0.99440031080632429</c:v>
                </c:pt>
                <c:pt idx="169">
                  <c:v>-0.99799774231046057</c:v>
                </c:pt>
                <c:pt idx="170">
                  <c:v>-1.0012864121398257</c:v>
                </c:pt>
                <c:pt idx="171">
                  <c:v>-1.0042652164320029</c:v>
                </c:pt>
                <c:pt idx="172">
                  <c:v>-1.0069331550330738</c:v>
                </c:pt>
                <c:pt idx="173">
                  <c:v>-1.0092893319224665</c:v>
                </c:pt>
                <c:pt idx="174">
                  <c:v>-1.0113329555938875</c:v>
                </c:pt>
                <c:pt idx="175">
                  <c:v>-1.0130633393920665</c:v>
                </c:pt>
                <c:pt idx="176">
                  <c:v>-1.014479901805081</c:v>
                </c:pt>
                <c:pt idx="177">
                  <c:v>-1.0155821667120577</c:v>
                </c:pt>
                <c:pt idx="178">
                  <c:v>-1.0163697635860747</c:v>
                </c:pt>
                <c:pt idx="179">
                  <c:v>-1.0168424276521195</c:v>
                </c:pt>
                <c:pt idx="180">
                  <c:v>-1.0170000000000001</c:v>
                </c:pt>
                <c:pt idx="181">
                  <c:v>-1.0168424276521195</c:v>
                </c:pt>
                <c:pt idx="182">
                  <c:v>-1.0163697635860747</c:v>
                </c:pt>
                <c:pt idx="183">
                  <c:v>-1.0155821667120577</c:v>
                </c:pt>
                <c:pt idx="184">
                  <c:v>-1.014479901805081</c:v>
                </c:pt>
                <c:pt idx="185">
                  <c:v>-1.0130633393920665</c:v>
                </c:pt>
                <c:pt idx="186">
                  <c:v>-1.0113329555938875</c:v>
                </c:pt>
                <c:pt idx="187">
                  <c:v>-1.0092893319224667</c:v>
                </c:pt>
                <c:pt idx="188">
                  <c:v>-1.0069331550330738</c:v>
                </c:pt>
                <c:pt idx="189">
                  <c:v>-1.0042652164320032</c:v>
                </c:pt>
                <c:pt idx="190">
                  <c:v>-1.0012864121398257</c:v>
                </c:pt>
                <c:pt idx="191">
                  <c:v>-0.99799774231046057</c:v>
                </c:pt>
                <c:pt idx="192">
                  <c:v>-0.99440031080632418</c:v>
                </c:pt>
                <c:pt idx="193">
                  <c:v>-0.99049532472986301</c:v>
                </c:pt>
                <c:pt idx="194">
                  <c:v>-0.98628409391178495</c:v>
                </c:pt>
                <c:pt idx="195">
                  <c:v>-0.98176803035635551</c:v>
                </c:pt>
                <c:pt idx="196">
                  <c:v>-0.97694864764413658</c:v>
                </c:pt>
                <c:pt idx="197">
                  <c:v>-0.97182756029258588</c:v>
                </c:pt>
                <c:pt idx="198">
                  <c:v>-0.9664064830749558</c:v>
                </c:pt>
                <c:pt idx="199">
                  <c:v>-0.96068723029796077</c:v>
                </c:pt>
                <c:pt idx="200">
                  <c:v>-0.95467171503871484</c:v>
                </c:pt>
                <c:pt idx="201">
                  <c:v>-0.94836194834145149</c:v>
                </c:pt>
                <c:pt idx="202">
                  <c:v>-0.94176003837458866</c:v>
                </c:pt>
                <c:pt idx="203">
                  <c:v>-0.93486818954869655</c:v>
                </c:pt>
                <c:pt idx="204">
                  <c:v>-0.92768870159598149</c:v>
                </c:pt>
                <c:pt idx="205">
                  <c:v>-0.92022396861189892</c:v>
                </c:pt>
                <c:pt idx="206">
                  <c:v>-0.91247647805954157</c:v>
                </c:pt>
                <c:pt idx="207">
                  <c:v>-0.90444880973747577</c:v>
                </c:pt>
                <c:pt idx="208">
                  <c:v>-0.8961436347117081</c:v>
                </c:pt>
                <c:pt idx="209">
                  <c:v>-0.88756371421249813</c:v>
                </c:pt>
                <c:pt idx="210">
                  <c:v>-0.87871189849674403</c:v>
                </c:pt>
                <c:pt idx="211">
                  <c:v>-0.86959112567669306</c:v>
                </c:pt>
                <c:pt idx="212">
                  <c:v>-0.8602044205157402</c:v>
                </c:pt>
                <c:pt idx="213">
                  <c:v>-0.85055489319210498</c:v>
                </c:pt>
                <c:pt idx="214">
                  <c:v>-0.84064573803118758</c:v>
                </c:pt>
                <c:pt idx="215">
                  <c:v>-0.8304802322074154</c:v>
                </c:pt>
                <c:pt idx="216">
                  <c:v>-0.82006173441642438</c:v>
                </c:pt>
                <c:pt idx="217">
                  <c:v>-0.80939368351840746</c:v>
                </c:pt>
                <c:pt idx="218">
                  <c:v>-0.79847959715350258</c:v>
                </c:pt>
                <c:pt idx="219">
                  <c:v>-0.78732307033008153</c:v>
                </c:pt>
                <c:pt idx="220">
                  <c:v>-0.77592777398682966</c:v>
                </c:pt>
                <c:pt idx="221">
                  <c:v>-0.76429745352950373</c:v>
                </c:pt>
                <c:pt idx="222">
                  <c:v>-0.7524359273432748</c:v>
                </c:pt>
                <c:pt idx="223">
                  <c:v>-0.74034708528156445</c:v>
                </c:pt>
                <c:pt idx="224">
                  <c:v>-0.72803488713229159</c:v>
                </c:pt>
                <c:pt idx="225">
                  <c:v>-0.71550336106245838</c:v>
                </c:pt>
                <c:pt idx="226">
                  <c:v>-0.70275660204199919</c:v>
                </c:pt>
                <c:pt idx="227">
                  <c:v>-0.68979877024783709</c:v>
                </c:pt>
                <c:pt idx="228">
                  <c:v>-0.67663408944907466</c:v>
                </c:pt>
                <c:pt idx="229">
                  <c:v>-0.66326684537427227</c:v>
                </c:pt>
                <c:pt idx="230">
                  <c:v>-0.6497013840617486</c:v>
                </c:pt>
                <c:pt idx="231">
                  <c:v>-0.63594211019385272</c:v>
                </c:pt>
                <c:pt idx="232">
                  <c:v>-0.62199348541615129</c:v>
                </c:pt>
                <c:pt idx="233">
                  <c:v>-0.60786002664247707</c:v>
                </c:pt>
                <c:pt idx="234">
                  <c:v>-0.59354630434677225</c:v>
                </c:pt>
                <c:pt idx="235">
                  <c:v>-0.57905694084267989</c:v>
                </c:pt>
                <c:pt idx="236">
                  <c:v>-0.56439660855181073</c:v>
                </c:pt>
                <c:pt idx="237">
                  <c:v>-0.5495700282616226</c:v>
                </c:pt>
                <c:pt idx="238">
                  <c:v>-0.53458196737383401</c:v>
                </c:pt>
                <c:pt idx="239">
                  <c:v>-0.51943723814430298</c:v>
                </c:pt>
                <c:pt idx="240">
                  <c:v>-0.50414069591528032</c:v>
                </c:pt>
                <c:pt idx="241">
                  <c:v>-0.48869723734094755</c:v>
                </c:pt>
                <c:pt idx="242">
                  <c:v>-0.47311179860714281</c:v>
                </c:pt>
                <c:pt idx="243">
                  <c:v>-0.4573893536461574</c:v>
                </c:pt>
                <c:pt idx="244">
                  <c:v>-0.44153491234749986</c:v>
                </c:pt>
                <c:pt idx="245">
                  <c:v>-0.42555351876548736</c:v>
                </c:pt>
                <c:pt idx="246">
                  <c:v>-0.40945024932453694</c:v>
                </c:pt>
                <c:pt idx="247">
                  <c:v>-0.39323021102299499</c:v>
                </c:pt>
                <c:pt idx="248">
                  <c:v>-0.37689853963635739</c:v>
                </c:pt>
                <c:pt idx="249">
                  <c:v>-0.36046039792069923</c:v>
                </c:pt>
                <c:pt idx="250">
                  <c:v>-0.34392097381712727</c:v>
                </c:pt>
                <c:pt idx="251">
                  <c:v>-0.32728547865806318</c:v>
                </c:pt>
                <c:pt idx="252">
                  <c:v>-0.31055914537612955</c:v>
                </c:pt>
                <c:pt idx="253">
                  <c:v>-0.29374722671642745</c:v>
                </c:pt>
                <c:pt idx="254">
                  <c:v>-0.2768549934529495</c:v>
                </c:pt>
                <c:pt idx="255">
                  <c:v>-0.25988773260988113</c:v>
                </c:pt>
                <c:pt idx="256">
                  <c:v>-0.24285074568850035</c:v>
                </c:pt>
                <c:pt idx="257">
                  <c:v>-0.22574934690040549</c:v>
                </c:pt>
                <c:pt idx="258">
                  <c:v>-0.2085888614077511</c:v>
                </c:pt>
                <c:pt idx="259">
                  <c:v>-0.19137462357117185</c:v>
                </c:pt>
                <c:pt idx="260">
                  <c:v>-0.17411197520606148</c:v>
                </c:pt>
                <c:pt idx="261">
                  <c:v>-0.1568062638478343</c:v>
                </c:pt>
                <c:pt idx="262">
                  <c:v>-0.13946284102681319</c:v>
                </c:pt>
                <c:pt idx="263">
                  <c:v>-0.12208706055333737</c:v>
                </c:pt>
                <c:pt idx="264">
                  <c:v>-0.10468427681369057</c:v>
                </c:pt>
                <c:pt idx="265">
                  <c:v>-8.7259843077406918E-2</c:v>
                </c:pt>
                <c:pt idx="266">
                  <c:v>-6.9819109816526365E-2</c:v>
                </c:pt>
                <c:pt idx="267">
                  <c:v>-5.2367423037320927E-2</c:v>
                </c:pt>
                <c:pt idx="268">
                  <c:v>-3.4910122625014146E-2</c:v>
                </c:pt>
                <c:pt idx="269">
                  <c:v>-1.7452540701995929E-2</c:v>
                </c:pt>
                <c:pt idx="270">
                  <c:v>-1.8371915805077271E-16</c:v>
                </c:pt>
                <c:pt idx="271">
                  <c:v>1.7442187753275724E-2</c:v>
                </c:pt>
                <c:pt idx="272">
                  <c:v>3.4868723432680451E-2</c:v>
                </c:pt>
                <c:pt idx="273">
                  <c:v>5.2274322098811853E-2</c:v>
                </c:pt>
                <c:pt idx="274">
                  <c:v>6.9653714565521579E-2</c:v>
                </c:pt>
                <c:pt idx="275">
                  <c:v>8.7001648951315236E-2</c:v>
                </c:pt>
                <c:pt idx="276">
                  <c:v>0.10431289221429184</c:v>
                </c:pt>
                <c:pt idx="277">
                  <c:v>0.12158223167026602</c:v>
                </c:pt>
                <c:pt idx="278">
                  <c:v>0.1388044764937349</c:v>
                </c:pt>
                <c:pt idx="279">
                  <c:v>0.15597445920138722</c:v>
                </c:pt>
                <c:pt idx="280">
                  <c:v>0.17308703711783846</c:v>
                </c:pt>
                <c:pt idx="281">
                  <c:v>0.19013709382332511</c:v>
                </c:pt>
                <c:pt idx="282">
                  <c:v>0.20711954058308465</c:v>
                </c:pt>
                <c:pt idx="283">
                  <c:v>0.22402931775818763</c:v>
                </c:pt>
                <c:pt idx="284">
                  <c:v>0.24086139619757588</c:v>
                </c:pt>
                <c:pt idx="285">
                  <c:v>0.25761077861110554</c:v>
                </c:pt>
                <c:pt idx="286">
                  <c:v>0.274272500923395</c:v>
                </c:pt>
                <c:pt idx="287">
                  <c:v>0.29084163360829102</c:v>
                </c:pt>
                <c:pt idx="288">
                  <c:v>0.30731328300380223</c:v>
                </c:pt>
                <c:pt idx="289">
                  <c:v>0.3236825926073319</c:v>
                </c:pt>
                <c:pt idx="290">
                  <c:v>0.33994474435108979</c:v>
                </c:pt>
                <c:pt idx="291">
                  <c:v>0.35609495985755313</c:v>
                </c:pt>
                <c:pt idx="292">
                  <c:v>0.37212850167488309</c:v>
                </c:pt>
                <c:pt idx="293">
                  <c:v>0.38804067449219082</c:v>
                </c:pt>
                <c:pt idx="294">
                  <c:v>0.403826826334587</c:v>
                </c:pt>
                <c:pt idx="295">
                  <c:v>0.41948234973794496</c:v>
                </c:pt>
                <c:pt idx="296">
                  <c:v>0.43500268290332417</c:v>
                </c:pt>
                <c:pt idx="297">
                  <c:v>0.4503833108310269</c:v>
                </c:pt>
                <c:pt idx="298">
                  <c:v>0.46561976643424324</c:v>
                </c:pt>
                <c:pt idx="299">
                  <c:v>0.48070763163228625</c:v>
                </c:pt>
                <c:pt idx="300">
                  <c:v>0.49564253842340122</c:v>
                </c:pt>
                <c:pt idx="301">
                  <c:v>0.51042016993717021</c:v>
                </c:pt>
                <c:pt idx="302">
                  <c:v>0.52503626146651572</c:v>
                </c:pt>
                <c:pt idx="303">
                  <c:v>0.53948660147934213</c:v>
                </c:pt>
                <c:pt idx="304">
                  <c:v>0.55376703260984883</c:v>
                </c:pt>
                <c:pt idx="305">
                  <c:v>0.5678734526295609</c:v>
                </c:pt>
                <c:pt idx="306">
                  <c:v>0.58180181539814413</c:v>
                </c:pt>
                <c:pt idx="307">
                  <c:v>0.59554813179405253</c:v>
                </c:pt>
                <c:pt idx="308">
                  <c:v>0.60910847062509665</c:v>
                </c:pt>
                <c:pt idx="309">
                  <c:v>0.62247895951900256</c:v>
                </c:pt>
                <c:pt idx="310">
                  <c:v>0.63565578579406212</c:v>
                </c:pt>
                <c:pt idx="311">
                  <c:v>0.64863519730995278</c:v>
                </c:pt>
                <c:pt idx="312">
                  <c:v>0.66141350329884319</c:v>
                </c:pt>
                <c:pt idx="313">
                  <c:v>0.67398707517688328</c:v>
                </c:pt>
                <c:pt idx="314">
                  <c:v>0.6863523473361931</c:v>
                </c:pt>
                <c:pt idx="315">
                  <c:v>0.69850581791747346</c:v>
                </c:pt>
                <c:pt idx="316">
                  <c:v>0.71044404956335327</c:v>
                </c:pt>
                <c:pt idx="317">
                  <c:v>0.72216367015260596</c:v>
                </c:pt>
                <c:pt idx="318">
                  <c:v>0.73366137351536143</c:v>
                </c:pt>
                <c:pt idx="319">
                  <c:v>0.74493392012945925</c:v>
                </c:pt>
                <c:pt idx="320">
                  <c:v>0.75597813779806244</c:v>
                </c:pt>
                <c:pt idx="321">
                  <c:v>0.76679092230869028</c:v>
                </c:pt>
                <c:pt idx="322">
                  <c:v>0.77736923807380098</c:v>
                </c:pt>
                <c:pt idx="323">
                  <c:v>0.78771011875307306</c:v>
                </c:pt>
                <c:pt idx="324">
                  <c:v>0.79781066785753663</c:v>
                </c:pt>
                <c:pt idx="325">
                  <c:v>0.80766805933569219</c:v>
                </c:pt>
                <c:pt idx="326">
                  <c:v>0.81727953814177423</c:v>
                </c:pt>
                <c:pt idx="327">
                  <c:v>0.82664242078630124</c:v>
                </c:pt>
                <c:pt idx="328">
                  <c:v>0.83575409586907279</c:v>
                </c:pt>
                <c:pt idx="329">
                  <c:v>0.84461202459474782</c:v>
                </c:pt>
                <c:pt idx="330">
                  <c:v>0.85321374127116512</c:v>
                </c:pt>
                <c:pt idx="331">
                  <c:v>0.8615568537905467</c:v>
                </c:pt>
                <c:pt idx="332">
                  <c:v>0.86963904409373283</c:v>
                </c:pt>
                <c:pt idx="333">
                  <c:v>0.87745806861759734</c:v>
                </c:pt>
                <c:pt idx="334">
                  <c:v>0.88501175872577909</c:v>
                </c:pt>
                <c:pt idx="335">
                  <c:v>0.89229802112287848</c:v>
                </c:pt>
                <c:pt idx="336">
                  <c:v>0.89931483825225134</c:v>
                </c:pt>
                <c:pt idx="337">
                  <c:v>0.90606026867754486</c:v>
                </c:pt>
                <c:pt idx="338">
                  <c:v>0.91253244744810014</c:v>
                </c:pt>
                <c:pt idx="339">
                  <c:v>0.918729586448359</c:v>
                </c:pt>
                <c:pt idx="340">
                  <c:v>0.92464997473139676</c:v>
                </c:pt>
                <c:pt idx="341">
                  <c:v>0.93029197883670911</c:v>
                </c:pt>
                <c:pt idx="342">
                  <c:v>0.93565404309236899</c:v>
                </c:pt>
                <c:pt idx="343">
                  <c:v>0.94073468990167153</c:v>
                </c:pt>
                <c:pt idx="344">
                  <c:v>0.94553252001437726</c:v>
                </c:pt>
                <c:pt idx="345">
                  <c:v>0.95004621278265766</c:v>
                </c:pt>
                <c:pt idx="346">
                  <c:v>0.95427452640185273</c:v>
                </c:pt>
                <c:pt idx="347">
                  <c:v>0.95821629813612841</c:v>
                </c:pt>
                <c:pt idx="348">
                  <c:v>0.96187044452913362</c:v>
                </c:pt>
                <c:pt idx="349">
                  <c:v>0.96523596159973934</c:v>
                </c:pt>
                <c:pt idx="350">
                  <c:v>0.96831192502294239</c:v>
                </c:pt>
                <c:pt idx="351">
                  <c:v>0.97109749029601378</c:v>
                </c:pt>
                <c:pt idx="352">
                  <c:v>0.97359189288995607</c:v>
                </c:pt>
                <c:pt idx="353">
                  <c:v>0.97579444838633767</c:v>
                </c:pt>
                <c:pt idx="354">
                  <c:v>0.97770455259956612</c:v>
                </c:pt>
                <c:pt idx="355">
                  <c:v>0.97932168168464784</c:v>
                </c:pt>
                <c:pt idx="356">
                  <c:v>0.98064539223048386</c:v>
                </c:pt>
                <c:pt idx="357">
                  <c:v>0.98167532133874424</c:v>
                </c:pt>
                <c:pt idx="358">
                  <c:v>0.98241118668835337</c:v>
                </c:pt>
                <c:pt idx="359">
                  <c:v>0.98285278658561481</c:v>
                </c:pt>
                <c:pt idx="360">
                  <c:v>0.9830000000000001</c:v>
                </c:pt>
              </c:numCache>
            </c:numRef>
          </c:xVal>
          <c:yVal>
            <c:numRef>
              <c:f>'Orbital Plotter'!$M$2:$M$362</c:f>
              <c:numCache>
                <c:formatCode>0.000</c:formatCode>
                <c:ptCount val="361"/>
                <c:pt idx="0">
                  <c:v>0</c:v>
                </c:pt>
                <c:pt idx="1">
                  <c:v>1.7155759204731488E-2</c:v>
                </c:pt>
                <c:pt idx="2">
                  <c:v>3.430655459645833E-2</c:v>
                </c:pt>
                <c:pt idx="3">
                  <c:v>5.1447423568329459E-2</c:v>
                </c:pt>
                <c:pt idx="4">
                  <c:v>6.8573405925771061E-2</c:v>
                </c:pt>
                <c:pt idx="5">
                  <c:v>8.5679545092550199E-2</c:v>
                </c:pt>
                <c:pt idx="6">
                  <c:v>0.10276088931674776</c:v>
                </c:pt>
                <c:pt idx="7">
                  <c:v>0.11981249287660846</c:v>
                </c:pt>
                <c:pt idx="8">
                  <c:v>0.13682941728623571</c:v>
                </c:pt>
                <c:pt idx="9">
                  <c:v>0.15380673250109597</c:v>
                </c:pt>
                <c:pt idx="10">
                  <c:v>0.17073951812329694</c:v>
                </c:pt>
                <c:pt idx="11">
                  <c:v>0.18762286460660027</c:v>
                </c:pt>
                <c:pt idx="12">
                  <c:v>0.20445187446112842</c:v>
                </c:pt>
                <c:pt idx="13">
                  <c:v>0.22122166345772126</c:v>
                </c:pt>
                <c:pt idx="14">
                  <c:v>0.23792736183189606</c:v>
                </c:pt>
                <c:pt idx="15">
                  <c:v>0.25456411548735963</c:v>
                </c:pt>
                <c:pt idx="16">
                  <c:v>0.27112708719902034</c:v>
                </c:pt>
                <c:pt idx="17">
                  <c:v>0.28761145781543968</c:v>
                </c:pt>
                <c:pt idx="18">
                  <c:v>0.30401242746066315</c:v>
                </c:pt>
                <c:pt idx="19">
                  <c:v>0.32032521673536385</c:v>
                </c:pt>
                <c:pt idx="20">
                  <c:v>0.33654506791722455</c:v>
                </c:pt>
                <c:pt idx="21">
                  <c:v>0.352667246160486</c:v>
                </c:pt>
                <c:pt idx="22">
                  <c:v>0.36868704069457453</c:v>
                </c:pt>
                <c:pt idx="23">
                  <c:v>0.38459976602172596</c:v>
                </c:pt>
                <c:pt idx="24">
                  <c:v>0.4004007631135087</c:v>
                </c:pt>
                <c:pt idx="25">
                  <c:v>0.4160854006061489</c:v>
                </c:pt>
                <c:pt idx="26">
                  <c:v>0.43164907599454988</c:v>
                </c:pt>
                <c:pt idx="27">
                  <c:v>0.44708721682489461</c:v>
                </c:pt>
                <c:pt idx="28">
                  <c:v>0.46239528188571039</c:v>
                </c:pt>
                <c:pt idx="29">
                  <c:v>0.47756876239726986</c:v>
                </c:pt>
                <c:pt idx="30">
                  <c:v>0.49260318319919499</c:v>
                </c:pt>
                <c:pt idx="31">
                  <c:v>0.50749410393612127</c:v>
                </c:pt>
                <c:pt idx="32">
                  <c:v>0.52223712024127344</c:v>
                </c:pt>
                <c:pt idx="33">
                  <c:v>0.53682786491779566</c:v>
                </c:pt>
                <c:pt idx="34">
                  <c:v>0.55126200911767154</c:v>
                </c:pt>
                <c:pt idx="35">
                  <c:v>0.56553526351805894</c:v>
                </c:pt>
                <c:pt idx="36">
                  <c:v>0.57964337949486</c:v>
                </c:pt>
                <c:pt idx="37">
                  <c:v>0.59358215029333117</c:v>
                </c:pt>
                <c:pt idx="38">
                  <c:v>0.60734741219553912</c:v>
                </c:pt>
                <c:pt idx="39">
                  <c:v>0.62093504568445079</c:v>
                </c:pt>
                <c:pt idx="40">
                  <c:v>0.63434097660444133</c:v>
                </c:pt>
                <c:pt idx="41">
                  <c:v>0.64756117731799123</c:v>
                </c:pt>
                <c:pt idx="42">
                  <c:v>0.66059166785833967</c:v>
                </c:pt>
                <c:pt idx="43">
                  <c:v>0.67342851707784701</c:v>
                </c:pt>
                <c:pt idx="44">
                  <c:v>0.68606784379181107</c:v>
                </c:pt>
                <c:pt idx="45">
                  <c:v>0.69850581791747357</c:v>
                </c:pt>
                <c:pt idx="46">
                  <c:v>0.71073866160794197</c:v>
                </c:pt>
                <c:pt idx="47">
                  <c:v>0.72276265038074294</c:v>
                </c:pt>
                <c:pt idx="48">
                  <c:v>0.73457411424071539</c:v>
                </c:pt>
                <c:pt idx="49">
                  <c:v>0.74616943879693598</c:v>
                </c:pt>
                <c:pt idx="50">
                  <c:v>0.75754506637336916</c:v>
                </c:pt>
                <c:pt idx="51">
                  <c:v>0.76869749711291357</c:v>
                </c:pt>
                <c:pt idx="52">
                  <c:v>0.77962329007451592</c:v>
                </c:pt>
                <c:pt idx="53">
                  <c:v>0.79031906432300725</c:v>
                </c:pt>
                <c:pt idx="54">
                  <c:v>0.80078150001131321</c:v>
                </c:pt>
                <c:pt idx="55">
                  <c:v>0.81100733945467007</c:v>
                </c:pt>
                <c:pt idx="56">
                  <c:v>0.82099338819648349</c:v>
                </c:pt>
                <c:pt idx="57">
                  <c:v>0.83073651606544008</c:v>
                </c:pt>
                <c:pt idx="58">
                  <c:v>0.84023365822349072</c:v>
                </c:pt>
                <c:pt idx="59">
                  <c:v>0.84948181620429719</c:v>
                </c:pt>
                <c:pt idx="60">
                  <c:v>0.85847805894174012</c:v>
                </c:pt>
                <c:pt idx="61">
                  <c:v>0.86721952378806799</c:v>
                </c:pt>
                <c:pt idx="62">
                  <c:v>0.87570341752125958</c:v>
                </c:pt>
                <c:pt idx="63">
                  <c:v>0.8839270173411653</c:v>
                </c:pt>
                <c:pt idx="64">
                  <c:v>0.89188767185398599</c:v>
                </c:pt>
                <c:pt idx="65">
                  <c:v>0.89958280204463359</c:v>
                </c:pt>
                <c:pt idx="66">
                  <c:v>0.9070099022365149</c:v>
                </c:pt>
                <c:pt idx="67">
                  <c:v>0.91416654103827322</c:v>
                </c:pt>
                <c:pt idx="68">
                  <c:v>0.92105036227700732</c:v>
                </c:pt>
                <c:pt idx="69">
                  <c:v>0.92765908591748958</c:v>
                </c:pt>
                <c:pt idx="70">
                  <c:v>0.93399050896689273</c:v>
                </c:pt>
                <c:pt idx="71">
                  <c:v>0.94004250636452613</c:v>
                </c:pt>
                <c:pt idx="72">
                  <c:v>0.94581303185608223</c:v>
                </c:pt>
                <c:pt idx="73">
                  <c:v>0.95130011885188381</c:v>
                </c:pt>
                <c:pt idx="74">
                  <c:v>0.95650188126861602</c:v>
                </c:pt>
                <c:pt idx="75">
                  <c:v>0.96141651435402542</c:v>
                </c:pt>
                <c:pt idx="76">
                  <c:v>0.9660422954940614</c:v>
                </c:pt>
                <c:pt idx="77">
                  <c:v>0.97037758500192905</c:v>
                </c:pt>
                <c:pt idx="78">
                  <c:v>0.97442082688852416</c:v>
                </c:pt>
                <c:pt idx="79">
                  <c:v>0.97817054961370942</c:v>
                </c:pt>
                <c:pt idx="80">
                  <c:v>0.98162536681789503</c:v>
                </c:pt>
                <c:pt idx="81">
                  <c:v>0.98478397803338058</c:v>
                </c:pt>
                <c:pt idx="82">
                  <c:v>0.98764516937491165</c:v>
                </c:pt>
                <c:pt idx="83">
                  <c:v>0.99020781420890891</c:v>
                </c:pt>
                <c:pt idx="84">
                  <c:v>0.99247087380081467</c:v>
                </c:pt>
                <c:pt idx="85">
                  <c:v>0.99443339794001795</c:v>
                </c:pt>
                <c:pt idx="86">
                  <c:v>0.99609452554179956</c:v>
                </c:pt>
                <c:pt idx="87">
                  <c:v>0.99745348522575827</c:v>
                </c:pt>
                <c:pt idx="88">
                  <c:v>0.99850959587016297</c:v>
                </c:pt>
                <c:pt idx="89">
                  <c:v>0.99926226714169009</c:v>
                </c:pt>
                <c:pt idx="90">
                  <c:v>0.99971100000000002</c:v>
                </c:pt>
                <c:pt idx="91">
                  <c:v>0.99985538717661482</c:v>
                </c:pt>
                <c:pt idx="92">
                  <c:v>0.99969511362755359</c:v>
                </c:pt>
                <c:pt idx="93">
                  <c:v>0.9992299569591987</c:v>
                </c:pt>
                <c:pt idx="94">
                  <c:v>0.99845978782685907</c:v>
                </c:pt>
                <c:pt idx="95">
                  <c:v>0.99738457030550753</c:v>
                </c:pt>
                <c:pt idx="96">
                  <c:v>0.99600436223217614</c:v>
                </c:pt>
                <c:pt idx="97">
                  <c:v>0.99431931551949382</c:v>
                </c:pt>
                <c:pt idx="98">
                  <c:v>0.99232967643986614</c:v>
                </c:pt>
                <c:pt idx="99">
                  <c:v>0.99003578587979724</c:v>
                </c:pt>
                <c:pt idx="100">
                  <c:v>0.98743807956386587</c:v>
                </c:pt>
                <c:pt idx="101">
                  <c:v>0.98453708824787955</c:v>
                </c:pt>
                <c:pt idx="102">
                  <c:v>0.98133343788073202</c:v>
                </c:pt>
                <c:pt idx="103">
                  <c:v>0.97782784973450998</c:v>
                </c:pt>
                <c:pt idx="104">
                  <c:v>0.97402114050239919</c:v>
                </c:pt>
                <c:pt idx="105">
                  <c:v>0.96991422236395175</c:v>
                </c:pt>
                <c:pt idx="106">
                  <c:v>0.9655081030172975</c:v>
                </c:pt>
                <c:pt idx="107">
                  <c:v>0.96080388567788011</c:v>
                </c:pt>
                <c:pt idx="108">
                  <c:v>0.95580276904332984</c:v>
                </c:pt>
                <c:pt idx="109">
                  <c:v>0.9505060472240856</c:v>
                </c:pt>
                <c:pt idx="110">
                  <c:v>0.94491510963940206</c:v>
                </c:pt>
                <c:pt idx="111">
                  <c:v>0.93903144087838875</c:v>
                </c:pt>
                <c:pt idx="112">
                  <c:v>0.93285662052574825</c:v>
                </c:pt>
                <c:pt idx="113">
                  <c:v>0.92639232295189611</c:v>
                </c:pt>
                <c:pt idx="114">
                  <c:v>0.9196403170671601</c:v>
                </c:pt>
                <c:pt idx="115">
                  <c:v>0.91260246603978268</c:v>
                </c:pt>
                <c:pt idx="116">
                  <c:v>0.9052807269774561</c:v>
                </c:pt>
                <c:pt idx="117">
                  <c:v>0.89767715057215891</c:v>
                </c:pt>
                <c:pt idx="118">
                  <c:v>0.88979388070805732</c:v>
                </c:pt>
                <c:pt idx="119">
                  <c:v>0.88163315403228315</c:v>
                </c:pt>
                <c:pt idx="120">
                  <c:v>0.87319729948839642</c:v>
                </c:pt>
                <c:pt idx="121">
                  <c:v>0.86448873781238278</c:v>
                </c:pt>
                <c:pt idx="122">
                  <c:v>0.8555099809910427</c:v>
                </c:pt>
                <c:pt idx="123">
                  <c:v>0.84626363168266294</c:v>
                </c:pt>
                <c:pt idx="124">
                  <c:v>0.83675238259987894</c:v>
                </c:pt>
                <c:pt idx="125">
                  <c:v>0.82697901585465927</c:v>
                </c:pt>
                <c:pt idx="126">
                  <c:v>0.81694640226537796</c:v>
                </c:pt>
                <c:pt idx="127">
                  <c:v>0.80665750062594366</c:v>
                </c:pt>
                <c:pt idx="128">
                  <c:v>0.79611535693701097</c:v>
                </c:pt>
                <c:pt idx="129">
                  <c:v>0.7853231035992887</c:v>
                </c:pt>
                <c:pt idx="130">
                  <c:v>0.77428395856901922</c:v>
                </c:pt>
                <c:pt idx="131">
                  <c:v>0.7630012244757054</c:v>
                </c:pt>
                <c:pt idx="132">
                  <c:v>0.75147828770219793</c:v>
                </c:pt>
                <c:pt idx="133">
                  <c:v>0.7397186174272854</c:v>
                </c:pt>
                <c:pt idx="134">
                  <c:v>0.72772576463094585</c:v>
                </c:pt>
                <c:pt idx="135">
                  <c:v>0.71550336106245827</c:v>
                </c:pt>
                <c:pt idx="136">
                  <c:v>0.70305511817158894</c:v>
                </c:pt>
                <c:pt idx="137">
                  <c:v>0.6903848260031048</c:v>
                </c:pt>
                <c:pt idx="138">
                  <c:v>0.67749635205488035</c:v>
                </c:pt>
                <c:pt idx="139">
                  <c:v>0.66439364009991131</c:v>
                </c:pt>
                <c:pt idx="140">
                  <c:v>0.65108070897255677</c:v>
                </c:pt>
                <c:pt idx="141">
                  <c:v>0.6375616513193697</c:v>
                </c:pt>
                <c:pt idx="142">
                  <c:v>0.62384063231490572</c:v>
                </c:pt>
                <c:pt idx="143">
                  <c:v>0.60992188834291505</c:v>
                </c:pt>
                <c:pt idx="144">
                  <c:v>0.59580972564336987</c:v>
                </c:pt>
                <c:pt idx="145">
                  <c:v>0.58150851892578237</c:v>
                </c:pt>
                <c:pt idx="146">
                  <c:v>0.56702270994932336</c:v>
                </c:pt>
                <c:pt idx="147">
                  <c:v>0.55235680607025073</c:v>
                </c:pt>
                <c:pt idx="148">
                  <c:v>0.53751537875720901</c:v>
                </c:pt>
                <c:pt idx="149">
                  <c:v>0.52250306207497099</c:v>
                </c:pt>
                <c:pt idx="150">
                  <c:v>0.50732455113722219</c:v>
                </c:pt>
                <c:pt idx="151">
                  <c:v>0.49198460052902643</c:v>
                </c:pt>
                <c:pt idx="152">
                  <c:v>0.4764880226996141</c:v>
                </c:pt>
                <c:pt idx="153">
                  <c:v>0.46083968632618849</c:v>
                </c:pt>
                <c:pt idx="154">
                  <c:v>0.44504451464944061</c:v>
                </c:pt>
                <c:pt idx="155">
                  <c:v>0.42910748378151353</c:v>
                </c:pt>
                <c:pt idx="156">
                  <c:v>0.41303362098716195</c:v>
                </c:pt>
                <c:pt idx="157">
                  <c:v>0.39682800293888887</c:v>
                </c:pt>
                <c:pt idx="158">
                  <c:v>0.3804957539468577</c:v>
                </c:pt>
                <c:pt idx="159">
                  <c:v>0.36404204416439806</c:v>
                </c:pt>
                <c:pt idx="160">
                  <c:v>0.34747208776995836</c:v>
                </c:pt>
                <c:pt idx="161">
                  <c:v>0.33079114112635577</c:v>
                </c:pt>
                <c:pt idx="162">
                  <c:v>0.31400450091822607</c:v>
                </c:pt>
                <c:pt idx="163">
                  <c:v>0.29711750226855949</c:v>
                </c:pt>
                <c:pt idx="164">
                  <c:v>0.28013551683526372</c:v>
                </c:pt>
                <c:pt idx="165">
                  <c:v>0.26306395088867968</c:v>
                </c:pt>
                <c:pt idx="166">
                  <c:v>0.24590824337102143</c:v>
                </c:pt>
                <c:pt idx="167">
                  <c:v>0.22867386393871092</c:v>
                </c:pt>
                <c:pt idx="168">
                  <c:v>0.2113663109885936</c:v>
                </c:pt>
                <c:pt idx="169">
                  <c:v>0.19399110966905259</c:v>
                </c:pt>
                <c:pt idx="170">
                  <c:v>0.1765538098770271</c:v>
                </c:pt>
                <c:pt idx="171">
                  <c:v>0.15905998424198223</c:v>
                </c:pt>
                <c:pt idx="172">
                  <c:v>0.1415152260978606</c:v>
                </c:pt>
                <c:pt idx="173">
                  <c:v>0.12392514744408606</c:v>
                </c:pt>
                <c:pt idx="174">
                  <c:v>0.10629537689667215</c:v>
                </c:pt>
                <c:pt idx="175">
                  <c:v>8.8631557630521482E-2</c:v>
                </c:pt>
                <c:pt idx="176">
                  <c:v>7.0939345313995039E-2</c:v>
                </c:pt>
                <c:pt idx="177">
                  <c:v>5.322440603683825E-2</c:v>
                </c:pt>
                <c:pt idx="178">
                  <c:v>3.5492414232571622E-2</c:v>
                </c:pt>
                <c:pt idx="179">
                  <c:v>1.7749050596434064E-2</c:v>
                </c:pt>
                <c:pt idx="180">
                  <c:v>1.2459759786420666E-16</c:v>
                </c:pt>
                <c:pt idx="181">
                  <c:v>-1.7749050596434265E-2</c:v>
                </c:pt>
                <c:pt idx="182">
                  <c:v>-3.5492414232571372E-2</c:v>
                </c:pt>
                <c:pt idx="183">
                  <c:v>-5.3224406036838E-2</c:v>
                </c:pt>
                <c:pt idx="184">
                  <c:v>-7.0939345313994775E-2</c:v>
                </c:pt>
                <c:pt idx="185">
                  <c:v>-8.8631557630521218E-2</c:v>
                </c:pt>
                <c:pt idx="186">
                  <c:v>-0.10629537689667191</c:v>
                </c:pt>
                <c:pt idx="187">
                  <c:v>-0.12392514744408582</c:v>
                </c:pt>
                <c:pt idx="188">
                  <c:v>-0.1415152260978608</c:v>
                </c:pt>
                <c:pt idx="189">
                  <c:v>-0.15905998424198198</c:v>
                </c:pt>
                <c:pt idx="190">
                  <c:v>-0.17655380987702732</c:v>
                </c:pt>
                <c:pt idx="191">
                  <c:v>-0.19399110966905234</c:v>
                </c:pt>
                <c:pt idx="192">
                  <c:v>-0.21136631098859382</c:v>
                </c:pt>
                <c:pt idx="193">
                  <c:v>-0.2286738639387107</c:v>
                </c:pt>
                <c:pt idx="194">
                  <c:v>-0.24590824337102121</c:v>
                </c:pt>
                <c:pt idx="195">
                  <c:v>-0.26306395088867945</c:v>
                </c:pt>
                <c:pt idx="196">
                  <c:v>-0.28013551683526344</c:v>
                </c:pt>
                <c:pt idx="197">
                  <c:v>-0.29711750226855965</c:v>
                </c:pt>
                <c:pt idx="198">
                  <c:v>-0.31400450091822579</c:v>
                </c:pt>
                <c:pt idx="199">
                  <c:v>-0.33079114112635594</c:v>
                </c:pt>
                <c:pt idx="200">
                  <c:v>-0.34747208776995814</c:v>
                </c:pt>
                <c:pt idx="201">
                  <c:v>-0.36404204416439828</c:v>
                </c:pt>
                <c:pt idx="202">
                  <c:v>-0.38049575394685747</c:v>
                </c:pt>
                <c:pt idx="203">
                  <c:v>-0.39682800293888865</c:v>
                </c:pt>
                <c:pt idx="204">
                  <c:v>-0.41303362098716173</c:v>
                </c:pt>
                <c:pt idx="205">
                  <c:v>-0.42910748378151331</c:v>
                </c:pt>
                <c:pt idx="206">
                  <c:v>-0.44504451464944078</c:v>
                </c:pt>
                <c:pt idx="207">
                  <c:v>-0.46083968632618832</c:v>
                </c:pt>
                <c:pt idx="208">
                  <c:v>-0.47648802269961427</c:v>
                </c:pt>
                <c:pt idx="209">
                  <c:v>-0.49198460052902621</c:v>
                </c:pt>
                <c:pt idx="210">
                  <c:v>-0.50732455113722241</c:v>
                </c:pt>
                <c:pt idx="211">
                  <c:v>-0.52250306207497077</c:v>
                </c:pt>
                <c:pt idx="212">
                  <c:v>-0.53751537875720889</c:v>
                </c:pt>
                <c:pt idx="213">
                  <c:v>-0.55235680607025051</c:v>
                </c:pt>
                <c:pt idx="214">
                  <c:v>-0.56702270994932313</c:v>
                </c:pt>
                <c:pt idx="215">
                  <c:v>-0.58150851892578259</c:v>
                </c:pt>
                <c:pt idx="216">
                  <c:v>-0.59580972564336965</c:v>
                </c:pt>
                <c:pt idx="217">
                  <c:v>-0.60992188834291527</c:v>
                </c:pt>
                <c:pt idx="218">
                  <c:v>-0.6238406323149055</c:v>
                </c:pt>
                <c:pt idx="219">
                  <c:v>-0.63756165131936993</c:v>
                </c:pt>
                <c:pt idx="220">
                  <c:v>-0.65108070897255654</c:v>
                </c:pt>
                <c:pt idx="221">
                  <c:v>-0.66439364009991109</c:v>
                </c:pt>
                <c:pt idx="222">
                  <c:v>-0.67749635205488024</c:v>
                </c:pt>
                <c:pt idx="223">
                  <c:v>-0.69038482600310458</c:v>
                </c:pt>
                <c:pt idx="224">
                  <c:v>-0.70305511817158917</c:v>
                </c:pt>
                <c:pt idx="225">
                  <c:v>-0.71550336106245815</c:v>
                </c:pt>
                <c:pt idx="226">
                  <c:v>-0.72772576463094596</c:v>
                </c:pt>
                <c:pt idx="227">
                  <c:v>-0.73971861742728529</c:v>
                </c:pt>
                <c:pt idx="228">
                  <c:v>-0.75147828770219804</c:v>
                </c:pt>
                <c:pt idx="229">
                  <c:v>-0.76300122447570529</c:v>
                </c:pt>
                <c:pt idx="230">
                  <c:v>-0.7742839585690191</c:v>
                </c:pt>
                <c:pt idx="231">
                  <c:v>-0.78532310359928825</c:v>
                </c:pt>
                <c:pt idx="232">
                  <c:v>-0.79611535693701108</c:v>
                </c:pt>
                <c:pt idx="233">
                  <c:v>-0.80665750062594377</c:v>
                </c:pt>
                <c:pt idx="234">
                  <c:v>-0.81694640226537785</c:v>
                </c:pt>
                <c:pt idx="235">
                  <c:v>-0.82697901585465916</c:v>
                </c:pt>
                <c:pt idx="236">
                  <c:v>-0.83675238259987905</c:v>
                </c:pt>
                <c:pt idx="237">
                  <c:v>-0.84626363168266305</c:v>
                </c:pt>
                <c:pt idx="238">
                  <c:v>-0.85550998099104258</c:v>
                </c:pt>
                <c:pt idx="239">
                  <c:v>-0.86448873781238256</c:v>
                </c:pt>
                <c:pt idx="240">
                  <c:v>-0.87319729948839608</c:v>
                </c:pt>
                <c:pt idx="241">
                  <c:v>-0.88163315403228326</c:v>
                </c:pt>
                <c:pt idx="242">
                  <c:v>-0.88979388070805743</c:v>
                </c:pt>
                <c:pt idx="243">
                  <c:v>-0.8976771505721588</c:v>
                </c:pt>
                <c:pt idx="244">
                  <c:v>-0.90528072697745599</c:v>
                </c:pt>
                <c:pt idx="245">
                  <c:v>-0.91260246603978268</c:v>
                </c:pt>
                <c:pt idx="246">
                  <c:v>-0.91964031706716021</c:v>
                </c:pt>
                <c:pt idx="247">
                  <c:v>-0.92639232295189611</c:v>
                </c:pt>
                <c:pt idx="248">
                  <c:v>-0.93285662052574814</c:v>
                </c:pt>
                <c:pt idx="249">
                  <c:v>-0.93903144087838863</c:v>
                </c:pt>
                <c:pt idx="250">
                  <c:v>-0.94491510963940206</c:v>
                </c:pt>
                <c:pt idx="251">
                  <c:v>-0.9505060472240856</c:v>
                </c:pt>
                <c:pt idx="252">
                  <c:v>-0.95580276904332973</c:v>
                </c:pt>
                <c:pt idx="253">
                  <c:v>-0.96080388567787989</c:v>
                </c:pt>
                <c:pt idx="254">
                  <c:v>-0.96550810301729761</c:v>
                </c:pt>
                <c:pt idx="255">
                  <c:v>-0.96991422236395175</c:v>
                </c:pt>
                <c:pt idx="256">
                  <c:v>-0.97402114050239919</c:v>
                </c:pt>
                <c:pt idx="257">
                  <c:v>-0.97782784973450987</c:v>
                </c:pt>
                <c:pt idx="258">
                  <c:v>-0.98133343788073191</c:v>
                </c:pt>
                <c:pt idx="259">
                  <c:v>-0.98453708824787955</c:v>
                </c:pt>
                <c:pt idx="260">
                  <c:v>-0.98743807956386587</c:v>
                </c:pt>
                <c:pt idx="261">
                  <c:v>-0.99003578587979713</c:v>
                </c:pt>
                <c:pt idx="262">
                  <c:v>-0.99232967643986603</c:v>
                </c:pt>
                <c:pt idx="263">
                  <c:v>-0.99431931551949382</c:v>
                </c:pt>
                <c:pt idx="264">
                  <c:v>-0.99600436223217625</c:v>
                </c:pt>
                <c:pt idx="265">
                  <c:v>-0.99738457030550753</c:v>
                </c:pt>
                <c:pt idx="266">
                  <c:v>-0.99845978782685907</c:v>
                </c:pt>
                <c:pt idx="267">
                  <c:v>-0.9992299569591987</c:v>
                </c:pt>
                <c:pt idx="268">
                  <c:v>-0.99969511362755359</c:v>
                </c:pt>
                <c:pt idx="269">
                  <c:v>-0.99985538717661482</c:v>
                </c:pt>
                <c:pt idx="270">
                  <c:v>-0.99971100000000002</c:v>
                </c:pt>
                <c:pt idx="271">
                  <c:v>-0.99926226714169009</c:v>
                </c:pt>
                <c:pt idx="272">
                  <c:v>-0.99850959587016297</c:v>
                </c:pt>
                <c:pt idx="273">
                  <c:v>-0.99745348522575827</c:v>
                </c:pt>
                <c:pt idx="274">
                  <c:v>-0.99609452554179967</c:v>
                </c:pt>
                <c:pt idx="275">
                  <c:v>-0.99443339794001795</c:v>
                </c:pt>
                <c:pt idx="276">
                  <c:v>-0.99247087380081478</c:v>
                </c:pt>
                <c:pt idx="277">
                  <c:v>-0.99020781420890891</c:v>
                </c:pt>
                <c:pt idx="278">
                  <c:v>-0.98764516937491165</c:v>
                </c:pt>
                <c:pt idx="279">
                  <c:v>-0.98478397803338058</c:v>
                </c:pt>
                <c:pt idx="280">
                  <c:v>-0.98162536681789514</c:v>
                </c:pt>
                <c:pt idx="281">
                  <c:v>-0.97817054961370931</c:v>
                </c:pt>
                <c:pt idx="282">
                  <c:v>-0.97442082688852416</c:v>
                </c:pt>
                <c:pt idx="283">
                  <c:v>-0.97037758500192905</c:v>
                </c:pt>
                <c:pt idx="284">
                  <c:v>-0.96604229549406151</c:v>
                </c:pt>
                <c:pt idx="285">
                  <c:v>-0.96141651435402553</c:v>
                </c:pt>
                <c:pt idx="286">
                  <c:v>-0.95650188126861591</c:v>
                </c:pt>
                <c:pt idx="287">
                  <c:v>-0.95130011885188381</c:v>
                </c:pt>
                <c:pt idx="288">
                  <c:v>-0.94581303185608234</c:v>
                </c:pt>
                <c:pt idx="289">
                  <c:v>-0.94004250636452635</c:v>
                </c:pt>
                <c:pt idx="290">
                  <c:v>-0.93399050896689273</c:v>
                </c:pt>
                <c:pt idx="291">
                  <c:v>-0.92765908591748958</c:v>
                </c:pt>
                <c:pt idx="292">
                  <c:v>-0.92105036227700732</c:v>
                </c:pt>
                <c:pt idx="293">
                  <c:v>-0.91416654103827333</c:v>
                </c:pt>
                <c:pt idx="294">
                  <c:v>-0.90700990223651512</c:v>
                </c:pt>
                <c:pt idx="295">
                  <c:v>-0.89958280204463359</c:v>
                </c:pt>
                <c:pt idx="296">
                  <c:v>-0.89188767185398599</c:v>
                </c:pt>
                <c:pt idx="297">
                  <c:v>-0.88392701734116541</c:v>
                </c:pt>
                <c:pt idx="298">
                  <c:v>-0.8757034175212598</c:v>
                </c:pt>
                <c:pt idx="299">
                  <c:v>-0.86721952378806788</c:v>
                </c:pt>
                <c:pt idx="300">
                  <c:v>-0.85847805894174012</c:v>
                </c:pt>
                <c:pt idx="301">
                  <c:v>-0.84948181620429719</c:v>
                </c:pt>
                <c:pt idx="302">
                  <c:v>-0.84023365822349094</c:v>
                </c:pt>
                <c:pt idx="303">
                  <c:v>-0.8307365160654403</c:v>
                </c:pt>
                <c:pt idx="304">
                  <c:v>-0.82099338819648338</c:v>
                </c:pt>
                <c:pt idx="305">
                  <c:v>-0.81100733945467007</c:v>
                </c:pt>
                <c:pt idx="306">
                  <c:v>-0.80078150001131332</c:v>
                </c:pt>
                <c:pt idx="307">
                  <c:v>-0.79031906432300747</c:v>
                </c:pt>
                <c:pt idx="308">
                  <c:v>-0.7796232900745157</c:v>
                </c:pt>
                <c:pt idx="309">
                  <c:v>-0.76869749711291346</c:v>
                </c:pt>
                <c:pt idx="310">
                  <c:v>-0.75754506637336927</c:v>
                </c:pt>
                <c:pt idx="311">
                  <c:v>-0.7461694387969362</c:v>
                </c:pt>
                <c:pt idx="312">
                  <c:v>-0.73457411424071573</c:v>
                </c:pt>
                <c:pt idx="313">
                  <c:v>-0.72276265038074283</c:v>
                </c:pt>
                <c:pt idx="314">
                  <c:v>-0.71073866160794208</c:v>
                </c:pt>
                <c:pt idx="315">
                  <c:v>-0.69850581791747379</c:v>
                </c:pt>
                <c:pt idx="316">
                  <c:v>-0.6860678437918114</c:v>
                </c:pt>
                <c:pt idx="317">
                  <c:v>-0.67342851707784679</c:v>
                </c:pt>
                <c:pt idx="318">
                  <c:v>-0.66059166785833956</c:v>
                </c:pt>
                <c:pt idx="319">
                  <c:v>-0.64756117731799134</c:v>
                </c:pt>
                <c:pt idx="320">
                  <c:v>-0.63434097660444166</c:v>
                </c:pt>
                <c:pt idx="321">
                  <c:v>-0.62093504568445124</c:v>
                </c:pt>
                <c:pt idx="322">
                  <c:v>-0.607347412195539</c:v>
                </c:pt>
                <c:pt idx="323">
                  <c:v>-0.59358215029333117</c:v>
                </c:pt>
                <c:pt idx="324">
                  <c:v>-0.57964337949486022</c:v>
                </c:pt>
                <c:pt idx="325">
                  <c:v>-0.56553526351805938</c:v>
                </c:pt>
                <c:pt idx="326">
                  <c:v>-0.5512620091176712</c:v>
                </c:pt>
                <c:pt idx="327">
                  <c:v>-0.53682786491779555</c:v>
                </c:pt>
                <c:pt idx="328">
                  <c:v>-0.52223712024127356</c:v>
                </c:pt>
                <c:pt idx="329">
                  <c:v>-0.5074941039361216</c:v>
                </c:pt>
                <c:pt idx="330">
                  <c:v>-0.49260318319919549</c:v>
                </c:pt>
                <c:pt idx="331">
                  <c:v>-0.4775687623972697</c:v>
                </c:pt>
                <c:pt idx="332">
                  <c:v>-0.46239528188571039</c:v>
                </c:pt>
                <c:pt idx="333">
                  <c:v>-0.44708721682489483</c:v>
                </c:pt>
                <c:pt idx="334">
                  <c:v>-0.43164907599455027</c:v>
                </c:pt>
                <c:pt idx="335">
                  <c:v>-0.41608540060614868</c:v>
                </c:pt>
                <c:pt idx="336">
                  <c:v>-0.40040076311350864</c:v>
                </c:pt>
                <c:pt idx="337">
                  <c:v>-0.38459976602172607</c:v>
                </c:pt>
                <c:pt idx="338">
                  <c:v>-0.36868704069457481</c:v>
                </c:pt>
                <c:pt idx="339">
                  <c:v>-0.3526672461604865</c:v>
                </c:pt>
                <c:pt idx="340">
                  <c:v>-0.33654506791722444</c:v>
                </c:pt>
                <c:pt idx="341">
                  <c:v>-0.32032521673536385</c:v>
                </c:pt>
                <c:pt idx="342">
                  <c:v>-0.30401242746066337</c:v>
                </c:pt>
                <c:pt idx="343">
                  <c:v>-0.28761145781544006</c:v>
                </c:pt>
                <c:pt idx="344">
                  <c:v>-0.27112708719902012</c:v>
                </c:pt>
                <c:pt idx="345">
                  <c:v>-0.25456411548735958</c:v>
                </c:pt>
                <c:pt idx="346">
                  <c:v>-0.23792736183189619</c:v>
                </c:pt>
                <c:pt idx="347">
                  <c:v>-0.2212216634577216</c:v>
                </c:pt>
                <c:pt idx="348">
                  <c:v>-0.20445187446112892</c:v>
                </c:pt>
                <c:pt idx="349">
                  <c:v>-0.18762286460660016</c:v>
                </c:pt>
                <c:pt idx="350">
                  <c:v>-0.17073951812329699</c:v>
                </c:pt>
                <c:pt idx="351">
                  <c:v>-0.15380673250109622</c:v>
                </c:pt>
                <c:pt idx="352">
                  <c:v>-0.13682941728623615</c:v>
                </c:pt>
                <c:pt idx="353">
                  <c:v>-0.11981249287660821</c:v>
                </c:pt>
                <c:pt idx="354">
                  <c:v>-0.10276088931674771</c:v>
                </c:pt>
                <c:pt idx="355">
                  <c:v>-8.5679545092550352E-2</c:v>
                </c:pt>
                <c:pt idx="356">
                  <c:v>-6.857340592577138E-2</c:v>
                </c:pt>
                <c:pt idx="357">
                  <c:v>-5.1447423568329986E-2</c:v>
                </c:pt>
                <c:pt idx="358">
                  <c:v>-3.4306554596458184E-2</c:v>
                </c:pt>
                <c:pt idx="359">
                  <c:v>-1.7155759204731533E-2</c:v>
                </c:pt>
                <c:pt idx="360">
                  <c:v>-2.4086418623503474E-16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EA4-4D30-B807-BBA5E4EC858A}"/>
            </c:ext>
          </c:extLst>
        </c:ser>
        <c:ser>
          <c:idx val="1"/>
          <c:order val="1"/>
          <c:tx>
            <c:v>☉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152400">
                <a:solidFill>
                  <a:srgbClr val="FFFF00"/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CEA4-4D30-B807-BBA5E4EC8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827712"/>
        <c:axId val="1600834912"/>
      </c:scatterChart>
      <c:valAx>
        <c:axId val="1600827712"/>
        <c:scaling>
          <c:orientation val="minMax"/>
          <c:max val="1.1186999999999998"/>
          <c:min val="-1.118699999999999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AU&quot;;\(0.0\ &quot;AU&quot;\);0.0\ &quot;AU&quot;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34912"/>
        <c:crosses val="autoZero"/>
        <c:crossBetween val="midCat"/>
        <c:majorUnit val="0.37289999999999995"/>
      </c:valAx>
      <c:valAx>
        <c:axId val="1600834912"/>
        <c:scaling>
          <c:orientation val="minMax"/>
          <c:max val="1.1186999999999998"/>
          <c:min val="-1.118699999999999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AU&quot;;\(0.0\ &quot;AU&quot;\);0.0\ &quot;AU&quot;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27712"/>
        <c:crosses val="autoZero"/>
        <c:crossBetween val="midCat"/>
        <c:majorUnit val="0.3728999999999999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1">
        <a:lumMod val="95000"/>
        <a:lumOff val="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5FE6431-18B8-49F7-99F4-A71F5FEFFC24}"/>
            </a:ext>
          </a:extLst>
        </xdr:cNvPr>
        <xdr:cNvSpPr/>
      </xdr:nvSpPr>
      <xdr:spPr>
        <a:xfrm>
          <a:off x="0" y="1905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2</xdr:row>
      <xdr:rowOff>0</xdr:rowOff>
    </xdr:from>
    <xdr:to>
      <xdr:col>2</xdr:col>
      <xdr:colOff>0</xdr:colOff>
      <xdr:row>3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3781192-9AB5-49C4-B598-25724E80AD0E}"/>
            </a:ext>
          </a:extLst>
        </xdr:cNvPr>
        <xdr:cNvSpPr/>
      </xdr:nvSpPr>
      <xdr:spPr>
        <a:xfrm>
          <a:off x="0" y="3810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6</xdr:row>
      <xdr:rowOff>0</xdr:rowOff>
    </xdr:from>
    <xdr:to>
      <xdr:col>2</xdr:col>
      <xdr:colOff>0</xdr:colOff>
      <xdr:row>7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D560C7F4-828E-4390-AAE3-B175652C9A6F}"/>
            </a:ext>
          </a:extLst>
        </xdr:cNvPr>
        <xdr:cNvSpPr/>
      </xdr:nvSpPr>
      <xdr:spPr>
        <a:xfrm>
          <a:off x="0" y="11430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7</xdr:row>
      <xdr:rowOff>0</xdr:rowOff>
    </xdr:from>
    <xdr:to>
      <xdr:col>3</xdr:col>
      <xdr:colOff>0</xdr:colOff>
      <xdr:row>8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D100FCAF-ACE2-49F1-9DBD-4007CCDD96C0}"/>
            </a:ext>
          </a:extLst>
        </xdr:cNvPr>
        <xdr:cNvSpPr/>
      </xdr:nvSpPr>
      <xdr:spPr>
        <a:xfrm>
          <a:off x="1333500" y="1333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7F042139-8ADF-43AD-B268-80DB8D5B515D}"/>
            </a:ext>
          </a:extLst>
        </xdr:cNvPr>
        <xdr:cNvSpPr/>
      </xdr:nvSpPr>
      <xdr:spPr>
        <a:xfrm>
          <a:off x="0" y="30480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2</xdr:col>
      <xdr:colOff>0</xdr:colOff>
      <xdr:row>32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AFA31913-F9C2-4A81-BA05-EF0535ECF8EB}"/>
            </a:ext>
          </a:extLst>
        </xdr:cNvPr>
        <xdr:cNvSpPr/>
      </xdr:nvSpPr>
      <xdr:spPr>
        <a:xfrm>
          <a:off x="0" y="59055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77</xdr:row>
      <xdr:rowOff>0</xdr:rowOff>
    </xdr:from>
    <xdr:to>
      <xdr:col>2</xdr:col>
      <xdr:colOff>0</xdr:colOff>
      <xdr:row>78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BA0C674-B78F-4DED-B4A5-02C1456E1FEE}"/>
            </a:ext>
          </a:extLst>
        </xdr:cNvPr>
        <xdr:cNvSpPr/>
      </xdr:nvSpPr>
      <xdr:spPr>
        <a:xfrm>
          <a:off x="0" y="146685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118</xdr:row>
      <xdr:rowOff>0</xdr:rowOff>
    </xdr:from>
    <xdr:to>
      <xdr:col>2</xdr:col>
      <xdr:colOff>0</xdr:colOff>
      <xdr:row>119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4B5F080A-64AA-4AA3-8103-ACBB669D6993}"/>
            </a:ext>
          </a:extLst>
        </xdr:cNvPr>
        <xdr:cNvSpPr/>
      </xdr:nvSpPr>
      <xdr:spPr>
        <a:xfrm>
          <a:off x="0" y="224790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119</xdr:row>
      <xdr:rowOff>0</xdr:rowOff>
    </xdr:from>
    <xdr:to>
      <xdr:col>2</xdr:col>
      <xdr:colOff>0</xdr:colOff>
      <xdr:row>120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A3CFFE72-41F2-4333-9AF0-9B9561CB0BDF}"/>
            </a:ext>
          </a:extLst>
        </xdr:cNvPr>
        <xdr:cNvSpPr/>
      </xdr:nvSpPr>
      <xdr:spPr>
        <a:xfrm>
          <a:off x="0" y="226695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202</xdr:row>
      <xdr:rowOff>0</xdr:rowOff>
    </xdr:from>
    <xdr:to>
      <xdr:col>2</xdr:col>
      <xdr:colOff>0</xdr:colOff>
      <xdr:row>203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77ABCBAB-1BB2-4799-8C76-06E80D7E89F0}"/>
            </a:ext>
          </a:extLst>
        </xdr:cNvPr>
        <xdr:cNvSpPr/>
      </xdr:nvSpPr>
      <xdr:spPr>
        <a:xfrm>
          <a:off x="0" y="384810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271</xdr:row>
      <xdr:rowOff>0</xdr:rowOff>
    </xdr:from>
    <xdr:to>
      <xdr:col>2</xdr:col>
      <xdr:colOff>0</xdr:colOff>
      <xdr:row>272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6AABABBE-4F3E-466B-A76B-1F647A33DE34}"/>
            </a:ext>
          </a:extLst>
        </xdr:cNvPr>
        <xdr:cNvSpPr/>
      </xdr:nvSpPr>
      <xdr:spPr>
        <a:xfrm>
          <a:off x="0" y="516255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276</xdr:row>
      <xdr:rowOff>0</xdr:rowOff>
    </xdr:from>
    <xdr:to>
      <xdr:col>3</xdr:col>
      <xdr:colOff>0</xdr:colOff>
      <xdr:row>277</xdr:row>
      <xdr:rowOff>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1F8625DD-7E68-4FB2-8D24-A5019D1F4674}"/>
            </a:ext>
          </a:extLst>
        </xdr:cNvPr>
        <xdr:cNvSpPr/>
      </xdr:nvSpPr>
      <xdr:spPr>
        <a:xfrm>
          <a:off x="1333500" y="52578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277</xdr:row>
      <xdr:rowOff>0</xdr:rowOff>
    </xdr:from>
    <xdr:to>
      <xdr:col>3</xdr:col>
      <xdr:colOff>0</xdr:colOff>
      <xdr:row>278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51FBE26E-FD78-4CBF-A845-93FEF60D8A41}"/>
            </a:ext>
          </a:extLst>
        </xdr:cNvPr>
        <xdr:cNvSpPr/>
      </xdr:nvSpPr>
      <xdr:spPr>
        <a:xfrm>
          <a:off x="1333500" y="52768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278</xdr:row>
      <xdr:rowOff>0</xdr:rowOff>
    </xdr:from>
    <xdr:to>
      <xdr:col>3</xdr:col>
      <xdr:colOff>0</xdr:colOff>
      <xdr:row>279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2E36B495-DD96-42E4-A7D6-C096A5FDF9F1}"/>
            </a:ext>
          </a:extLst>
        </xdr:cNvPr>
        <xdr:cNvSpPr/>
      </xdr:nvSpPr>
      <xdr:spPr>
        <a:xfrm>
          <a:off x="1333500" y="52959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279</xdr:row>
      <xdr:rowOff>0</xdr:rowOff>
    </xdr:from>
    <xdr:to>
      <xdr:col>3</xdr:col>
      <xdr:colOff>0</xdr:colOff>
      <xdr:row>280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4BEE0265-6143-4989-9D9B-77C33B46FE5C}"/>
            </a:ext>
          </a:extLst>
        </xdr:cNvPr>
        <xdr:cNvSpPr/>
      </xdr:nvSpPr>
      <xdr:spPr>
        <a:xfrm>
          <a:off x="1333500" y="53149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384</xdr:row>
      <xdr:rowOff>0</xdr:rowOff>
    </xdr:from>
    <xdr:to>
      <xdr:col>2</xdr:col>
      <xdr:colOff>0</xdr:colOff>
      <xdr:row>385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617137E6-5281-476C-A45B-E363F286CA60}"/>
            </a:ext>
          </a:extLst>
        </xdr:cNvPr>
        <xdr:cNvSpPr/>
      </xdr:nvSpPr>
      <xdr:spPr>
        <a:xfrm>
          <a:off x="0" y="731520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394</xdr:row>
      <xdr:rowOff>0</xdr:rowOff>
    </xdr:from>
    <xdr:to>
      <xdr:col>3</xdr:col>
      <xdr:colOff>0</xdr:colOff>
      <xdr:row>395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F4158AF0-292B-4A57-B0BC-8E5087DA83B8}"/>
            </a:ext>
          </a:extLst>
        </xdr:cNvPr>
        <xdr:cNvSpPr/>
      </xdr:nvSpPr>
      <xdr:spPr>
        <a:xfrm>
          <a:off x="1333500" y="75057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398</xdr:row>
      <xdr:rowOff>0</xdr:rowOff>
    </xdr:from>
    <xdr:to>
      <xdr:col>3</xdr:col>
      <xdr:colOff>0</xdr:colOff>
      <xdr:row>399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D05DA30B-2E92-4174-954A-12F5F7747821}"/>
            </a:ext>
          </a:extLst>
        </xdr:cNvPr>
        <xdr:cNvSpPr/>
      </xdr:nvSpPr>
      <xdr:spPr>
        <a:xfrm>
          <a:off x="1333500" y="75819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399</xdr:row>
      <xdr:rowOff>0</xdr:rowOff>
    </xdr:from>
    <xdr:to>
      <xdr:col>3</xdr:col>
      <xdr:colOff>0</xdr:colOff>
      <xdr:row>400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B5BF02E6-7BA1-48B9-87E4-D101CE0D00D1}"/>
            </a:ext>
          </a:extLst>
        </xdr:cNvPr>
        <xdr:cNvSpPr/>
      </xdr:nvSpPr>
      <xdr:spPr>
        <a:xfrm>
          <a:off x="1333500" y="76009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402</xdr:row>
      <xdr:rowOff>0</xdr:rowOff>
    </xdr:from>
    <xdr:to>
      <xdr:col>3</xdr:col>
      <xdr:colOff>0</xdr:colOff>
      <xdr:row>403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F5507AD0-5453-4470-A7DE-8730999E39D7}"/>
            </a:ext>
          </a:extLst>
        </xdr:cNvPr>
        <xdr:cNvSpPr/>
      </xdr:nvSpPr>
      <xdr:spPr>
        <a:xfrm>
          <a:off x="1333500" y="76581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405</xdr:row>
      <xdr:rowOff>0</xdr:rowOff>
    </xdr:from>
    <xdr:to>
      <xdr:col>3</xdr:col>
      <xdr:colOff>0</xdr:colOff>
      <xdr:row>406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EC41F1D4-E59D-4992-BB11-FFD3D9E840EE}"/>
            </a:ext>
          </a:extLst>
        </xdr:cNvPr>
        <xdr:cNvSpPr/>
      </xdr:nvSpPr>
      <xdr:spPr>
        <a:xfrm>
          <a:off x="1333500" y="77152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406</xdr:row>
      <xdr:rowOff>0</xdr:rowOff>
    </xdr:from>
    <xdr:to>
      <xdr:col>3</xdr:col>
      <xdr:colOff>0</xdr:colOff>
      <xdr:row>407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D0B2DC8-ECC8-4673-8AF2-97E80D5EC983}"/>
            </a:ext>
          </a:extLst>
        </xdr:cNvPr>
        <xdr:cNvSpPr/>
      </xdr:nvSpPr>
      <xdr:spPr>
        <a:xfrm>
          <a:off x="1333500" y="77343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407</xdr:row>
      <xdr:rowOff>0</xdr:rowOff>
    </xdr:from>
    <xdr:to>
      <xdr:col>3</xdr:col>
      <xdr:colOff>0</xdr:colOff>
      <xdr:row>408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AB07E403-5F32-493A-B7B9-98CB1B8F3C80}"/>
            </a:ext>
          </a:extLst>
        </xdr:cNvPr>
        <xdr:cNvSpPr/>
      </xdr:nvSpPr>
      <xdr:spPr>
        <a:xfrm>
          <a:off x="1333500" y="77533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408</xdr:row>
      <xdr:rowOff>0</xdr:rowOff>
    </xdr:from>
    <xdr:to>
      <xdr:col>3</xdr:col>
      <xdr:colOff>0</xdr:colOff>
      <xdr:row>409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A65F9D6-9C0B-4AED-9470-AB5BD98516DA}"/>
            </a:ext>
          </a:extLst>
        </xdr:cNvPr>
        <xdr:cNvSpPr/>
      </xdr:nvSpPr>
      <xdr:spPr>
        <a:xfrm>
          <a:off x="1333500" y="77724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431</xdr:row>
      <xdr:rowOff>0</xdr:rowOff>
    </xdr:from>
    <xdr:to>
      <xdr:col>3</xdr:col>
      <xdr:colOff>0</xdr:colOff>
      <xdr:row>432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BE5E251C-5FCC-4222-B363-101FA58619B5}"/>
            </a:ext>
          </a:extLst>
        </xdr:cNvPr>
        <xdr:cNvSpPr/>
      </xdr:nvSpPr>
      <xdr:spPr>
        <a:xfrm>
          <a:off x="1333500" y="82105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663</xdr:row>
      <xdr:rowOff>0</xdr:rowOff>
    </xdr:from>
    <xdr:to>
      <xdr:col>2</xdr:col>
      <xdr:colOff>0</xdr:colOff>
      <xdr:row>664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62F6AACD-8BA8-4812-945D-01FAB6762AE5}"/>
            </a:ext>
          </a:extLst>
        </xdr:cNvPr>
        <xdr:cNvSpPr/>
      </xdr:nvSpPr>
      <xdr:spPr>
        <a:xfrm>
          <a:off x="0" y="1263015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672</xdr:row>
      <xdr:rowOff>0</xdr:rowOff>
    </xdr:from>
    <xdr:to>
      <xdr:col>2</xdr:col>
      <xdr:colOff>0</xdr:colOff>
      <xdr:row>673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899A455-51CD-4144-B380-FF39BE535FF3}"/>
            </a:ext>
          </a:extLst>
        </xdr:cNvPr>
        <xdr:cNvSpPr/>
      </xdr:nvSpPr>
      <xdr:spPr>
        <a:xfrm>
          <a:off x="0" y="1280160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687</xdr:row>
      <xdr:rowOff>0</xdr:rowOff>
    </xdr:from>
    <xdr:to>
      <xdr:col>3</xdr:col>
      <xdr:colOff>0</xdr:colOff>
      <xdr:row>688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E0FE8748-C453-4EA7-BC7F-02ED508513FD}"/>
            </a:ext>
          </a:extLst>
        </xdr:cNvPr>
        <xdr:cNvSpPr/>
      </xdr:nvSpPr>
      <xdr:spPr>
        <a:xfrm>
          <a:off x="1333500" y="130873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688</xdr:row>
      <xdr:rowOff>0</xdr:rowOff>
    </xdr:from>
    <xdr:to>
      <xdr:col>3</xdr:col>
      <xdr:colOff>0</xdr:colOff>
      <xdr:row>689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9473CB39-60FA-43C0-8FD7-16F3D6F818E9}"/>
            </a:ext>
          </a:extLst>
        </xdr:cNvPr>
        <xdr:cNvSpPr/>
      </xdr:nvSpPr>
      <xdr:spPr>
        <a:xfrm>
          <a:off x="1333500" y="131064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689</xdr:row>
      <xdr:rowOff>0</xdr:rowOff>
    </xdr:from>
    <xdr:to>
      <xdr:col>3</xdr:col>
      <xdr:colOff>0</xdr:colOff>
      <xdr:row>690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3DAE7565-E681-4348-A420-B5F7E2E1F2B8}"/>
            </a:ext>
          </a:extLst>
        </xdr:cNvPr>
        <xdr:cNvSpPr/>
      </xdr:nvSpPr>
      <xdr:spPr>
        <a:xfrm>
          <a:off x="1333500" y="131254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690</xdr:row>
      <xdr:rowOff>0</xdr:rowOff>
    </xdr:from>
    <xdr:to>
      <xdr:col>3</xdr:col>
      <xdr:colOff>0</xdr:colOff>
      <xdr:row>691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BBBABD4-6110-452E-BD8C-1644FCD85F4B}"/>
            </a:ext>
          </a:extLst>
        </xdr:cNvPr>
        <xdr:cNvSpPr/>
      </xdr:nvSpPr>
      <xdr:spPr>
        <a:xfrm>
          <a:off x="1333500" y="131445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691</xdr:row>
      <xdr:rowOff>0</xdr:rowOff>
    </xdr:from>
    <xdr:to>
      <xdr:col>3</xdr:col>
      <xdr:colOff>0</xdr:colOff>
      <xdr:row>692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F85DEF63-26ED-447E-88A2-2E97A54A5FD0}"/>
            </a:ext>
          </a:extLst>
        </xdr:cNvPr>
        <xdr:cNvSpPr/>
      </xdr:nvSpPr>
      <xdr:spPr>
        <a:xfrm>
          <a:off x="1333500" y="131635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742</xdr:row>
      <xdr:rowOff>0</xdr:rowOff>
    </xdr:from>
    <xdr:to>
      <xdr:col>2</xdr:col>
      <xdr:colOff>0</xdr:colOff>
      <xdr:row>743</xdr:row>
      <xdr:rowOff>0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F8FA0869-90F3-43E6-BB02-C4AED4BAA581}"/>
            </a:ext>
          </a:extLst>
        </xdr:cNvPr>
        <xdr:cNvSpPr/>
      </xdr:nvSpPr>
      <xdr:spPr>
        <a:xfrm>
          <a:off x="0" y="14131290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749</xdr:row>
      <xdr:rowOff>0</xdr:rowOff>
    </xdr:from>
    <xdr:to>
      <xdr:col>3</xdr:col>
      <xdr:colOff>0</xdr:colOff>
      <xdr:row>750</xdr:row>
      <xdr:rowOff>0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7315000E-19D2-45F9-B633-3E5FAF3CAE4E}"/>
            </a:ext>
          </a:extLst>
        </xdr:cNvPr>
        <xdr:cNvSpPr/>
      </xdr:nvSpPr>
      <xdr:spPr>
        <a:xfrm>
          <a:off x="1333500" y="14258925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750</xdr:row>
      <xdr:rowOff>0</xdr:rowOff>
    </xdr:from>
    <xdr:to>
      <xdr:col>3</xdr:col>
      <xdr:colOff>0</xdr:colOff>
      <xdr:row>751</xdr:row>
      <xdr:rowOff>0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E212A164-CE83-4D2F-9E9E-2CA0C22B06B1}"/>
            </a:ext>
          </a:extLst>
        </xdr:cNvPr>
        <xdr:cNvSpPr/>
      </xdr:nvSpPr>
      <xdr:spPr>
        <a:xfrm>
          <a:off x="1333500" y="14277975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751</xdr:row>
      <xdr:rowOff>0</xdr:rowOff>
    </xdr:from>
    <xdr:to>
      <xdr:col>3</xdr:col>
      <xdr:colOff>0</xdr:colOff>
      <xdr:row>752</xdr:row>
      <xdr:rowOff>0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3CCD9D2E-DB15-46D4-9460-7C8C3DCA551F}"/>
            </a:ext>
          </a:extLst>
        </xdr:cNvPr>
        <xdr:cNvSpPr/>
      </xdr:nvSpPr>
      <xdr:spPr>
        <a:xfrm>
          <a:off x="1333500" y="1429702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855</xdr:row>
      <xdr:rowOff>0</xdr:rowOff>
    </xdr:from>
    <xdr:to>
      <xdr:col>2</xdr:col>
      <xdr:colOff>0</xdr:colOff>
      <xdr:row>856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6EDE594-A8A1-4E54-8EFF-1828423D06EC}"/>
            </a:ext>
          </a:extLst>
        </xdr:cNvPr>
        <xdr:cNvSpPr/>
      </xdr:nvSpPr>
      <xdr:spPr>
        <a:xfrm>
          <a:off x="0" y="16264890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856</xdr:row>
      <xdr:rowOff>0</xdr:rowOff>
    </xdr:from>
    <xdr:to>
      <xdr:col>3</xdr:col>
      <xdr:colOff>0</xdr:colOff>
      <xdr:row>857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2F057C48-E91A-4F9C-9549-3E967130B192}"/>
            </a:ext>
          </a:extLst>
        </xdr:cNvPr>
        <xdr:cNvSpPr/>
      </xdr:nvSpPr>
      <xdr:spPr>
        <a:xfrm>
          <a:off x="1333500" y="16282987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896</xdr:row>
      <xdr:rowOff>0</xdr:rowOff>
    </xdr:from>
    <xdr:to>
      <xdr:col>2</xdr:col>
      <xdr:colOff>0</xdr:colOff>
      <xdr:row>897</xdr:row>
      <xdr:rowOff>0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BEF484C2-2B3A-47CB-86DD-C478D12BFB4A}"/>
            </a:ext>
          </a:extLst>
        </xdr:cNvPr>
        <xdr:cNvSpPr/>
      </xdr:nvSpPr>
      <xdr:spPr>
        <a:xfrm>
          <a:off x="0" y="17038320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897</xdr:row>
      <xdr:rowOff>0</xdr:rowOff>
    </xdr:from>
    <xdr:to>
      <xdr:col>3</xdr:col>
      <xdr:colOff>0</xdr:colOff>
      <xdr:row>898</xdr:row>
      <xdr:rowOff>0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67F22D0D-DBF5-4A63-812C-34BF2C509BA2}"/>
            </a:ext>
          </a:extLst>
        </xdr:cNvPr>
        <xdr:cNvSpPr/>
      </xdr:nvSpPr>
      <xdr:spPr>
        <a:xfrm>
          <a:off x="1333500" y="17056417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1064</xdr:row>
      <xdr:rowOff>0</xdr:rowOff>
    </xdr:from>
    <xdr:to>
      <xdr:col>2</xdr:col>
      <xdr:colOff>0</xdr:colOff>
      <xdr:row>1065</xdr:row>
      <xdr:rowOff>0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2B7797B0-BAD5-4C37-A594-A90D14BA2E3C}"/>
            </a:ext>
          </a:extLst>
        </xdr:cNvPr>
        <xdr:cNvSpPr/>
      </xdr:nvSpPr>
      <xdr:spPr>
        <a:xfrm>
          <a:off x="0" y="202225275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1066</xdr:row>
      <xdr:rowOff>0</xdr:rowOff>
    </xdr:from>
    <xdr:to>
      <xdr:col>3</xdr:col>
      <xdr:colOff>0</xdr:colOff>
      <xdr:row>1067</xdr:row>
      <xdr:rowOff>0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6485E8F7-42C9-4CCE-B6C4-9FB256B5A19A}"/>
            </a:ext>
          </a:extLst>
        </xdr:cNvPr>
        <xdr:cNvSpPr/>
      </xdr:nvSpPr>
      <xdr:spPr>
        <a:xfrm>
          <a:off x="1333500" y="20258722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1106</xdr:row>
      <xdr:rowOff>0</xdr:rowOff>
    </xdr:from>
    <xdr:to>
      <xdr:col>2</xdr:col>
      <xdr:colOff>0</xdr:colOff>
      <xdr:row>1107</xdr:row>
      <xdr:rowOff>0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FEB84AB2-BCE5-49FD-8F09-857810C76ED9}"/>
            </a:ext>
          </a:extLst>
        </xdr:cNvPr>
        <xdr:cNvSpPr/>
      </xdr:nvSpPr>
      <xdr:spPr>
        <a:xfrm>
          <a:off x="0" y="21017865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1107</xdr:row>
      <xdr:rowOff>0</xdr:rowOff>
    </xdr:from>
    <xdr:to>
      <xdr:col>3</xdr:col>
      <xdr:colOff>0</xdr:colOff>
      <xdr:row>1108</xdr:row>
      <xdr:rowOff>0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E98D37DD-C52C-4B40-87D1-DD77CC32E2FF}"/>
            </a:ext>
          </a:extLst>
        </xdr:cNvPr>
        <xdr:cNvSpPr/>
      </xdr:nvSpPr>
      <xdr:spPr>
        <a:xfrm>
          <a:off x="1333500" y="21035962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1204</xdr:row>
      <xdr:rowOff>0</xdr:rowOff>
    </xdr:from>
    <xdr:to>
      <xdr:col>2</xdr:col>
      <xdr:colOff>0</xdr:colOff>
      <xdr:row>1205</xdr:row>
      <xdr:rowOff>0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B35F6CBA-D62E-4744-95E4-DEB74B0C2C2F}"/>
            </a:ext>
          </a:extLst>
        </xdr:cNvPr>
        <xdr:cNvSpPr/>
      </xdr:nvSpPr>
      <xdr:spPr>
        <a:xfrm>
          <a:off x="0" y="22867620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1516</xdr:row>
      <xdr:rowOff>0</xdr:rowOff>
    </xdr:from>
    <xdr:to>
      <xdr:col>2</xdr:col>
      <xdr:colOff>0</xdr:colOff>
      <xdr:row>1517</xdr:row>
      <xdr:rowOff>0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03444761-5222-4325-8D3B-D50D238EBAEE}"/>
            </a:ext>
          </a:extLst>
        </xdr:cNvPr>
        <xdr:cNvSpPr/>
      </xdr:nvSpPr>
      <xdr:spPr>
        <a:xfrm>
          <a:off x="0" y="28792170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1522</xdr:row>
      <xdr:rowOff>0</xdr:rowOff>
    </xdr:from>
    <xdr:to>
      <xdr:col>2</xdr:col>
      <xdr:colOff>0</xdr:colOff>
      <xdr:row>1523</xdr:row>
      <xdr:rowOff>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44449CEB-8598-42F3-9EF9-2B080CDD0C5C}"/>
            </a:ext>
          </a:extLst>
        </xdr:cNvPr>
        <xdr:cNvSpPr/>
      </xdr:nvSpPr>
      <xdr:spPr>
        <a:xfrm>
          <a:off x="0" y="28904565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1523</xdr:row>
      <xdr:rowOff>0</xdr:rowOff>
    </xdr:from>
    <xdr:to>
      <xdr:col>3</xdr:col>
      <xdr:colOff>0</xdr:colOff>
      <xdr:row>1524</xdr:row>
      <xdr:rowOff>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187749BB-C4F2-407C-9EC9-7F7DD19A70E5}"/>
            </a:ext>
          </a:extLst>
        </xdr:cNvPr>
        <xdr:cNvSpPr/>
      </xdr:nvSpPr>
      <xdr:spPr>
        <a:xfrm>
          <a:off x="1333500" y="28922662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1662</xdr:row>
      <xdr:rowOff>0</xdr:rowOff>
    </xdr:from>
    <xdr:to>
      <xdr:col>2</xdr:col>
      <xdr:colOff>0</xdr:colOff>
      <xdr:row>1663</xdr:row>
      <xdr:rowOff>0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5BBEE626-3A63-474B-A2DD-7496EAE4AABE}"/>
            </a:ext>
          </a:extLst>
        </xdr:cNvPr>
        <xdr:cNvSpPr/>
      </xdr:nvSpPr>
      <xdr:spPr>
        <a:xfrm>
          <a:off x="0" y="31563945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3</xdr:col>
      <xdr:colOff>0</xdr:colOff>
      <xdr:row>18</xdr:row>
      <xdr:rowOff>0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48E33E4E-352E-4430-8E3B-6CDC6E82400D}"/>
            </a:ext>
          </a:extLst>
        </xdr:cNvPr>
        <xdr:cNvSpPr/>
      </xdr:nvSpPr>
      <xdr:spPr>
        <a:xfrm>
          <a:off x="1333500" y="3238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3</xdr:col>
      <xdr:colOff>0</xdr:colOff>
      <xdr:row>19</xdr:row>
      <xdr:rowOff>0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6D87D5EC-49C5-4E1F-8428-ED0B53865817}"/>
            </a:ext>
          </a:extLst>
        </xdr:cNvPr>
        <xdr:cNvSpPr/>
      </xdr:nvSpPr>
      <xdr:spPr>
        <a:xfrm>
          <a:off x="1333500" y="3429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2</xdr:col>
      <xdr:colOff>0</xdr:colOff>
      <xdr:row>44</xdr:row>
      <xdr:rowOff>0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4069E378-EC01-40AC-89A0-C25D952DBF1A}"/>
            </a:ext>
          </a:extLst>
        </xdr:cNvPr>
        <xdr:cNvSpPr/>
      </xdr:nvSpPr>
      <xdr:spPr>
        <a:xfrm>
          <a:off x="295275" y="8191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2</xdr:col>
      <xdr:colOff>0</xdr:colOff>
      <xdr:row>147</xdr:row>
      <xdr:rowOff>0</xdr:rowOff>
    </xdr:to>
    <xdr:sp macro="" textlink="">
      <xdr:nvSpPr>
        <xdr:cNvPr id="54" name="Rectangle 53">
          <a:extLst>
            <a:ext uri="{FF2B5EF4-FFF2-40B4-BE49-F238E27FC236}">
              <a16:creationId xmlns:a16="http://schemas.microsoft.com/office/drawing/2014/main" id="{0BC6022B-D5BF-4CE5-AD4F-80C9EE666EFB}"/>
            </a:ext>
          </a:extLst>
        </xdr:cNvPr>
        <xdr:cNvSpPr/>
      </xdr:nvSpPr>
      <xdr:spPr>
        <a:xfrm>
          <a:off x="295275" y="27813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2</xdr:col>
      <xdr:colOff>0</xdr:colOff>
      <xdr:row>168</xdr:row>
      <xdr:rowOff>0</xdr:rowOff>
    </xdr:to>
    <xdr:sp macro="" textlink="">
      <xdr:nvSpPr>
        <xdr:cNvPr id="55" name="Rectangle 54">
          <a:extLst>
            <a:ext uri="{FF2B5EF4-FFF2-40B4-BE49-F238E27FC236}">
              <a16:creationId xmlns:a16="http://schemas.microsoft.com/office/drawing/2014/main" id="{6F87E546-03C5-4B44-84D1-9B9CAD272ECF}"/>
            </a:ext>
          </a:extLst>
        </xdr:cNvPr>
        <xdr:cNvSpPr/>
      </xdr:nvSpPr>
      <xdr:spPr>
        <a:xfrm>
          <a:off x="295275" y="31813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392</xdr:row>
      <xdr:rowOff>0</xdr:rowOff>
    </xdr:from>
    <xdr:to>
      <xdr:col>3</xdr:col>
      <xdr:colOff>0</xdr:colOff>
      <xdr:row>393</xdr:row>
      <xdr:rowOff>0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42E2F819-D769-419E-B0E3-E6C9CA7FC96E}"/>
            </a:ext>
          </a:extLst>
        </xdr:cNvPr>
        <xdr:cNvSpPr/>
      </xdr:nvSpPr>
      <xdr:spPr>
        <a:xfrm>
          <a:off x="1333500" y="74676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665</xdr:row>
      <xdr:rowOff>0</xdr:rowOff>
    </xdr:from>
    <xdr:to>
      <xdr:col>2</xdr:col>
      <xdr:colOff>0</xdr:colOff>
      <xdr:row>666</xdr:row>
      <xdr:rowOff>0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2D15C0B2-132A-4915-901F-E10E556E91EE}"/>
            </a:ext>
          </a:extLst>
        </xdr:cNvPr>
        <xdr:cNvSpPr/>
      </xdr:nvSpPr>
      <xdr:spPr>
        <a:xfrm>
          <a:off x="295275" y="126682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685</xdr:row>
      <xdr:rowOff>0</xdr:rowOff>
    </xdr:from>
    <xdr:to>
      <xdr:col>3</xdr:col>
      <xdr:colOff>0</xdr:colOff>
      <xdr:row>686</xdr:row>
      <xdr:rowOff>0</xdr:rowOff>
    </xdr:to>
    <xdr:sp macro="" textlink="">
      <xdr:nvSpPr>
        <xdr:cNvPr id="58" name="Rectangle 57">
          <a:extLst>
            <a:ext uri="{FF2B5EF4-FFF2-40B4-BE49-F238E27FC236}">
              <a16:creationId xmlns:a16="http://schemas.microsoft.com/office/drawing/2014/main" id="{962BDF0F-6617-4850-9806-3BE4723B7CA3}"/>
            </a:ext>
          </a:extLst>
        </xdr:cNvPr>
        <xdr:cNvSpPr/>
      </xdr:nvSpPr>
      <xdr:spPr>
        <a:xfrm>
          <a:off x="1333500" y="130492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747</xdr:row>
      <xdr:rowOff>0</xdr:rowOff>
    </xdr:from>
    <xdr:to>
      <xdr:col>3</xdr:col>
      <xdr:colOff>0</xdr:colOff>
      <xdr:row>748</xdr:row>
      <xdr:rowOff>0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60680D8C-181D-489A-8BD9-9EC14B72F86B}"/>
            </a:ext>
          </a:extLst>
        </xdr:cNvPr>
        <xdr:cNvSpPr/>
      </xdr:nvSpPr>
      <xdr:spPr>
        <a:xfrm>
          <a:off x="1333500" y="1422273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876</xdr:row>
      <xdr:rowOff>0</xdr:rowOff>
    </xdr:from>
    <xdr:to>
      <xdr:col>2</xdr:col>
      <xdr:colOff>0</xdr:colOff>
      <xdr:row>877</xdr:row>
      <xdr:rowOff>0</xdr:rowOff>
    </xdr:to>
    <xdr:sp macro="" textlink="">
      <xdr:nvSpPr>
        <xdr:cNvPr id="60" name="Rectangle 59">
          <a:extLst>
            <a:ext uri="{FF2B5EF4-FFF2-40B4-BE49-F238E27FC236}">
              <a16:creationId xmlns:a16="http://schemas.microsoft.com/office/drawing/2014/main" id="{4D23A495-2C93-4DC8-9638-4E437A5945BB}"/>
            </a:ext>
          </a:extLst>
        </xdr:cNvPr>
        <xdr:cNvSpPr/>
      </xdr:nvSpPr>
      <xdr:spPr>
        <a:xfrm>
          <a:off x="295275" y="16663035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917</xdr:row>
      <xdr:rowOff>0</xdr:rowOff>
    </xdr:from>
    <xdr:to>
      <xdr:col>2</xdr:col>
      <xdr:colOff>0</xdr:colOff>
      <xdr:row>918</xdr:row>
      <xdr:rowOff>0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81C5C072-6561-466C-A580-FD93291F0490}"/>
            </a:ext>
          </a:extLst>
        </xdr:cNvPr>
        <xdr:cNvSpPr/>
      </xdr:nvSpPr>
      <xdr:spPr>
        <a:xfrm>
          <a:off x="295275" y="1743360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928</xdr:row>
      <xdr:rowOff>0</xdr:rowOff>
    </xdr:from>
    <xdr:to>
      <xdr:col>2</xdr:col>
      <xdr:colOff>0</xdr:colOff>
      <xdr:row>929</xdr:row>
      <xdr:rowOff>0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0D391204-0E7E-46EB-AA3D-05A0AD240F0A}"/>
            </a:ext>
          </a:extLst>
        </xdr:cNvPr>
        <xdr:cNvSpPr/>
      </xdr:nvSpPr>
      <xdr:spPr>
        <a:xfrm>
          <a:off x="295275" y="17641252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969</xdr:row>
      <xdr:rowOff>0</xdr:rowOff>
    </xdr:from>
    <xdr:to>
      <xdr:col>2</xdr:col>
      <xdr:colOff>0</xdr:colOff>
      <xdr:row>970</xdr:row>
      <xdr:rowOff>0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06E9F355-3D80-489F-8839-AD4BC1348857}"/>
            </a:ext>
          </a:extLst>
        </xdr:cNvPr>
        <xdr:cNvSpPr/>
      </xdr:nvSpPr>
      <xdr:spPr>
        <a:xfrm>
          <a:off x="295275" y="18421350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990</xdr:row>
      <xdr:rowOff>0</xdr:rowOff>
    </xdr:from>
    <xdr:to>
      <xdr:col>2</xdr:col>
      <xdr:colOff>0</xdr:colOff>
      <xdr:row>991</xdr:row>
      <xdr:rowOff>0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FBA424C2-A425-4F7C-B60C-611D3CE9C71B}"/>
            </a:ext>
          </a:extLst>
        </xdr:cNvPr>
        <xdr:cNvSpPr/>
      </xdr:nvSpPr>
      <xdr:spPr>
        <a:xfrm>
          <a:off x="295275" y="1882044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898</xdr:row>
      <xdr:rowOff>0</xdr:rowOff>
    </xdr:from>
    <xdr:to>
      <xdr:col>3</xdr:col>
      <xdr:colOff>0</xdr:colOff>
      <xdr:row>899</xdr:row>
      <xdr:rowOff>0</xdr:rowOff>
    </xdr:to>
    <xdr:sp macro="" textlink="">
      <xdr:nvSpPr>
        <xdr:cNvPr id="65" name="Rectangle 64">
          <a:extLst>
            <a:ext uri="{FF2B5EF4-FFF2-40B4-BE49-F238E27FC236}">
              <a16:creationId xmlns:a16="http://schemas.microsoft.com/office/drawing/2014/main" id="{64EB8DAC-620E-4E6D-A569-4EAD0E37FEAF}"/>
            </a:ext>
          </a:extLst>
        </xdr:cNvPr>
        <xdr:cNvSpPr/>
      </xdr:nvSpPr>
      <xdr:spPr>
        <a:xfrm>
          <a:off x="1333500" y="17074515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899</xdr:row>
      <xdr:rowOff>0</xdr:rowOff>
    </xdr:from>
    <xdr:to>
      <xdr:col>3</xdr:col>
      <xdr:colOff>0</xdr:colOff>
      <xdr:row>900</xdr:row>
      <xdr:rowOff>0</xdr:rowOff>
    </xdr:to>
    <xdr:sp macro="" textlink="">
      <xdr:nvSpPr>
        <xdr:cNvPr id="66" name="Rectangle 65">
          <a:extLst>
            <a:ext uri="{FF2B5EF4-FFF2-40B4-BE49-F238E27FC236}">
              <a16:creationId xmlns:a16="http://schemas.microsoft.com/office/drawing/2014/main" id="{D6BAD719-E35D-41EF-86E3-A76D15B10A1A}"/>
            </a:ext>
          </a:extLst>
        </xdr:cNvPr>
        <xdr:cNvSpPr/>
      </xdr:nvSpPr>
      <xdr:spPr>
        <a:xfrm>
          <a:off x="1333500" y="1709356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900</xdr:row>
      <xdr:rowOff>0</xdr:rowOff>
    </xdr:from>
    <xdr:to>
      <xdr:col>3</xdr:col>
      <xdr:colOff>0</xdr:colOff>
      <xdr:row>901</xdr:row>
      <xdr:rowOff>0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3801767F-7C80-4838-B290-25AA63F9968B}"/>
            </a:ext>
          </a:extLst>
        </xdr:cNvPr>
        <xdr:cNvSpPr/>
      </xdr:nvSpPr>
      <xdr:spPr>
        <a:xfrm>
          <a:off x="1333500" y="17111662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901</xdr:row>
      <xdr:rowOff>0</xdr:rowOff>
    </xdr:from>
    <xdr:to>
      <xdr:col>3</xdr:col>
      <xdr:colOff>0</xdr:colOff>
      <xdr:row>902</xdr:row>
      <xdr:rowOff>0</xdr:rowOff>
    </xdr:to>
    <xdr:sp macro="" textlink="">
      <xdr:nvSpPr>
        <xdr:cNvPr id="68" name="Rectangle 67">
          <a:extLst>
            <a:ext uri="{FF2B5EF4-FFF2-40B4-BE49-F238E27FC236}">
              <a16:creationId xmlns:a16="http://schemas.microsoft.com/office/drawing/2014/main" id="{DEBC0411-1F61-4026-80F6-045EC60F45EA}"/>
            </a:ext>
          </a:extLst>
        </xdr:cNvPr>
        <xdr:cNvSpPr/>
      </xdr:nvSpPr>
      <xdr:spPr>
        <a:xfrm>
          <a:off x="1333500" y="1712976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1010</xdr:row>
      <xdr:rowOff>0</xdr:rowOff>
    </xdr:from>
    <xdr:to>
      <xdr:col>2</xdr:col>
      <xdr:colOff>0</xdr:colOff>
      <xdr:row>1011</xdr:row>
      <xdr:rowOff>0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4A7E2A3C-ED7C-4FC1-A39F-2B8F9A391202}"/>
            </a:ext>
          </a:extLst>
        </xdr:cNvPr>
        <xdr:cNvSpPr/>
      </xdr:nvSpPr>
      <xdr:spPr>
        <a:xfrm>
          <a:off x="295275" y="19199542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1011</xdr:row>
      <xdr:rowOff>0</xdr:rowOff>
    </xdr:from>
    <xdr:to>
      <xdr:col>3</xdr:col>
      <xdr:colOff>0</xdr:colOff>
      <xdr:row>1012</xdr:row>
      <xdr:rowOff>0</xdr:rowOff>
    </xdr:to>
    <xdr:sp macro="" textlink="">
      <xdr:nvSpPr>
        <xdr:cNvPr id="70" name="Rectangle 69">
          <a:extLst>
            <a:ext uri="{FF2B5EF4-FFF2-40B4-BE49-F238E27FC236}">
              <a16:creationId xmlns:a16="http://schemas.microsoft.com/office/drawing/2014/main" id="{077B3154-CFB3-4D4B-97F7-156AFF7D674E}"/>
            </a:ext>
          </a:extLst>
        </xdr:cNvPr>
        <xdr:cNvSpPr/>
      </xdr:nvSpPr>
      <xdr:spPr>
        <a:xfrm>
          <a:off x="1333500" y="1921764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1008</xdr:row>
      <xdr:rowOff>0</xdr:rowOff>
    </xdr:from>
    <xdr:to>
      <xdr:col>2</xdr:col>
      <xdr:colOff>0</xdr:colOff>
      <xdr:row>1009</xdr:row>
      <xdr:rowOff>0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E48265EA-B906-4860-9D13-FA0A138A8633}"/>
            </a:ext>
          </a:extLst>
        </xdr:cNvPr>
        <xdr:cNvSpPr/>
      </xdr:nvSpPr>
      <xdr:spPr>
        <a:xfrm>
          <a:off x="295275" y="19162395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1021</xdr:row>
      <xdr:rowOff>0</xdr:rowOff>
    </xdr:from>
    <xdr:to>
      <xdr:col>2</xdr:col>
      <xdr:colOff>0</xdr:colOff>
      <xdr:row>1022</xdr:row>
      <xdr:rowOff>0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52342E53-FF7D-43BF-A2DA-3C9F8F278A01}"/>
            </a:ext>
          </a:extLst>
        </xdr:cNvPr>
        <xdr:cNvSpPr/>
      </xdr:nvSpPr>
      <xdr:spPr>
        <a:xfrm>
          <a:off x="295275" y="1940718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1038</xdr:row>
      <xdr:rowOff>0</xdr:rowOff>
    </xdr:from>
    <xdr:to>
      <xdr:col>2</xdr:col>
      <xdr:colOff>0</xdr:colOff>
      <xdr:row>1039</xdr:row>
      <xdr:rowOff>0</xdr:rowOff>
    </xdr:to>
    <xdr:sp macro="" textlink="">
      <xdr:nvSpPr>
        <xdr:cNvPr id="73" name="Rectangle 72">
          <a:extLst>
            <a:ext uri="{FF2B5EF4-FFF2-40B4-BE49-F238E27FC236}">
              <a16:creationId xmlns:a16="http://schemas.microsoft.com/office/drawing/2014/main" id="{0650FA30-191D-4EF2-927A-B6252A372569}"/>
            </a:ext>
          </a:extLst>
        </xdr:cNvPr>
        <xdr:cNvSpPr/>
      </xdr:nvSpPr>
      <xdr:spPr>
        <a:xfrm>
          <a:off x="295275" y="1972818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1065</xdr:row>
      <xdr:rowOff>0</xdr:rowOff>
    </xdr:from>
    <xdr:to>
      <xdr:col>3</xdr:col>
      <xdr:colOff>0</xdr:colOff>
      <xdr:row>1066</xdr:row>
      <xdr:rowOff>0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31810D62-6318-4650-8F10-13B823FD1DC5}"/>
            </a:ext>
          </a:extLst>
        </xdr:cNvPr>
        <xdr:cNvSpPr/>
      </xdr:nvSpPr>
      <xdr:spPr>
        <a:xfrm>
          <a:off x="1333500" y="2024062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1076</xdr:row>
      <xdr:rowOff>0</xdr:rowOff>
    </xdr:from>
    <xdr:to>
      <xdr:col>2</xdr:col>
      <xdr:colOff>0</xdr:colOff>
      <xdr:row>1077</xdr:row>
      <xdr:rowOff>0</xdr:rowOff>
    </xdr:to>
    <xdr:sp macro="" textlink="">
      <xdr:nvSpPr>
        <xdr:cNvPr id="75" name="Rectangle 74">
          <a:extLst>
            <a:ext uri="{FF2B5EF4-FFF2-40B4-BE49-F238E27FC236}">
              <a16:creationId xmlns:a16="http://schemas.microsoft.com/office/drawing/2014/main" id="{12868D7A-2D87-45D6-B21B-997354467850}"/>
            </a:ext>
          </a:extLst>
        </xdr:cNvPr>
        <xdr:cNvSpPr/>
      </xdr:nvSpPr>
      <xdr:spPr>
        <a:xfrm>
          <a:off x="295275" y="2044827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1170</xdr:row>
      <xdr:rowOff>0</xdr:rowOff>
    </xdr:from>
    <xdr:to>
      <xdr:col>2</xdr:col>
      <xdr:colOff>0</xdr:colOff>
      <xdr:row>1171</xdr:row>
      <xdr:rowOff>0</xdr:rowOff>
    </xdr:to>
    <xdr:sp macro="" textlink="">
      <xdr:nvSpPr>
        <xdr:cNvPr id="76" name="Rectangle 75">
          <a:extLst>
            <a:ext uri="{FF2B5EF4-FFF2-40B4-BE49-F238E27FC236}">
              <a16:creationId xmlns:a16="http://schemas.microsoft.com/office/drawing/2014/main" id="{8C3BE40D-31A6-4051-AC82-65316D6AACFF}"/>
            </a:ext>
          </a:extLst>
        </xdr:cNvPr>
        <xdr:cNvSpPr/>
      </xdr:nvSpPr>
      <xdr:spPr>
        <a:xfrm>
          <a:off x="295275" y="2222277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1221</xdr:row>
      <xdr:rowOff>0</xdr:rowOff>
    </xdr:from>
    <xdr:to>
      <xdr:col>2</xdr:col>
      <xdr:colOff>0</xdr:colOff>
      <xdr:row>1222</xdr:row>
      <xdr:rowOff>0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6AA0EAD7-8124-41A4-88F9-FCF14B04CE12}"/>
            </a:ext>
          </a:extLst>
        </xdr:cNvPr>
        <xdr:cNvSpPr/>
      </xdr:nvSpPr>
      <xdr:spPr>
        <a:xfrm>
          <a:off x="295275" y="23187660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1230</xdr:row>
      <xdr:rowOff>0</xdr:rowOff>
    </xdr:from>
    <xdr:to>
      <xdr:col>2</xdr:col>
      <xdr:colOff>0</xdr:colOff>
      <xdr:row>1231</xdr:row>
      <xdr:rowOff>0</xdr:rowOff>
    </xdr:to>
    <xdr:sp macro="" textlink="">
      <xdr:nvSpPr>
        <xdr:cNvPr id="78" name="Rectangle 77">
          <a:extLst>
            <a:ext uri="{FF2B5EF4-FFF2-40B4-BE49-F238E27FC236}">
              <a16:creationId xmlns:a16="http://schemas.microsoft.com/office/drawing/2014/main" id="{2923CABD-C769-48A5-8341-A623AA9349FB}"/>
            </a:ext>
          </a:extLst>
        </xdr:cNvPr>
        <xdr:cNvSpPr/>
      </xdr:nvSpPr>
      <xdr:spPr>
        <a:xfrm>
          <a:off x="295275" y="2335815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1231</xdr:row>
      <xdr:rowOff>0</xdr:rowOff>
    </xdr:from>
    <xdr:to>
      <xdr:col>3</xdr:col>
      <xdr:colOff>0</xdr:colOff>
      <xdr:row>1232</xdr:row>
      <xdr:rowOff>0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8E6A3264-C13C-46F0-BF92-D711D2655956}"/>
            </a:ext>
          </a:extLst>
        </xdr:cNvPr>
        <xdr:cNvSpPr/>
      </xdr:nvSpPr>
      <xdr:spPr>
        <a:xfrm>
          <a:off x="1333500" y="2337625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1278</xdr:row>
      <xdr:rowOff>0</xdr:rowOff>
    </xdr:from>
    <xdr:to>
      <xdr:col>2</xdr:col>
      <xdr:colOff>0</xdr:colOff>
      <xdr:row>1279</xdr:row>
      <xdr:rowOff>0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E85E25C5-2358-4E9F-9CCC-4C88385473FC}"/>
            </a:ext>
          </a:extLst>
        </xdr:cNvPr>
        <xdr:cNvSpPr/>
      </xdr:nvSpPr>
      <xdr:spPr>
        <a:xfrm>
          <a:off x="295275" y="24269700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1345</xdr:row>
      <xdr:rowOff>0</xdr:rowOff>
    </xdr:from>
    <xdr:to>
      <xdr:col>2</xdr:col>
      <xdr:colOff>0</xdr:colOff>
      <xdr:row>1346</xdr:row>
      <xdr:rowOff>0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2C3A68F1-02DD-407A-B44B-905EF5A31824}"/>
            </a:ext>
          </a:extLst>
        </xdr:cNvPr>
        <xdr:cNvSpPr/>
      </xdr:nvSpPr>
      <xdr:spPr>
        <a:xfrm>
          <a:off x="295275" y="2554128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1375</xdr:row>
      <xdr:rowOff>0</xdr:rowOff>
    </xdr:from>
    <xdr:to>
      <xdr:col>2</xdr:col>
      <xdr:colOff>0</xdr:colOff>
      <xdr:row>1376</xdr:row>
      <xdr:rowOff>0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C256488A-1D1C-4C7F-B3A1-9CD935DB147B}"/>
            </a:ext>
          </a:extLst>
        </xdr:cNvPr>
        <xdr:cNvSpPr/>
      </xdr:nvSpPr>
      <xdr:spPr>
        <a:xfrm>
          <a:off x="295275" y="2611278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1457</xdr:row>
      <xdr:rowOff>0</xdr:rowOff>
    </xdr:from>
    <xdr:to>
      <xdr:col>2</xdr:col>
      <xdr:colOff>0</xdr:colOff>
      <xdr:row>1458</xdr:row>
      <xdr:rowOff>0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52511293-48B4-477A-A1A1-CB62CB2BA5C8}"/>
            </a:ext>
          </a:extLst>
        </xdr:cNvPr>
        <xdr:cNvSpPr/>
      </xdr:nvSpPr>
      <xdr:spPr>
        <a:xfrm>
          <a:off x="295275" y="27670125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1517</xdr:row>
      <xdr:rowOff>0</xdr:rowOff>
    </xdr:from>
    <xdr:to>
      <xdr:col>3</xdr:col>
      <xdr:colOff>0</xdr:colOff>
      <xdr:row>1518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89DD8357-C747-41E5-B4FF-312B0B44C5FF}"/>
            </a:ext>
          </a:extLst>
        </xdr:cNvPr>
        <xdr:cNvSpPr/>
      </xdr:nvSpPr>
      <xdr:spPr>
        <a:xfrm>
          <a:off x="1333500" y="28810267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1537</xdr:row>
      <xdr:rowOff>0</xdr:rowOff>
    </xdr:from>
    <xdr:to>
      <xdr:col>2</xdr:col>
      <xdr:colOff>0</xdr:colOff>
      <xdr:row>1538</xdr:row>
      <xdr:rowOff>0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A0A57BF9-F696-448B-ADF6-D56AE99B15EF}"/>
            </a:ext>
          </a:extLst>
        </xdr:cNvPr>
        <xdr:cNvSpPr/>
      </xdr:nvSpPr>
      <xdr:spPr>
        <a:xfrm>
          <a:off x="295275" y="2918745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1538</xdr:row>
      <xdr:rowOff>0</xdr:rowOff>
    </xdr:from>
    <xdr:to>
      <xdr:col>3</xdr:col>
      <xdr:colOff>0</xdr:colOff>
      <xdr:row>1539</xdr:row>
      <xdr:rowOff>0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C282A8C2-431D-48B0-BCBF-462AFEAF44CF}"/>
            </a:ext>
          </a:extLst>
        </xdr:cNvPr>
        <xdr:cNvSpPr/>
      </xdr:nvSpPr>
      <xdr:spPr>
        <a:xfrm>
          <a:off x="1333500" y="29205555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1564</xdr:row>
      <xdr:rowOff>0</xdr:rowOff>
    </xdr:from>
    <xdr:to>
      <xdr:col>2</xdr:col>
      <xdr:colOff>0</xdr:colOff>
      <xdr:row>1565</xdr:row>
      <xdr:rowOff>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5F13AA1A-DC2A-46CE-B1E9-F9B5C6352AD9}"/>
            </a:ext>
          </a:extLst>
        </xdr:cNvPr>
        <xdr:cNvSpPr/>
      </xdr:nvSpPr>
      <xdr:spPr>
        <a:xfrm>
          <a:off x="295275" y="2970085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1565</xdr:row>
      <xdr:rowOff>0</xdr:rowOff>
    </xdr:from>
    <xdr:to>
      <xdr:col>2</xdr:col>
      <xdr:colOff>0</xdr:colOff>
      <xdr:row>1566</xdr:row>
      <xdr:rowOff>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5C907479-B61C-4A56-930B-D141065A079F}"/>
            </a:ext>
          </a:extLst>
        </xdr:cNvPr>
        <xdr:cNvSpPr/>
      </xdr:nvSpPr>
      <xdr:spPr>
        <a:xfrm>
          <a:off x="295275" y="2971990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1608</xdr:row>
      <xdr:rowOff>0</xdr:rowOff>
    </xdr:from>
    <xdr:to>
      <xdr:col>2</xdr:col>
      <xdr:colOff>0</xdr:colOff>
      <xdr:row>1609</xdr:row>
      <xdr:rowOff>0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AA2915FD-4A3E-41CC-8B05-50E3115FB4B7}"/>
            </a:ext>
          </a:extLst>
        </xdr:cNvPr>
        <xdr:cNvSpPr/>
      </xdr:nvSpPr>
      <xdr:spPr>
        <a:xfrm>
          <a:off x="295275" y="305361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1643</xdr:row>
      <xdr:rowOff>0</xdr:rowOff>
    </xdr:from>
    <xdr:to>
      <xdr:col>2</xdr:col>
      <xdr:colOff>0</xdr:colOff>
      <xdr:row>1644</xdr:row>
      <xdr:rowOff>0</xdr:rowOff>
    </xdr:to>
    <xdr:sp macro="" textlink="">
      <xdr:nvSpPr>
        <xdr:cNvPr id="90" name="Rectangle 89">
          <a:extLst>
            <a:ext uri="{FF2B5EF4-FFF2-40B4-BE49-F238E27FC236}">
              <a16:creationId xmlns:a16="http://schemas.microsoft.com/office/drawing/2014/main" id="{DBF5D715-E8A8-4CAE-B5AE-12D3E7D48562}"/>
            </a:ext>
          </a:extLst>
        </xdr:cNvPr>
        <xdr:cNvSpPr/>
      </xdr:nvSpPr>
      <xdr:spPr>
        <a:xfrm>
          <a:off x="295275" y="312029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1649</xdr:row>
      <xdr:rowOff>0</xdr:rowOff>
    </xdr:from>
    <xdr:to>
      <xdr:col>2</xdr:col>
      <xdr:colOff>0</xdr:colOff>
      <xdr:row>1650</xdr:row>
      <xdr:rowOff>0</xdr:rowOff>
    </xdr:to>
    <xdr:sp macro="" textlink="">
      <xdr:nvSpPr>
        <xdr:cNvPr id="91" name="Rectangle 90">
          <a:extLst>
            <a:ext uri="{FF2B5EF4-FFF2-40B4-BE49-F238E27FC236}">
              <a16:creationId xmlns:a16="http://schemas.microsoft.com/office/drawing/2014/main" id="{A94B9CD8-4438-45B3-B51D-45B6FF7A60CA}"/>
            </a:ext>
          </a:extLst>
        </xdr:cNvPr>
        <xdr:cNvSpPr/>
      </xdr:nvSpPr>
      <xdr:spPr>
        <a:xfrm>
          <a:off x="295275" y="3131724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877</xdr:row>
      <xdr:rowOff>0</xdr:rowOff>
    </xdr:from>
    <xdr:to>
      <xdr:col>3</xdr:col>
      <xdr:colOff>0</xdr:colOff>
      <xdr:row>878</xdr:row>
      <xdr:rowOff>0</xdr:rowOff>
    </xdr:to>
    <xdr:sp macro="" textlink="">
      <xdr:nvSpPr>
        <xdr:cNvPr id="92" name="Rectangle 91">
          <a:extLst>
            <a:ext uri="{FF2B5EF4-FFF2-40B4-BE49-F238E27FC236}">
              <a16:creationId xmlns:a16="http://schemas.microsoft.com/office/drawing/2014/main" id="{FBA7A2DB-BB65-4BC3-AE25-76B6050A566F}"/>
            </a:ext>
          </a:extLst>
        </xdr:cNvPr>
        <xdr:cNvSpPr/>
      </xdr:nvSpPr>
      <xdr:spPr>
        <a:xfrm>
          <a:off x="1333500" y="16681132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918</xdr:row>
      <xdr:rowOff>0</xdr:rowOff>
    </xdr:from>
    <xdr:to>
      <xdr:col>3</xdr:col>
      <xdr:colOff>0</xdr:colOff>
      <xdr:row>919</xdr:row>
      <xdr:rowOff>0</xdr:rowOff>
    </xdr:to>
    <xdr:sp macro="" textlink="">
      <xdr:nvSpPr>
        <xdr:cNvPr id="93" name="Rectangle 92">
          <a:extLst>
            <a:ext uri="{FF2B5EF4-FFF2-40B4-BE49-F238E27FC236}">
              <a16:creationId xmlns:a16="http://schemas.microsoft.com/office/drawing/2014/main" id="{122A1F1C-74C1-45C7-A299-D780BEC42117}"/>
            </a:ext>
          </a:extLst>
        </xdr:cNvPr>
        <xdr:cNvSpPr/>
      </xdr:nvSpPr>
      <xdr:spPr>
        <a:xfrm>
          <a:off x="1333500" y="1745170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1022</xdr:row>
      <xdr:rowOff>0</xdr:rowOff>
    </xdr:from>
    <xdr:to>
      <xdr:col>3</xdr:col>
      <xdr:colOff>0</xdr:colOff>
      <xdr:row>1023</xdr:row>
      <xdr:rowOff>0</xdr:rowOff>
    </xdr:to>
    <xdr:sp macro="" textlink="">
      <xdr:nvSpPr>
        <xdr:cNvPr id="94" name="Rectangle 93">
          <a:extLst>
            <a:ext uri="{FF2B5EF4-FFF2-40B4-BE49-F238E27FC236}">
              <a16:creationId xmlns:a16="http://schemas.microsoft.com/office/drawing/2014/main" id="{D4BE0693-D8BA-4755-A777-72AD0DB289C3}"/>
            </a:ext>
          </a:extLst>
        </xdr:cNvPr>
        <xdr:cNvSpPr/>
      </xdr:nvSpPr>
      <xdr:spPr>
        <a:xfrm>
          <a:off x="1333500" y="1942528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1205</xdr:row>
      <xdr:rowOff>0</xdr:rowOff>
    </xdr:from>
    <xdr:to>
      <xdr:col>3</xdr:col>
      <xdr:colOff>0</xdr:colOff>
      <xdr:row>1206</xdr:row>
      <xdr:rowOff>0</xdr:rowOff>
    </xdr:to>
    <xdr:sp macro="" textlink="">
      <xdr:nvSpPr>
        <xdr:cNvPr id="95" name="Rectangle 94">
          <a:extLst>
            <a:ext uri="{FF2B5EF4-FFF2-40B4-BE49-F238E27FC236}">
              <a16:creationId xmlns:a16="http://schemas.microsoft.com/office/drawing/2014/main" id="{2E624DBD-A71F-4184-B451-AB7A37714C96}"/>
            </a:ext>
          </a:extLst>
        </xdr:cNvPr>
        <xdr:cNvSpPr/>
      </xdr:nvSpPr>
      <xdr:spPr>
        <a:xfrm>
          <a:off x="1333500" y="22885717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1458</xdr:row>
      <xdr:rowOff>0</xdr:rowOff>
    </xdr:from>
    <xdr:to>
      <xdr:col>3</xdr:col>
      <xdr:colOff>0</xdr:colOff>
      <xdr:row>1459</xdr:row>
      <xdr:rowOff>0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0CFC744C-63B3-45E8-AED6-121E0152B027}"/>
            </a:ext>
          </a:extLst>
        </xdr:cNvPr>
        <xdr:cNvSpPr/>
      </xdr:nvSpPr>
      <xdr:spPr>
        <a:xfrm>
          <a:off x="1333500" y="276882225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890</xdr:row>
      <xdr:rowOff>0</xdr:rowOff>
    </xdr:from>
    <xdr:to>
      <xdr:col>2</xdr:col>
      <xdr:colOff>0</xdr:colOff>
      <xdr:row>891</xdr:row>
      <xdr:rowOff>0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111315A4-98A8-4DA7-A84F-F50E8A3F6795}"/>
            </a:ext>
          </a:extLst>
        </xdr:cNvPr>
        <xdr:cNvSpPr/>
      </xdr:nvSpPr>
      <xdr:spPr>
        <a:xfrm>
          <a:off x="295275" y="16927830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892</xdr:row>
      <xdr:rowOff>0</xdr:rowOff>
    </xdr:from>
    <xdr:to>
      <xdr:col>3</xdr:col>
      <xdr:colOff>0</xdr:colOff>
      <xdr:row>893</xdr:row>
      <xdr:rowOff>0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57C5682F-99C1-4499-9509-76C792F72654}"/>
            </a:ext>
          </a:extLst>
        </xdr:cNvPr>
        <xdr:cNvSpPr/>
      </xdr:nvSpPr>
      <xdr:spPr>
        <a:xfrm>
          <a:off x="1333500" y="1696402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891</xdr:row>
      <xdr:rowOff>0</xdr:rowOff>
    </xdr:from>
    <xdr:to>
      <xdr:col>3</xdr:col>
      <xdr:colOff>0</xdr:colOff>
      <xdr:row>892</xdr:row>
      <xdr:rowOff>0</xdr:rowOff>
    </xdr:to>
    <xdr:sp macro="" textlink="">
      <xdr:nvSpPr>
        <xdr:cNvPr id="99" name="Rectangle 98">
          <a:extLst>
            <a:ext uri="{FF2B5EF4-FFF2-40B4-BE49-F238E27FC236}">
              <a16:creationId xmlns:a16="http://schemas.microsoft.com/office/drawing/2014/main" id="{8918D006-B4C4-46BE-BCB5-E87035F30C8D}"/>
            </a:ext>
          </a:extLst>
        </xdr:cNvPr>
        <xdr:cNvSpPr/>
      </xdr:nvSpPr>
      <xdr:spPr>
        <a:xfrm>
          <a:off x="1333500" y="16945927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1131</xdr:row>
      <xdr:rowOff>0</xdr:rowOff>
    </xdr:from>
    <xdr:to>
      <xdr:col>2</xdr:col>
      <xdr:colOff>0</xdr:colOff>
      <xdr:row>1132</xdr:row>
      <xdr:rowOff>0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CFB05534-6E11-46B0-87AE-DA299B56AE67}"/>
            </a:ext>
          </a:extLst>
        </xdr:cNvPr>
        <xdr:cNvSpPr/>
      </xdr:nvSpPr>
      <xdr:spPr>
        <a:xfrm>
          <a:off x="295275" y="2148744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1529</xdr:row>
      <xdr:rowOff>0</xdr:rowOff>
    </xdr:from>
    <xdr:to>
      <xdr:col>2</xdr:col>
      <xdr:colOff>0</xdr:colOff>
      <xdr:row>1530</xdr:row>
      <xdr:rowOff>0</xdr:rowOff>
    </xdr:to>
    <xdr:sp macro="" textlink="">
      <xdr:nvSpPr>
        <xdr:cNvPr id="101" name="Rectangle 100">
          <a:extLst>
            <a:ext uri="{FF2B5EF4-FFF2-40B4-BE49-F238E27FC236}">
              <a16:creationId xmlns:a16="http://schemas.microsoft.com/office/drawing/2014/main" id="{21D702E0-2AF9-413F-82FF-CAA46498586B}"/>
            </a:ext>
          </a:extLst>
        </xdr:cNvPr>
        <xdr:cNvSpPr/>
      </xdr:nvSpPr>
      <xdr:spPr>
        <a:xfrm>
          <a:off x="295275" y="29036010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1670</xdr:row>
      <xdr:rowOff>0</xdr:rowOff>
    </xdr:from>
    <xdr:to>
      <xdr:col>2</xdr:col>
      <xdr:colOff>0</xdr:colOff>
      <xdr:row>1671</xdr:row>
      <xdr:rowOff>0</xdr:rowOff>
    </xdr:to>
    <xdr:sp macro="" textlink="">
      <xdr:nvSpPr>
        <xdr:cNvPr id="102" name="Rectangle 101">
          <a:extLst>
            <a:ext uri="{FF2B5EF4-FFF2-40B4-BE49-F238E27FC236}">
              <a16:creationId xmlns:a16="http://schemas.microsoft.com/office/drawing/2014/main" id="{32AAD570-CE9F-4B81-B235-CE17D20C8B1C}"/>
            </a:ext>
          </a:extLst>
        </xdr:cNvPr>
        <xdr:cNvSpPr/>
      </xdr:nvSpPr>
      <xdr:spPr>
        <a:xfrm>
          <a:off x="295275" y="3171539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1485</xdr:row>
      <xdr:rowOff>0</xdr:rowOff>
    </xdr:from>
    <xdr:to>
      <xdr:col>2</xdr:col>
      <xdr:colOff>0</xdr:colOff>
      <xdr:row>1486</xdr:row>
      <xdr:rowOff>0</xdr:rowOff>
    </xdr:to>
    <xdr:sp macro="" textlink="">
      <xdr:nvSpPr>
        <xdr:cNvPr id="103" name="Rectangle 102">
          <a:extLst>
            <a:ext uri="{FF2B5EF4-FFF2-40B4-BE49-F238E27FC236}">
              <a16:creationId xmlns:a16="http://schemas.microsoft.com/office/drawing/2014/main" id="{F1A72CE4-9890-46E7-B297-DC075AE95B11}"/>
            </a:ext>
          </a:extLst>
        </xdr:cNvPr>
        <xdr:cNvSpPr/>
      </xdr:nvSpPr>
      <xdr:spPr>
        <a:xfrm>
          <a:off x="295275" y="282016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1657</xdr:row>
      <xdr:rowOff>0</xdr:rowOff>
    </xdr:from>
    <xdr:to>
      <xdr:col>2</xdr:col>
      <xdr:colOff>0</xdr:colOff>
      <xdr:row>1658</xdr:row>
      <xdr:rowOff>0</xdr:rowOff>
    </xdr:to>
    <xdr:sp macro="" textlink="">
      <xdr:nvSpPr>
        <xdr:cNvPr id="104" name="Rectangle 103">
          <a:extLst>
            <a:ext uri="{FF2B5EF4-FFF2-40B4-BE49-F238E27FC236}">
              <a16:creationId xmlns:a16="http://schemas.microsoft.com/office/drawing/2014/main" id="{CD9C0B66-8E24-469E-A09B-3CB982A65648}"/>
            </a:ext>
          </a:extLst>
        </xdr:cNvPr>
        <xdr:cNvSpPr/>
      </xdr:nvSpPr>
      <xdr:spPr>
        <a:xfrm>
          <a:off x="295275" y="3146869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1554</xdr:row>
      <xdr:rowOff>0</xdr:rowOff>
    </xdr:from>
    <xdr:to>
      <xdr:col>2</xdr:col>
      <xdr:colOff>0</xdr:colOff>
      <xdr:row>1555</xdr:row>
      <xdr:rowOff>0</xdr:rowOff>
    </xdr:to>
    <xdr:sp macro="" textlink="">
      <xdr:nvSpPr>
        <xdr:cNvPr id="105" name="Rectangle 104">
          <a:extLst>
            <a:ext uri="{FF2B5EF4-FFF2-40B4-BE49-F238E27FC236}">
              <a16:creationId xmlns:a16="http://schemas.microsoft.com/office/drawing/2014/main" id="{9AA0FC5F-5FD2-4587-BCDB-B9F50A777DE8}"/>
            </a:ext>
          </a:extLst>
        </xdr:cNvPr>
        <xdr:cNvSpPr/>
      </xdr:nvSpPr>
      <xdr:spPr>
        <a:xfrm>
          <a:off x="295275" y="2951035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1513</xdr:row>
      <xdr:rowOff>0</xdr:rowOff>
    </xdr:from>
    <xdr:to>
      <xdr:col>2</xdr:col>
      <xdr:colOff>0</xdr:colOff>
      <xdr:row>1514</xdr:row>
      <xdr:rowOff>0</xdr:rowOff>
    </xdr:to>
    <xdr:sp macro="" textlink="">
      <xdr:nvSpPr>
        <xdr:cNvPr id="106" name="Rectangle 105">
          <a:extLst>
            <a:ext uri="{FF2B5EF4-FFF2-40B4-BE49-F238E27FC236}">
              <a16:creationId xmlns:a16="http://schemas.microsoft.com/office/drawing/2014/main" id="{F8AC7A29-AF41-44A0-BB23-3E57398B1A57}"/>
            </a:ext>
          </a:extLst>
        </xdr:cNvPr>
        <xdr:cNvSpPr/>
      </xdr:nvSpPr>
      <xdr:spPr>
        <a:xfrm>
          <a:off x="295275" y="287350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1667</xdr:row>
      <xdr:rowOff>0</xdr:rowOff>
    </xdr:from>
    <xdr:to>
      <xdr:col>2</xdr:col>
      <xdr:colOff>0</xdr:colOff>
      <xdr:row>1668</xdr:row>
      <xdr:rowOff>0</xdr:rowOff>
    </xdr:to>
    <xdr:sp macro="" textlink="">
      <xdr:nvSpPr>
        <xdr:cNvPr id="107" name="Rectangle 106">
          <a:extLst>
            <a:ext uri="{FF2B5EF4-FFF2-40B4-BE49-F238E27FC236}">
              <a16:creationId xmlns:a16="http://schemas.microsoft.com/office/drawing/2014/main" id="{651391F1-C61E-4D14-88C0-13ECBE1CCCE2}"/>
            </a:ext>
          </a:extLst>
        </xdr:cNvPr>
        <xdr:cNvSpPr/>
      </xdr:nvSpPr>
      <xdr:spPr>
        <a:xfrm>
          <a:off x="295275" y="3165824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1430</xdr:row>
      <xdr:rowOff>0</xdr:rowOff>
    </xdr:from>
    <xdr:to>
      <xdr:col>2</xdr:col>
      <xdr:colOff>0</xdr:colOff>
      <xdr:row>1431</xdr:row>
      <xdr:rowOff>0</xdr:rowOff>
    </xdr:to>
    <xdr:sp macro="" textlink="">
      <xdr:nvSpPr>
        <xdr:cNvPr id="108" name="Rectangle 107">
          <a:extLst>
            <a:ext uri="{FF2B5EF4-FFF2-40B4-BE49-F238E27FC236}">
              <a16:creationId xmlns:a16="http://schemas.microsoft.com/office/drawing/2014/main" id="{023F6B47-839D-459F-91C6-A5E5C6B9F8AA}"/>
            </a:ext>
          </a:extLst>
        </xdr:cNvPr>
        <xdr:cNvSpPr/>
      </xdr:nvSpPr>
      <xdr:spPr>
        <a:xfrm>
          <a:off x="295275" y="2715863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1203</xdr:row>
      <xdr:rowOff>0</xdr:rowOff>
    </xdr:from>
    <xdr:to>
      <xdr:col>2</xdr:col>
      <xdr:colOff>0</xdr:colOff>
      <xdr:row>1204</xdr:row>
      <xdr:rowOff>0</xdr:rowOff>
    </xdr:to>
    <xdr:sp macro="" textlink="">
      <xdr:nvSpPr>
        <xdr:cNvPr id="109" name="Rectangle 108">
          <a:extLst>
            <a:ext uri="{FF2B5EF4-FFF2-40B4-BE49-F238E27FC236}">
              <a16:creationId xmlns:a16="http://schemas.microsoft.com/office/drawing/2014/main" id="{09DACA89-2A00-4886-A92C-1776FC28AA4A}"/>
            </a:ext>
          </a:extLst>
        </xdr:cNvPr>
        <xdr:cNvSpPr/>
      </xdr:nvSpPr>
      <xdr:spPr>
        <a:xfrm>
          <a:off x="295275" y="2284857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251</xdr:row>
      <xdr:rowOff>0</xdr:rowOff>
    </xdr:from>
    <xdr:to>
      <xdr:col>2</xdr:col>
      <xdr:colOff>0</xdr:colOff>
      <xdr:row>252</xdr:row>
      <xdr:rowOff>0</xdr:rowOff>
    </xdr:to>
    <xdr:sp macro="" textlink="">
      <xdr:nvSpPr>
        <xdr:cNvPr id="110" name="Rectangle 109">
          <a:extLst>
            <a:ext uri="{FF2B5EF4-FFF2-40B4-BE49-F238E27FC236}">
              <a16:creationId xmlns:a16="http://schemas.microsoft.com/office/drawing/2014/main" id="{9AAF12EA-3B89-46DF-ABAC-10512A9F7C39}"/>
            </a:ext>
          </a:extLst>
        </xdr:cNvPr>
        <xdr:cNvSpPr/>
      </xdr:nvSpPr>
      <xdr:spPr>
        <a:xfrm>
          <a:off x="295275" y="47815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248</xdr:row>
      <xdr:rowOff>0</xdr:rowOff>
    </xdr:from>
    <xdr:to>
      <xdr:col>2</xdr:col>
      <xdr:colOff>0</xdr:colOff>
      <xdr:row>249</xdr:row>
      <xdr:rowOff>0</xdr:rowOff>
    </xdr:to>
    <xdr:sp macro="" textlink="">
      <xdr:nvSpPr>
        <xdr:cNvPr id="111" name="Rectangle 110">
          <a:extLst>
            <a:ext uri="{FF2B5EF4-FFF2-40B4-BE49-F238E27FC236}">
              <a16:creationId xmlns:a16="http://schemas.microsoft.com/office/drawing/2014/main" id="{F2578134-17EC-4F32-B6D8-904CAC44E6E0}"/>
            </a:ext>
          </a:extLst>
        </xdr:cNvPr>
        <xdr:cNvSpPr/>
      </xdr:nvSpPr>
      <xdr:spPr>
        <a:xfrm>
          <a:off x="295275" y="47244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249</xdr:row>
      <xdr:rowOff>0</xdr:rowOff>
    </xdr:from>
    <xdr:to>
      <xdr:col>3</xdr:col>
      <xdr:colOff>0</xdr:colOff>
      <xdr:row>250</xdr:row>
      <xdr:rowOff>0</xdr:rowOff>
    </xdr:to>
    <xdr:sp macro="" textlink="">
      <xdr:nvSpPr>
        <xdr:cNvPr id="112" name="Rectangle 111">
          <a:extLst>
            <a:ext uri="{FF2B5EF4-FFF2-40B4-BE49-F238E27FC236}">
              <a16:creationId xmlns:a16="http://schemas.microsoft.com/office/drawing/2014/main" id="{D0637210-2742-42FB-A2B8-D2B999ED587F}"/>
            </a:ext>
          </a:extLst>
        </xdr:cNvPr>
        <xdr:cNvSpPr/>
      </xdr:nvSpPr>
      <xdr:spPr>
        <a:xfrm>
          <a:off x="1333500" y="47434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250</xdr:row>
      <xdr:rowOff>0</xdr:rowOff>
    </xdr:from>
    <xdr:to>
      <xdr:col>3</xdr:col>
      <xdr:colOff>0</xdr:colOff>
      <xdr:row>251</xdr:row>
      <xdr:rowOff>0</xdr:rowOff>
    </xdr:to>
    <xdr:sp macro="" textlink="">
      <xdr:nvSpPr>
        <xdr:cNvPr id="113" name="Rectangle 112">
          <a:extLst>
            <a:ext uri="{FF2B5EF4-FFF2-40B4-BE49-F238E27FC236}">
              <a16:creationId xmlns:a16="http://schemas.microsoft.com/office/drawing/2014/main" id="{5F1766D4-6183-4C48-B030-9E728CB0D088}"/>
            </a:ext>
          </a:extLst>
        </xdr:cNvPr>
        <xdr:cNvSpPr/>
      </xdr:nvSpPr>
      <xdr:spPr>
        <a:xfrm>
          <a:off x="1333500" y="47625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246</xdr:row>
      <xdr:rowOff>0</xdr:rowOff>
    </xdr:from>
    <xdr:to>
      <xdr:col>2</xdr:col>
      <xdr:colOff>0</xdr:colOff>
      <xdr:row>247</xdr:row>
      <xdr:rowOff>0</xdr:rowOff>
    </xdr:to>
    <xdr:sp macro="" textlink="">
      <xdr:nvSpPr>
        <xdr:cNvPr id="114" name="Rectangle 113">
          <a:extLst>
            <a:ext uri="{FF2B5EF4-FFF2-40B4-BE49-F238E27FC236}">
              <a16:creationId xmlns:a16="http://schemas.microsoft.com/office/drawing/2014/main" id="{2DA5E0A4-7345-469E-B18D-0027FA8F85A9}"/>
            </a:ext>
          </a:extLst>
        </xdr:cNvPr>
        <xdr:cNvSpPr/>
      </xdr:nvSpPr>
      <xdr:spPr>
        <a:xfrm>
          <a:off x="295275" y="46863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247</xdr:row>
      <xdr:rowOff>0</xdr:rowOff>
    </xdr:from>
    <xdr:to>
      <xdr:col>3</xdr:col>
      <xdr:colOff>0</xdr:colOff>
      <xdr:row>248</xdr:row>
      <xdr:rowOff>0</xdr:rowOff>
    </xdr:to>
    <xdr:sp macro="" textlink="">
      <xdr:nvSpPr>
        <xdr:cNvPr id="115" name="Rectangle 114">
          <a:extLst>
            <a:ext uri="{FF2B5EF4-FFF2-40B4-BE49-F238E27FC236}">
              <a16:creationId xmlns:a16="http://schemas.microsoft.com/office/drawing/2014/main" id="{B18F7614-2D5F-487F-8F92-B335CC01F7A2}"/>
            </a:ext>
          </a:extLst>
        </xdr:cNvPr>
        <xdr:cNvSpPr/>
      </xdr:nvSpPr>
      <xdr:spPr>
        <a:xfrm>
          <a:off x="1333500" y="47053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244</xdr:row>
      <xdr:rowOff>0</xdr:rowOff>
    </xdr:from>
    <xdr:to>
      <xdr:col>2</xdr:col>
      <xdr:colOff>0</xdr:colOff>
      <xdr:row>245</xdr:row>
      <xdr:rowOff>0</xdr:rowOff>
    </xdr:to>
    <xdr:sp macro="" textlink="">
      <xdr:nvSpPr>
        <xdr:cNvPr id="116" name="Rectangle 115">
          <a:extLst>
            <a:ext uri="{FF2B5EF4-FFF2-40B4-BE49-F238E27FC236}">
              <a16:creationId xmlns:a16="http://schemas.microsoft.com/office/drawing/2014/main" id="{92B67294-FBD8-4AE3-9693-1CA94E420AE2}"/>
            </a:ext>
          </a:extLst>
        </xdr:cNvPr>
        <xdr:cNvSpPr/>
      </xdr:nvSpPr>
      <xdr:spPr>
        <a:xfrm>
          <a:off x="295275" y="46482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222</xdr:row>
      <xdr:rowOff>0</xdr:rowOff>
    </xdr:from>
    <xdr:to>
      <xdr:col>2</xdr:col>
      <xdr:colOff>0</xdr:colOff>
      <xdr:row>223</xdr:row>
      <xdr:rowOff>0</xdr:rowOff>
    </xdr:to>
    <xdr:sp macro="" textlink="">
      <xdr:nvSpPr>
        <xdr:cNvPr id="117" name="Rectangle 116">
          <a:extLst>
            <a:ext uri="{FF2B5EF4-FFF2-40B4-BE49-F238E27FC236}">
              <a16:creationId xmlns:a16="http://schemas.microsoft.com/office/drawing/2014/main" id="{3307E597-C21F-419D-98F8-EAA6DD182CED}"/>
            </a:ext>
          </a:extLst>
        </xdr:cNvPr>
        <xdr:cNvSpPr/>
      </xdr:nvSpPr>
      <xdr:spPr>
        <a:xfrm>
          <a:off x="295275" y="42291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220</xdr:row>
      <xdr:rowOff>0</xdr:rowOff>
    </xdr:from>
    <xdr:to>
      <xdr:col>2</xdr:col>
      <xdr:colOff>0</xdr:colOff>
      <xdr:row>221</xdr:row>
      <xdr:rowOff>0</xdr:rowOff>
    </xdr:to>
    <xdr:sp macro="" textlink="">
      <xdr:nvSpPr>
        <xdr:cNvPr id="118" name="Rectangle 117">
          <a:extLst>
            <a:ext uri="{FF2B5EF4-FFF2-40B4-BE49-F238E27FC236}">
              <a16:creationId xmlns:a16="http://schemas.microsoft.com/office/drawing/2014/main" id="{403A1856-E88E-4B8B-A0B8-F5615FE942D4}"/>
            </a:ext>
          </a:extLst>
        </xdr:cNvPr>
        <xdr:cNvSpPr/>
      </xdr:nvSpPr>
      <xdr:spPr>
        <a:xfrm>
          <a:off x="295275" y="41910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213</xdr:row>
      <xdr:rowOff>0</xdr:rowOff>
    </xdr:from>
    <xdr:to>
      <xdr:col>2</xdr:col>
      <xdr:colOff>0</xdr:colOff>
      <xdr:row>214</xdr:row>
      <xdr:rowOff>0</xdr:rowOff>
    </xdr:to>
    <xdr:sp macro="" textlink="">
      <xdr:nvSpPr>
        <xdr:cNvPr id="119" name="Rectangle 118">
          <a:extLst>
            <a:ext uri="{FF2B5EF4-FFF2-40B4-BE49-F238E27FC236}">
              <a16:creationId xmlns:a16="http://schemas.microsoft.com/office/drawing/2014/main" id="{1A54CED0-342D-49F0-B4AE-D75F9735762D}"/>
            </a:ext>
          </a:extLst>
        </xdr:cNvPr>
        <xdr:cNvSpPr/>
      </xdr:nvSpPr>
      <xdr:spPr>
        <a:xfrm>
          <a:off x="295275" y="40576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214</xdr:row>
      <xdr:rowOff>0</xdr:rowOff>
    </xdr:from>
    <xdr:to>
      <xdr:col>3</xdr:col>
      <xdr:colOff>0</xdr:colOff>
      <xdr:row>215</xdr:row>
      <xdr:rowOff>0</xdr:rowOff>
    </xdr:to>
    <xdr:sp macro="" textlink="">
      <xdr:nvSpPr>
        <xdr:cNvPr id="120" name="Rectangle 119">
          <a:extLst>
            <a:ext uri="{FF2B5EF4-FFF2-40B4-BE49-F238E27FC236}">
              <a16:creationId xmlns:a16="http://schemas.microsoft.com/office/drawing/2014/main" id="{75EBFD97-2E5D-4CEB-98AF-BB5CD2E513D5}"/>
            </a:ext>
          </a:extLst>
        </xdr:cNvPr>
        <xdr:cNvSpPr/>
      </xdr:nvSpPr>
      <xdr:spPr>
        <a:xfrm>
          <a:off x="1333500" y="40767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203</xdr:row>
      <xdr:rowOff>0</xdr:rowOff>
    </xdr:from>
    <xdr:to>
      <xdr:col>2</xdr:col>
      <xdr:colOff>0</xdr:colOff>
      <xdr:row>204</xdr:row>
      <xdr:rowOff>0</xdr:rowOff>
    </xdr:to>
    <xdr:sp macro="" textlink="">
      <xdr:nvSpPr>
        <xdr:cNvPr id="121" name="Rectangle 120">
          <a:extLst>
            <a:ext uri="{FF2B5EF4-FFF2-40B4-BE49-F238E27FC236}">
              <a16:creationId xmlns:a16="http://schemas.microsoft.com/office/drawing/2014/main" id="{E830BA09-9AE7-401C-81A4-ACF0D11A5D14}"/>
            </a:ext>
          </a:extLst>
        </xdr:cNvPr>
        <xdr:cNvSpPr/>
      </xdr:nvSpPr>
      <xdr:spPr>
        <a:xfrm>
          <a:off x="295275" y="38671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193</xdr:row>
      <xdr:rowOff>0</xdr:rowOff>
    </xdr:from>
    <xdr:to>
      <xdr:col>2</xdr:col>
      <xdr:colOff>0</xdr:colOff>
      <xdr:row>194</xdr:row>
      <xdr:rowOff>0</xdr:rowOff>
    </xdr:to>
    <xdr:sp macro="" textlink="">
      <xdr:nvSpPr>
        <xdr:cNvPr id="122" name="Rectangle 121">
          <a:extLst>
            <a:ext uri="{FF2B5EF4-FFF2-40B4-BE49-F238E27FC236}">
              <a16:creationId xmlns:a16="http://schemas.microsoft.com/office/drawing/2014/main" id="{C606BF8A-A970-4FB3-A3FF-997842624C9B}"/>
            </a:ext>
          </a:extLst>
        </xdr:cNvPr>
        <xdr:cNvSpPr/>
      </xdr:nvSpPr>
      <xdr:spPr>
        <a:xfrm>
          <a:off x="295275" y="36766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196</xdr:row>
      <xdr:rowOff>0</xdr:rowOff>
    </xdr:from>
    <xdr:to>
      <xdr:col>3</xdr:col>
      <xdr:colOff>0</xdr:colOff>
      <xdr:row>197</xdr:row>
      <xdr:rowOff>0</xdr:rowOff>
    </xdr:to>
    <xdr:sp macro="" textlink="">
      <xdr:nvSpPr>
        <xdr:cNvPr id="123" name="Rectangle 122">
          <a:extLst>
            <a:ext uri="{FF2B5EF4-FFF2-40B4-BE49-F238E27FC236}">
              <a16:creationId xmlns:a16="http://schemas.microsoft.com/office/drawing/2014/main" id="{2C797A73-CC9D-475B-B374-1BBAF3075AC1}"/>
            </a:ext>
          </a:extLst>
        </xdr:cNvPr>
        <xdr:cNvSpPr/>
      </xdr:nvSpPr>
      <xdr:spPr>
        <a:xfrm>
          <a:off x="1333500" y="37338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2</xdr:col>
      <xdr:colOff>0</xdr:colOff>
      <xdr:row>179</xdr:row>
      <xdr:rowOff>0</xdr:rowOff>
    </xdr:to>
    <xdr:sp macro="" textlink="">
      <xdr:nvSpPr>
        <xdr:cNvPr id="124" name="Rectangle 123">
          <a:extLst>
            <a:ext uri="{FF2B5EF4-FFF2-40B4-BE49-F238E27FC236}">
              <a16:creationId xmlns:a16="http://schemas.microsoft.com/office/drawing/2014/main" id="{D4335326-E914-4D1A-848E-A6A0F2E5A82D}"/>
            </a:ext>
          </a:extLst>
        </xdr:cNvPr>
        <xdr:cNvSpPr/>
      </xdr:nvSpPr>
      <xdr:spPr>
        <a:xfrm>
          <a:off x="295275" y="33909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2</xdr:col>
      <xdr:colOff>0</xdr:colOff>
      <xdr:row>175</xdr:row>
      <xdr:rowOff>0</xdr:rowOff>
    </xdr:to>
    <xdr:sp macro="" textlink="">
      <xdr:nvSpPr>
        <xdr:cNvPr id="125" name="Rectangle 124">
          <a:extLst>
            <a:ext uri="{FF2B5EF4-FFF2-40B4-BE49-F238E27FC236}">
              <a16:creationId xmlns:a16="http://schemas.microsoft.com/office/drawing/2014/main" id="{3E21D480-5694-46C3-A6D8-CA5EACEDFBAF}"/>
            </a:ext>
          </a:extLst>
        </xdr:cNvPr>
        <xdr:cNvSpPr/>
      </xdr:nvSpPr>
      <xdr:spPr>
        <a:xfrm>
          <a:off x="295275" y="33147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2</xdr:col>
      <xdr:colOff>0</xdr:colOff>
      <xdr:row>169</xdr:row>
      <xdr:rowOff>0</xdr:rowOff>
    </xdr:to>
    <xdr:sp macro="" textlink="">
      <xdr:nvSpPr>
        <xdr:cNvPr id="126" name="Rectangle 125">
          <a:extLst>
            <a:ext uri="{FF2B5EF4-FFF2-40B4-BE49-F238E27FC236}">
              <a16:creationId xmlns:a16="http://schemas.microsoft.com/office/drawing/2014/main" id="{D8D6B71E-D3F0-4482-A823-639EA0B8A9DD}"/>
            </a:ext>
          </a:extLst>
        </xdr:cNvPr>
        <xdr:cNvSpPr/>
      </xdr:nvSpPr>
      <xdr:spPr>
        <a:xfrm>
          <a:off x="295275" y="32004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2</xdr:col>
      <xdr:colOff>0</xdr:colOff>
      <xdr:row>117</xdr:row>
      <xdr:rowOff>0</xdr:rowOff>
    </xdr:to>
    <xdr:sp macro="" textlink="">
      <xdr:nvSpPr>
        <xdr:cNvPr id="127" name="Rectangle 126">
          <a:extLst>
            <a:ext uri="{FF2B5EF4-FFF2-40B4-BE49-F238E27FC236}">
              <a16:creationId xmlns:a16="http://schemas.microsoft.com/office/drawing/2014/main" id="{E0B6C99C-6041-4A38-BD10-E85D39B44626}"/>
            </a:ext>
          </a:extLst>
        </xdr:cNvPr>
        <xdr:cNvSpPr/>
      </xdr:nvSpPr>
      <xdr:spPr>
        <a:xfrm>
          <a:off x="295275" y="22098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2</xdr:col>
      <xdr:colOff>0</xdr:colOff>
      <xdr:row>81</xdr:row>
      <xdr:rowOff>0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81DE2DCC-3B6E-4FE2-8FED-CF8C4FA0F75E}"/>
            </a:ext>
          </a:extLst>
        </xdr:cNvPr>
        <xdr:cNvSpPr/>
      </xdr:nvSpPr>
      <xdr:spPr>
        <a:xfrm>
          <a:off x="295275" y="15240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2</xdr:col>
      <xdr:colOff>0</xdr:colOff>
      <xdr:row>70</xdr:row>
      <xdr:rowOff>0</xdr:rowOff>
    </xdr:to>
    <xdr:sp macro="" textlink="">
      <xdr:nvSpPr>
        <xdr:cNvPr id="129" name="Rectangle 128">
          <a:extLst>
            <a:ext uri="{FF2B5EF4-FFF2-40B4-BE49-F238E27FC236}">
              <a16:creationId xmlns:a16="http://schemas.microsoft.com/office/drawing/2014/main" id="{08EA5BF4-347E-4B0C-8EF6-5DEB3DB0627B}"/>
            </a:ext>
          </a:extLst>
        </xdr:cNvPr>
        <xdr:cNvSpPr/>
      </xdr:nvSpPr>
      <xdr:spPr>
        <a:xfrm>
          <a:off x="295275" y="13144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2</xdr:col>
      <xdr:colOff>0</xdr:colOff>
      <xdr:row>56</xdr:row>
      <xdr:rowOff>0</xdr:rowOff>
    </xdr:to>
    <xdr:sp macro="" textlink="">
      <xdr:nvSpPr>
        <xdr:cNvPr id="130" name="Rectangle 129">
          <a:extLst>
            <a:ext uri="{FF2B5EF4-FFF2-40B4-BE49-F238E27FC236}">
              <a16:creationId xmlns:a16="http://schemas.microsoft.com/office/drawing/2014/main" id="{E59842CA-3279-47E7-9C0C-292B68E6B5DF}"/>
            </a:ext>
          </a:extLst>
        </xdr:cNvPr>
        <xdr:cNvSpPr/>
      </xdr:nvSpPr>
      <xdr:spPr>
        <a:xfrm>
          <a:off x="295275" y="10477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2</xdr:col>
      <xdr:colOff>0</xdr:colOff>
      <xdr:row>51</xdr:row>
      <xdr:rowOff>0</xdr:rowOff>
    </xdr:to>
    <xdr:sp macro="" textlink="">
      <xdr:nvSpPr>
        <xdr:cNvPr id="131" name="Rectangle 130">
          <a:extLst>
            <a:ext uri="{FF2B5EF4-FFF2-40B4-BE49-F238E27FC236}">
              <a16:creationId xmlns:a16="http://schemas.microsoft.com/office/drawing/2014/main" id="{49154A3D-AF99-4415-BEF5-5659FCB379A3}"/>
            </a:ext>
          </a:extLst>
        </xdr:cNvPr>
        <xdr:cNvSpPr/>
      </xdr:nvSpPr>
      <xdr:spPr>
        <a:xfrm>
          <a:off x="295275" y="9525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2</xdr:col>
      <xdr:colOff>0</xdr:colOff>
      <xdr:row>36</xdr:row>
      <xdr:rowOff>0</xdr:rowOff>
    </xdr:to>
    <xdr:sp macro="" textlink="">
      <xdr:nvSpPr>
        <xdr:cNvPr id="132" name="Rectangle 131">
          <a:extLst>
            <a:ext uri="{FF2B5EF4-FFF2-40B4-BE49-F238E27FC236}">
              <a16:creationId xmlns:a16="http://schemas.microsoft.com/office/drawing/2014/main" id="{F2C74952-32A0-4CC4-9C79-61EF38EEEA6D}"/>
            </a:ext>
          </a:extLst>
        </xdr:cNvPr>
        <xdr:cNvSpPr/>
      </xdr:nvSpPr>
      <xdr:spPr>
        <a:xfrm>
          <a:off x="295275" y="6667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379</xdr:row>
      <xdr:rowOff>0</xdr:rowOff>
    </xdr:from>
    <xdr:to>
      <xdr:col>3</xdr:col>
      <xdr:colOff>0</xdr:colOff>
      <xdr:row>380</xdr:row>
      <xdr:rowOff>0</xdr:rowOff>
    </xdr:to>
    <xdr:sp macro="" textlink="">
      <xdr:nvSpPr>
        <xdr:cNvPr id="133" name="Rectangle 132">
          <a:extLst>
            <a:ext uri="{FF2B5EF4-FFF2-40B4-BE49-F238E27FC236}">
              <a16:creationId xmlns:a16="http://schemas.microsoft.com/office/drawing/2014/main" id="{B65FD7B7-4AEB-4AF3-9187-B47BF46EF7E3}"/>
            </a:ext>
          </a:extLst>
        </xdr:cNvPr>
        <xdr:cNvSpPr/>
      </xdr:nvSpPr>
      <xdr:spPr>
        <a:xfrm>
          <a:off x="1333500" y="72199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378</xdr:row>
      <xdr:rowOff>0</xdr:rowOff>
    </xdr:from>
    <xdr:to>
      <xdr:col>2</xdr:col>
      <xdr:colOff>0</xdr:colOff>
      <xdr:row>379</xdr:row>
      <xdr:rowOff>0</xdr:rowOff>
    </xdr:to>
    <xdr:sp macro="" textlink="">
      <xdr:nvSpPr>
        <xdr:cNvPr id="134" name="Rectangle 133">
          <a:extLst>
            <a:ext uri="{FF2B5EF4-FFF2-40B4-BE49-F238E27FC236}">
              <a16:creationId xmlns:a16="http://schemas.microsoft.com/office/drawing/2014/main" id="{164EC29E-7DC8-4016-A8E0-524FF5D233C3}"/>
            </a:ext>
          </a:extLst>
        </xdr:cNvPr>
        <xdr:cNvSpPr/>
      </xdr:nvSpPr>
      <xdr:spPr>
        <a:xfrm>
          <a:off x="295275" y="72009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836</xdr:row>
      <xdr:rowOff>0</xdr:rowOff>
    </xdr:from>
    <xdr:to>
      <xdr:col>2</xdr:col>
      <xdr:colOff>0</xdr:colOff>
      <xdr:row>837</xdr:row>
      <xdr:rowOff>0</xdr:rowOff>
    </xdr:to>
    <xdr:sp macro="" textlink="">
      <xdr:nvSpPr>
        <xdr:cNvPr id="135" name="Rectangle 134">
          <a:extLst>
            <a:ext uri="{FF2B5EF4-FFF2-40B4-BE49-F238E27FC236}">
              <a16:creationId xmlns:a16="http://schemas.microsoft.com/office/drawing/2014/main" id="{BBF3B8BE-1F5A-418A-B7DC-9B74767A0D86}"/>
            </a:ext>
          </a:extLst>
        </xdr:cNvPr>
        <xdr:cNvSpPr/>
      </xdr:nvSpPr>
      <xdr:spPr>
        <a:xfrm>
          <a:off x="295275" y="1590484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850</xdr:row>
      <xdr:rowOff>0</xdr:rowOff>
    </xdr:from>
    <xdr:to>
      <xdr:col>2</xdr:col>
      <xdr:colOff>0</xdr:colOff>
      <xdr:row>851</xdr:row>
      <xdr:rowOff>0</xdr:rowOff>
    </xdr:to>
    <xdr:sp macro="" textlink="">
      <xdr:nvSpPr>
        <xdr:cNvPr id="136" name="Rectangle 135">
          <a:extLst>
            <a:ext uri="{FF2B5EF4-FFF2-40B4-BE49-F238E27FC236}">
              <a16:creationId xmlns:a16="http://schemas.microsoft.com/office/drawing/2014/main" id="{B8A378C3-A237-40B2-A449-83B973A60B9F}"/>
            </a:ext>
          </a:extLst>
        </xdr:cNvPr>
        <xdr:cNvSpPr/>
      </xdr:nvSpPr>
      <xdr:spPr>
        <a:xfrm>
          <a:off x="295275" y="1616964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883</xdr:row>
      <xdr:rowOff>0</xdr:rowOff>
    </xdr:from>
    <xdr:to>
      <xdr:col>2</xdr:col>
      <xdr:colOff>0</xdr:colOff>
      <xdr:row>884</xdr:row>
      <xdr:rowOff>0</xdr:rowOff>
    </xdr:to>
    <xdr:sp macro="" textlink="">
      <xdr:nvSpPr>
        <xdr:cNvPr id="137" name="Rectangle 136">
          <a:extLst>
            <a:ext uri="{FF2B5EF4-FFF2-40B4-BE49-F238E27FC236}">
              <a16:creationId xmlns:a16="http://schemas.microsoft.com/office/drawing/2014/main" id="{E9D704FF-FB37-4969-AC18-749748F7ADD0}"/>
            </a:ext>
          </a:extLst>
        </xdr:cNvPr>
        <xdr:cNvSpPr/>
      </xdr:nvSpPr>
      <xdr:spPr>
        <a:xfrm>
          <a:off x="295275" y="1679448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885</xdr:row>
      <xdr:rowOff>0</xdr:rowOff>
    </xdr:from>
    <xdr:to>
      <xdr:col>2</xdr:col>
      <xdr:colOff>0</xdr:colOff>
      <xdr:row>886</xdr:row>
      <xdr:rowOff>0</xdr:rowOff>
    </xdr:to>
    <xdr:sp macro="" textlink="">
      <xdr:nvSpPr>
        <xdr:cNvPr id="138" name="Rectangle 137">
          <a:extLst>
            <a:ext uri="{FF2B5EF4-FFF2-40B4-BE49-F238E27FC236}">
              <a16:creationId xmlns:a16="http://schemas.microsoft.com/office/drawing/2014/main" id="{91EB2276-23C7-48FC-8F68-C10E243769A4}"/>
            </a:ext>
          </a:extLst>
        </xdr:cNvPr>
        <xdr:cNvSpPr/>
      </xdr:nvSpPr>
      <xdr:spPr>
        <a:xfrm>
          <a:off x="295275" y="1683258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909</xdr:row>
      <xdr:rowOff>0</xdr:rowOff>
    </xdr:from>
    <xdr:to>
      <xdr:col>2</xdr:col>
      <xdr:colOff>0</xdr:colOff>
      <xdr:row>910</xdr:row>
      <xdr:rowOff>0</xdr:rowOff>
    </xdr:to>
    <xdr:sp macro="" textlink="">
      <xdr:nvSpPr>
        <xdr:cNvPr id="139" name="Rectangle 138">
          <a:extLst>
            <a:ext uri="{FF2B5EF4-FFF2-40B4-BE49-F238E27FC236}">
              <a16:creationId xmlns:a16="http://schemas.microsoft.com/office/drawing/2014/main" id="{FA394347-1E2C-4118-9CA1-9BA612C42A27}"/>
            </a:ext>
          </a:extLst>
        </xdr:cNvPr>
        <xdr:cNvSpPr/>
      </xdr:nvSpPr>
      <xdr:spPr>
        <a:xfrm>
          <a:off x="295275" y="1728120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914</xdr:row>
      <xdr:rowOff>0</xdr:rowOff>
    </xdr:from>
    <xdr:to>
      <xdr:col>2</xdr:col>
      <xdr:colOff>0</xdr:colOff>
      <xdr:row>915</xdr:row>
      <xdr:rowOff>0</xdr:rowOff>
    </xdr:to>
    <xdr:sp macro="" textlink="">
      <xdr:nvSpPr>
        <xdr:cNvPr id="140" name="Rectangle 139">
          <a:extLst>
            <a:ext uri="{FF2B5EF4-FFF2-40B4-BE49-F238E27FC236}">
              <a16:creationId xmlns:a16="http://schemas.microsoft.com/office/drawing/2014/main" id="{7FABBC4B-D02A-487A-A203-B939F89F8A11}"/>
            </a:ext>
          </a:extLst>
        </xdr:cNvPr>
        <xdr:cNvSpPr/>
      </xdr:nvSpPr>
      <xdr:spPr>
        <a:xfrm>
          <a:off x="295275" y="1737645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1018</xdr:row>
      <xdr:rowOff>0</xdr:rowOff>
    </xdr:from>
    <xdr:to>
      <xdr:col>2</xdr:col>
      <xdr:colOff>0</xdr:colOff>
      <xdr:row>1019</xdr:row>
      <xdr:rowOff>0</xdr:rowOff>
    </xdr:to>
    <xdr:sp macro="" textlink="">
      <xdr:nvSpPr>
        <xdr:cNvPr id="141" name="Rectangle 140">
          <a:extLst>
            <a:ext uri="{FF2B5EF4-FFF2-40B4-BE49-F238E27FC236}">
              <a16:creationId xmlns:a16="http://schemas.microsoft.com/office/drawing/2014/main" id="{4CEC3CEB-A87E-48E2-A904-2BCD81123DD3}"/>
            </a:ext>
          </a:extLst>
        </xdr:cNvPr>
        <xdr:cNvSpPr/>
      </xdr:nvSpPr>
      <xdr:spPr>
        <a:xfrm>
          <a:off x="295275" y="1935003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1175</xdr:row>
      <xdr:rowOff>0</xdr:rowOff>
    </xdr:from>
    <xdr:to>
      <xdr:col>2</xdr:col>
      <xdr:colOff>0</xdr:colOff>
      <xdr:row>1176</xdr:row>
      <xdr:rowOff>0</xdr:rowOff>
    </xdr:to>
    <xdr:sp macro="" textlink="">
      <xdr:nvSpPr>
        <xdr:cNvPr id="142" name="Rectangle 141">
          <a:extLst>
            <a:ext uri="{FF2B5EF4-FFF2-40B4-BE49-F238E27FC236}">
              <a16:creationId xmlns:a16="http://schemas.microsoft.com/office/drawing/2014/main" id="{E38A5AE9-F60C-4810-BA1E-0B37C09D157B}"/>
            </a:ext>
          </a:extLst>
        </xdr:cNvPr>
        <xdr:cNvSpPr/>
      </xdr:nvSpPr>
      <xdr:spPr>
        <a:xfrm>
          <a:off x="295275" y="2231707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1217</xdr:row>
      <xdr:rowOff>0</xdr:rowOff>
    </xdr:from>
    <xdr:to>
      <xdr:col>2</xdr:col>
      <xdr:colOff>0</xdr:colOff>
      <xdr:row>1218</xdr:row>
      <xdr:rowOff>0</xdr:rowOff>
    </xdr:to>
    <xdr:sp macro="" textlink="">
      <xdr:nvSpPr>
        <xdr:cNvPr id="143" name="Rectangle 142">
          <a:extLst>
            <a:ext uri="{FF2B5EF4-FFF2-40B4-BE49-F238E27FC236}">
              <a16:creationId xmlns:a16="http://schemas.microsoft.com/office/drawing/2014/main" id="{D3422786-CD9F-4104-B814-4CA34AC2678D}"/>
            </a:ext>
          </a:extLst>
        </xdr:cNvPr>
        <xdr:cNvSpPr/>
      </xdr:nvSpPr>
      <xdr:spPr>
        <a:xfrm>
          <a:off x="295275" y="2311146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1253</xdr:row>
      <xdr:rowOff>0</xdr:rowOff>
    </xdr:from>
    <xdr:to>
      <xdr:col>2</xdr:col>
      <xdr:colOff>0</xdr:colOff>
      <xdr:row>1254</xdr:row>
      <xdr:rowOff>0</xdr:rowOff>
    </xdr:to>
    <xdr:sp macro="" textlink="">
      <xdr:nvSpPr>
        <xdr:cNvPr id="144" name="Rectangle 143">
          <a:extLst>
            <a:ext uri="{FF2B5EF4-FFF2-40B4-BE49-F238E27FC236}">
              <a16:creationId xmlns:a16="http://schemas.microsoft.com/office/drawing/2014/main" id="{67E4DBCA-40E4-4DA9-9A49-EEA97CB9F01F}"/>
            </a:ext>
          </a:extLst>
        </xdr:cNvPr>
        <xdr:cNvSpPr/>
      </xdr:nvSpPr>
      <xdr:spPr>
        <a:xfrm>
          <a:off x="295275" y="237934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1285</xdr:row>
      <xdr:rowOff>0</xdr:rowOff>
    </xdr:from>
    <xdr:to>
      <xdr:col>2</xdr:col>
      <xdr:colOff>0</xdr:colOff>
      <xdr:row>1286</xdr:row>
      <xdr:rowOff>0</xdr:rowOff>
    </xdr:to>
    <xdr:sp macro="" textlink="">
      <xdr:nvSpPr>
        <xdr:cNvPr id="145" name="Rectangle 144">
          <a:extLst>
            <a:ext uri="{FF2B5EF4-FFF2-40B4-BE49-F238E27FC236}">
              <a16:creationId xmlns:a16="http://schemas.microsoft.com/office/drawing/2014/main" id="{89F7AFCE-540D-45FE-A376-E8C979D8288A}"/>
            </a:ext>
          </a:extLst>
        </xdr:cNvPr>
        <xdr:cNvSpPr/>
      </xdr:nvSpPr>
      <xdr:spPr>
        <a:xfrm>
          <a:off x="295275" y="244020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1314</xdr:row>
      <xdr:rowOff>0</xdr:rowOff>
    </xdr:from>
    <xdr:to>
      <xdr:col>2</xdr:col>
      <xdr:colOff>0</xdr:colOff>
      <xdr:row>1315</xdr:row>
      <xdr:rowOff>0</xdr:rowOff>
    </xdr:to>
    <xdr:sp macro="" textlink="">
      <xdr:nvSpPr>
        <xdr:cNvPr id="146" name="Rectangle 145">
          <a:extLst>
            <a:ext uri="{FF2B5EF4-FFF2-40B4-BE49-F238E27FC236}">
              <a16:creationId xmlns:a16="http://schemas.microsoft.com/office/drawing/2014/main" id="{63A1268C-9A4D-40D6-9B93-1CAC70487812}"/>
            </a:ext>
          </a:extLst>
        </xdr:cNvPr>
        <xdr:cNvSpPr/>
      </xdr:nvSpPr>
      <xdr:spPr>
        <a:xfrm>
          <a:off x="295275" y="2495264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1329</xdr:row>
      <xdr:rowOff>0</xdr:rowOff>
    </xdr:from>
    <xdr:to>
      <xdr:col>2</xdr:col>
      <xdr:colOff>0</xdr:colOff>
      <xdr:row>1330</xdr:row>
      <xdr:rowOff>0</xdr:rowOff>
    </xdr:to>
    <xdr:sp macro="" textlink="">
      <xdr:nvSpPr>
        <xdr:cNvPr id="147" name="Rectangle 146">
          <a:extLst>
            <a:ext uri="{FF2B5EF4-FFF2-40B4-BE49-F238E27FC236}">
              <a16:creationId xmlns:a16="http://schemas.microsoft.com/office/drawing/2014/main" id="{9E54054F-C14F-44DF-BA43-D5CF276D766B}"/>
            </a:ext>
          </a:extLst>
        </xdr:cNvPr>
        <xdr:cNvSpPr/>
      </xdr:nvSpPr>
      <xdr:spPr>
        <a:xfrm>
          <a:off x="295275" y="2523744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1360</xdr:row>
      <xdr:rowOff>0</xdr:rowOff>
    </xdr:from>
    <xdr:to>
      <xdr:col>2</xdr:col>
      <xdr:colOff>0</xdr:colOff>
      <xdr:row>1361</xdr:row>
      <xdr:rowOff>0</xdr:rowOff>
    </xdr:to>
    <xdr:sp macro="" textlink="">
      <xdr:nvSpPr>
        <xdr:cNvPr id="148" name="Rectangle 147">
          <a:extLst>
            <a:ext uri="{FF2B5EF4-FFF2-40B4-BE49-F238E27FC236}">
              <a16:creationId xmlns:a16="http://schemas.microsoft.com/office/drawing/2014/main" id="{6B815528-BD5D-4555-BE56-C1BE06480676}"/>
            </a:ext>
          </a:extLst>
        </xdr:cNvPr>
        <xdr:cNvSpPr/>
      </xdr:nvSpPr>
      <xdr:spPr>
        <a:xfrm>
          <a:off x="295275" y="2582703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1416</xdr:row>
      <xdr:rowOff>0</xdr:rowOff>
    </xdr:from>
    <xdr:to>
      <xdr:col>2</xdr:col>
      <xdr:colOff>0</xdr:colOff>
      <xdr:row>1417</xdr:row>
      <xdr:rowOff>0</xdr:rowOff>
    </xdr:to>
    <xdr:sp macro="" textlink="">
      <xdr:nvSpPr>
        <xdr:cNvPr id="149" name="Rectangle 148">
          <a:extLst>
            <a:ext uri="{FF2B5EF4-FFF2-40B4-BE49-F238E27FC236}">
              <a16:creationId xmlns:a16="http://schemas.microsoft.com/office/drawing/2014/main" id="{20206395-D9B9-4AF8-8977-A1D08F3A0196}"/>
            </a:ext>
          </a:extLst>
        </xdr:cNvPr>
        <xdr:cNvSpPr/>
      </xdr:nvSpPr>
      <xdr:spPr>
        <a:xfrm>
          <a:off x="295275" y="2689193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1433</xdr:row>
      <xdr:rowOff>0</xdr:rowOff>
    </xdr:from>
    <xdr:to>
      <xdr:col>2</xdr:col>
      <xdr:colOff>0</xdr:colOff>
      <xdr:row>1434</xdr:row>
      <xdr:rowOff>0</xdr:rowOff>
    </xdr:to>
    <xdr:sp macro="" textlink="">
      <xdr:nvSpPr>
        <xdr:cNvPr id="150" name="Rectangle 149">
          <a:extLst>
            <a:ext uri="{FF2B5EF4-FFF2-40B4-BE49-F238E27FC236}">
              <a16:creationId xmlns:a16="http://schemas.microsoft.com/office/drawing/2014/main" id="{5BD3586A-9DE7-4CD7-9A40-485D0BC7862C}"/>
            </a:ext>
          </a:extLst>
        </xdr:cNvPr>
        <xdr:cNvSpPr/>
      </xdr:nvSpPr>
      <xdr:spPr>
        <a:xfrm>
          <a:off x="295275" y="2721483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1447</xdr:row>
      <xdr:rowOff>0</xdr:rowOff>
    </xdr:from>
    <xdr:to>
      <xdr:col>2</xdr:col>
      <xdr:colOff>0</xdr:colOff>
      <xdr:row>1448</xdr:row>
      <xdr:rowOff>0</xdr:rowOff>
    </xdr:to>
    <xdr:sp macro="" textlink="">
      <xdr:nvSpPr>
        <xdr:cNvPr id="151" name="Rectangle 150">
          <a:extLst>
            <a:ext uri="{FF2B5EF4-FFF2-40B4-BE49-F238E27FC236}">
              <a16:creationId xmlns:a16="http://schemas.microsoft.com/office/drawing/2014/main" id="{5D5A6B8E-D278-450E-A8E5-3B23318EBA6F}"/>
            </a:ext>
          </a:extLst>
        </xdr:cNvPr>
        <xdr:cNvSpPr/>
      </xdr:nvSpPr>
      <xdr:spPr>
        <a:xfrm>
          <a:off x="295275" y="2748057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1505</xdr:row>
      <xdr:rowOff>0</xdr:rowOff>
    </xdr:from>
    <xdr:to>
      <xdr:col>2</xdr:col>
      <xdr:colOff>0</xdr:colOff>
      <xdr:row>1506</xdr:row>
      <xdr:rowOff>0</xdr:rowOff>
    </xdr:to>
    <xdr:sp macro="" textlink="">
      <xdr:nvSpPr>
        <xdr:cNvPr id="152" name="Rectangle 151">
          <a:extLst>
            <a:ext uri="{FF2B5EF4-FFF2-40B4-BE49-F238E27FC236}">
              <a16:creationId xmlns:a16="http://schemas.microsoft.com/office/drawing/2014/main" id="{13120185-7EB3-4E76-8B1B-A716674C41DE}"/>
            </a:ext>
          </a:extLst>
        </xdr:cNvPr>
        <xdr:cNvSpPr/>
      </xdr:nvSpPr>
      <xdr:spPr>
        <a:xfrm>
          <a:off x="295275" y="285826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1507</xdr:row>
      <xdr:rowOff>0</xdr:rowOff>
    </xdr:from>
    <xdr:to>
      <xdr:col>2</xdr:col>
      <xdr:colOff>0</xdr:colOff>
      <xdr:row>1508</xdr:row>
      <xdr:rowOff>0</xdr:rowOff>
    </xdr:to>
    <xdr:sp macro="" textlink="">
      <xdr:nvSpPr>
        <xdr:cNvPr id="153" name="Rectangle 152">
          <a:extLst>
            <a:ext uri="{FF2B5EF4-FFF2-40B4-BE49-F238E27FC236}">
              <a16:creationId xmlns:a16="http://schemas.microsoft.com/office/drawing/2014/main" id="{992B7FCB-EAA3-4B88-97CA-D36C0F5575E0}"/>
            </a:ext>
          </a:extLst>
        </xdr:cNvPr>
        <xdr:cNvSpPr/>
      </xdr:nvSpPr>
      <xdr:spPr>
        <a:xfrm>
          <a:off x="295275" y="286207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1535</xdr:row>
      <xdr:rowOff>0</xdr:rowOff>
    </xdr:from>
    <xdr:to>
      <xdr:col>2</xdr:col>
      <xdr:colOff>0</xdr:colOff>
      <xdr:row>1536</xdr:row>
      <xdr:rowOff>0</xdr:rowOff>
    </xdr:to>
    <xdr:sp macro="" textlink="">
      <xdr:nvSpPr>
        <xdr:cNvPr id="154" name="Rectangle 153">
          <a:extLst>
            <a:ext uri="{FF2B5EF4-FFF2-40B4-BE49-F238E27FC236}">
              <a16:creationId xmlns:a16="http://schemas.microsoft.com/office/drawing/2014/main" id="{104F941D-B33C-4FFD-B83B-34F7F20C9F18}"/>
            </a:ext>
          </a:extLst>
        </xdr:cNvPr>
        <xdr:cNvSpPr/>
      </xdr:nvSpPr>
      <xdr:spPr>
        <a:xfrm>
          <a:off x="295275" y="2914935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1546</xdr:row>
      <xdr:rowOff>0</xdr:rowOff>
    </xdr:from>
    <xdr:to>
      <xdr:col>2</xdr:col>
      <xdr:colOff>0</xdr:colOff>
      <xdr:row>1547</xdr:row>
      <xdr:rowOff>0</xdr:rowOff>
    </xdr:to>
    <xdr:sp macro="" textlink="">
      <xdr:nvSpPr>
        <xdr:cNvPr id="155" name="Rectangle 154">
          <a:extLst>
            <a:ext uri="{FF2B5EF4-FFF2-40B4-BE49-F238E27FC236}">
              <a16:creationId xmlns:a16="http://schemas.microsoft.com/office/drawing/2014/main" id="{6B606270-0BA9-4DBD-BBA7-AE4B9D93A4CD}"/>
            </a:ext>
          </a:extLst>
        </xdr:cNvPr>
        <xdr:cNvSpPr/>
      </xdr:nvSpPr>
      <xdr:spPr>
        <a:xfrm>
          <a:off x="295275" y="2935795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1580</xdr:row>
      <xdr:rowOff>0</xdr:rowOff>
    </xdr:from>
    <xdr:to>
      <xdr:col>2</xdr:col>
      <xdr:colOff>0</xdr:colOff>
      <xdr:row>1581</xdr:row>
      <xdr:rowOff>0</xdr:rowOff>
    </xdr:to>
    <xdr:sp macro="" textlink="">
      <xdr:nvSpPr>
        <xdr:cNvPr id="156" name="Rectangle 155">
          <a:extLst>
            <a:ext uri="{FF2B5EF4-FFF2-40B4-BE49-F238E27FC236}">
              <a16:creationId xmlns:a16="http://schemas.microsoft.com/office/drawing/2014/main" id="{444D9B65-5C97-4B2C-9097-B7DF7C98C0B8}"/>
            </a:ext>
          </a:extLst>
        </xdr:cNvPr>
        <xdr:cNvSpPr/>
      </xdr:nvSpPr>
      <xdr:spPr>
        <a:xfrm>
          <a:off x="295275" y="30005655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1601</xdr:row>
      <xdr:rowOff>0</xdr:rowOff>
    </xdr:from>
    <xdr:to>
      <xdr:col>2</xdr:col>
      <xdr:colOff>0</xdr:colOff>
      <xdr:row>1602</xdr:row>
      <xdr:rowOff>0</xdr:rowOff>
    </xdr:to>
    <xdr:sp macro="" textlink="">
      <xdr:nvSpPr>
        <xdr:cNvPr id="157" name="Rectangle 156">
          <a:extLst>
            <a:ext uri="{FF2B5EF4-FFF2-40B4-BE49-F238E27FC236}">
              <a16:creationId xmlns:a16="http://schemas.microsoft.com/office/drawing/2014/main" id="{ACEA930C-08D7-4944-860C-2B1A692C0060}"/>
            </a:ext>
          </a:extLst>
        </xdr:cNvPr>
        <xdr:cNvSpPr/>
      </xdr:nvSpPr>
      <xdr:spPr>
        <a:xfrm>
          <a:off x="295275" y="3040475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1612</xdr:row>
      <xdr:rowOff>0</xdr:rowOff>
    </xdr:from>
    <xdr:to>
      <xdr:col>2</xdr:col>
      <xdr:colOff>0</xdr:colOff>
      <xdr:row>1613</xdr:row>
      <xdr:rowOff>0</xdr:rowOff>
    </xdr:to>
    <xdr:sp macro="" textlink="">
      <xdr:nvSpPr>
        <xdr:cNvPr id="158" name="Rectangle 157">
          <a:extLst>
            <a:ext uri="{FF2B5EF4-FFF2-40B4-BE49-F238E27FC236}">
              <a16:creationId xmlns:a16="http://schemas.microsoft.com/office/drawing/2014/main" id="{98D9EC5B-23F9-4319-93CC-376F327E85E2}"/>
            </a:ext>
          </a:extLst>
        </xdr:cNvPr>
        <xdr:cNvSpPr/>
      </xdr:nvSpPr>
      <xdr:spPr>
        <a:xfrm>
          <a:off x="295275" y="306123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822</xdr:row>
      <xdr:rowOff>0</xdr:rowOff>
    </xdr:from>
    <xdr:to>
      <xdr:col>2</xdr:col>
      <xdr:colOff>0</xdr:colOff>
      <xdr:row>823</xdr:row>
      <xdr:rowOff>0</xdr:rowOff>
    </xdr:to>
    <xdr:sp macro="" textlink="">
      <xdr:nvSpPr>
        <xdr:cNvPr id="159" name="Rectangle 158">
          <a:extLst>
            <a:ext uri="{FF2B5EF4-FFF2-40B4-BE49-F238E27FC236}">
              <a16:creationId xmlns:a16="http://schemas.microsoft.com/office/drawing/2014/main" id="{154DFA1C-1993-4BE3-8A44-35BB4A8D5EA3}"/>
            </a:ext>
          </a:extLst>
        </xdr:cNvPr>
        <xdr:cNvSpPr/>
      </xdr:nvSpPr>
      <xdr:spPr>
        <a:xfrm>
          <a:off x="295275" y="15641955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1558</xdr:row>
      <xdr:rowOff>0</xdr:rowOff>
    </xdr:from>
    <xdr:to>
      <xdr:col>2</xdr:col>
      <xdr:colOff>0</xdr:colOff>
      <xdr:row>1559</xdr:row>
      <xdr:rowOff>0</xdr:rowOff>
    </xdr:to>
    <xdr:sp macro="" textlink="">
      <xdr:nvSpPr>
        <xdr:cNvPr id="160" name="Rectangle 159">
          <a:extLst>
            <a:ext uri="{FF2B5EF4-FFF2-40B4-BE49-F238E27FC236}">
              <a16:creationId xmlns:a16="http://schemas.microsoft.com/office/drawing/2014/main" id="{4E75AC1C-94E6-44D6-8421-02AC4BDE2384}"/>
            </a:ext>
          </a:extLst>
        </xdr:cNvPr>
        <xdr:cNvSpPr/>
      </xdr:nvSpPr>
      <xdr:spPr>
        <a:xfrm>
          <a:off x="295275" y="2958655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1605</xdr:row>
      <xdr:rowOff>0</xdr:rowOff>
    </xdr:from>
    <xdr:to>
      <xdr:col>2</xdr:col>
      <xdr:colOff>0</xdr:colOff>
      <xdr:row>1606</xdr:row>
      <xdr:rowOff>0</xdr:rowOff>
    </xdr:to>
    <xdr:sp macro="" textlink="">
      <xdr:nvSpPr>
        <xdr:cNvPr id="161" name="Rectangle 160">
          <a:extLst>
            <a:ext uri="{FF2B5EF4-FFF2-40B4-BE49-F238E27FC236}">
              <a16:creationId xmlns:a16="http://schemas.microsoft.com/office/drawing/2014/main" id="{24E24248-C559-45C8-8D24-01B2F0AAAB1F}"/>
            </a:ext>
          </a:extLst>
        </xdr:cNvPr>
        <xdr:cNvSpPr/>
      </xdr:nvSpPr>
      <xdr:spPr>
        <a:xfrm>
          <a:off x="295275" y="30480952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1606</xdr:row>
      <xdr:rowOff>0</xdr:rowOff>
    </xdr:from>
    <xdr:to>
      <xdr:col>3</xdr:col>
      <xdr:colOff>0</xdr:colOff>
      <xdr:row>1607</xdr:row>
      <xdr:rowOff>0</xdr:rowOff>
    </xdr:to>
    <xdr:sp macro="" textlink="">
      <xdr:nvSpPr>
        <xdr:cNvPr id="162" name="Rectangle 161">
          <a:extLst>
            <a:ext uri="{FF2B5EF4-FFF2-40B4-BE49-F238E27FC236}">
              <a16:creationId xmlns:a16="http://schemas.microsoft.com/office/drawing/2014/main" id="{2319FCDA-D81F-4653-B443-242C64D7F694}"/>
            </a:ext>
          </a:extLst>
        </xdr:cNvPr>
        <xdr:cNvSpPr/>
      </xdr:nvSpPr>
      <xdr:spPr>
        <a:xfrm>
          <a:off x="1333500" y="3049905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827</xdr:row>
      <xdr:rowOff>0</xdr:rowOff>
    </xdr:from>
    <xdr:to>
      <xdr:col>2</xdr:col>
      <xdr:colOff>0</xdr:colOff>
      <xdr:row>828</xdr:row>
      <xdr:rowOff>0</xdr:rowOff>
    </xdr:to>
    <xdr:sp macro="" textlink="">
      <xdr:nvSpPr>
        <xdr:cNvPr id="163" name="Rectangle 162">
          <a:extLst>
            <a:ext uri="{FF2B5EF4-FFF2-40B4-BE49-F238E27FC236}">
              <a16:creationId xmlns:a16="http://schemas.microsoft.com/office/drawing/2014/main" id="{5D019D77-A46D-4B49-B0FD-059A68FC805E}"/>
            </a:ext>
          </a:extLst>
        </xdr:cNvPr>
        <xdr:cNvSpPr/>
      </xdr:nvSpPr>
      <xdr:spPr>
        <a:xfrm>
          <a:off x="295275" y="1573625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841</xdr:row>
      <xdr:rowOff>0</xdr:rowOff>
    </xdr:from>
    <xdr:to>
      <xdr:col>2</xdr:col>
      <xdr:colOff>0</xdr:colOff>
      <xdr:row>842</xdr:row>
      <xdr:rowOff>0</xdr:rowOff>
    </xdr:to>
    <xdr:sp macro="" textlink="">
      <xdr:nvSpPr>
        <xdr:cNvPr id="164" name="Rectangle 163">
          <a:extLst>
            <a:ext uri="{FF2B5EF4-FFF2-40B4-BE49-F238E27FC236}">
              <a16:creationId xmlns:a16="http://schemas.microsoft.com/office/drawing/2014/main" id="{41580A83-AEEF-4C00-90A8-CCA6AAD0F963}"/>
            </a:ext>
          </a:extLst>
        </xdr:cNvPr>
        <xdr:cNvSpPr/>
      </xdr:nvSpPr>
      <xdr:spPr>
        <a:xfrm>
          <a:off x="295275" y="1600009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854</xdr:row>
      <xdr:rowOff>0</xdr:rowOff>
    </xdr:from>
    <xdr:to>
      <xdr:col>2</xdr:col>
      <xdr:colOff>0</xdr:colOff>
      <xdr:row>855</xdr:row>
      <xdr:rowOff>0</xdr:rowOff>
    </xdr:to>
    <xdr:sp macro="" textlink="">
      <xdr:nvSpPr>
        <xdr:cNvPr id="165" name="Rectangle 164">
          <a:extLst>
            <a:ext uri="{FF2B5EF4-FFF2-40B4-BE49-F238E27FC236}">
              <a16:creationId xmlns:a16="http://schemas.microsoft.com/office/drawing/2014/main" id="{3CB17A8A-747E-4497-AF73-24766A85EACC}"/>
            </a:ext>
          </a:extLst>
        </xdr:cNvPr>
        <xdr:cNvSpPr/>
      </xdr:nvSpPr>
      <xdr:spPr>
        <a:xfrm>
          <a:off x="295275" y="1624584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862</xdr:row>
      <xdr:rowOff>0</xdr:rowOff>
    </xdr:from>
    <xdr:to>
      <xdr:col>2</xdr:col>
      <xdr:colOff>0</xdr:colOff>
      <xdr:row>863</xdr:row>
      <xdr:rowOff>0</xdr:rowOff>
    </xdr:to>
    <xdr:sp macro="" textlink="">
      <xdr:nvSpPr>
        <xdr:cNvPr id="166" name="Rectangle 165">
          <a:extLst>
            <a:ext uri="{FF2B5EF4-FFF2-40B4-BE49-F238E27FC236}">
              <a16:creationId xmlns:a16="http://schemas.microsoft.com/office/drawing/2014/main" id="{8E09C685-56A9-490F-826D-401D7F5024A1}"/>
            </a:ext>
          </a:extLst>
        </xdr:cNvPr>
        <xdr:cNvSpPr/>
      </xdr:nvSpPr>
      <xdr:spPr>
        <a:xfrm>
          <a:off x="295275" y="1639633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866</xdr:row>
      <xdr:rowOff>0</xdr:rowOff>
    </xdr:from>
    <xdr:to>
      <xdr:col>2</xdr:col>
      <xdr:colOff>0</xdr:colOff>
      <xdr:row>867</xdr:row>
      <xdr:rowOff>0</xdr:rowOff>
    </xdr:to>
    <xdr:sp macro="" textlink="">
      <xdr:nvSpPr>
        <xdr:cNvPr id="167" name="Rectangle 166">
          <a:extLst>
            <a:ext uri="{FF2B5EF4-FFF2-40B4-BE49-F238E27FC236}">
              <a16:creationId xmlns:a16="http://schemas.microsoft.com/office/drawing/2014/main" id="{8EE69295-9D08-4078-AC13-3C23B8842723}"/>
            </a:ext>
          </a:extLst>
        </xdr:cNvPr>
        <xdr:cNvSpPr/>
      </xdr:nvSpPr>
      <xdr:spPr>
        <a:xfrm>
          <a:off x="295275" y="1647253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871</xdr:row>
      <xdr:rowOff>0</xdr:rowOff>
    </xdr:from>
    <xdr:to>
      <xdr:col>2</xdr:col>
      <xdr:colOff>0</xdr:colOff>
      <xdr:row>872</xdr:row>
      <xdr:rowOff>0</xdr:rowOff>
    </xdr:to>
    <xdr:sp macro="" textlink="">
      <xdr:nvSpPr>
        <xdr:cNvPr id="168" name="Rectangle 167">
          <a:extLst>
            <a:ext uri="{FF2B5EF4-FFF2-40B4-BE49-F238E27FC236}">
              <a16:creationId xmlns:a16="http://schemas.microsoft.com/office/drawing/2014/main" id="{295B135D-F73C-4D66-94D7-06E1D39FEE7E}"/>
            </a:ext>
          </a:extLst>
        </xdr:cNvPr>
        <xdr:cNvSpPr/>
      </xdr:nvSpPr>
      <xdr:spPr>
        <a:xfrm>
          <a:off x="295275" y="1656778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887</xdr:row>
      <xdr:rowOff>0</xdr:rowOff>
    </xdr:from>
    <xdr:to>
      <xdr:col>2</xdr:col>
      <xdr:colOff>0</xdr:colOff>
      <xdr:row>888</xdr:row>
      <xdr:rowOff>0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9E51F074-36E7-45CF-80F7-DFED907F8AA2}"/>
            </a:ext>
          </a:extLst>
        </xdr:cNvPr>
        <xdr:cNvSpPr/>
      </xdr:nvSpPr>
      <xdr:spPr>
        <a:xfrm>
          <a:off x="295275" y="1687068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910</xdr:row>
      <xdr:rowOff>0</xdr:rowOff>
    </xdr:from>
    <xdr:to>
      <xdr:col>2</xdr:col>
      <xdr:colOff>0</xdr:colOff>
      <xdr:row>911</xdr:row>
      <xdr:rowOff>0</xdr:rowOff>
    </xdr:to>
    <xdr:sp macro="" textlink="">
      <xdr:nvSpPr>
        <xdr:cNvPr id="170" name="Rectangle 169">
          <a:extLst>
            <a:ext uri="{FF2B5EF4-FFF2-40B4-BE49-F238E27FC236}">
              <a16:creationId xmlns:a16="http://schemas.microsoft.com/office/drawing/2014/main" id="{22CE3B10-B8BD-4DAB-BBB2-57B833253A1B}"/>
            </a:ext>
          </a:extLst>
        </xdr:cNvPr>
        <xdr:cNvSpPr/>
      </xdr:nvSpPr>
      <xdr:spPr>
        <a:xfrm>
          <a:off x="295275" y="1730025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944</xdr:row>
      <xdr:rowOff>0</xdr:rowOff>
    </xdr:from>
    <xdr:to>
      <xdr:col>2</xdr:col>
      <xdr:colOff>0</xdr:colOff>
      <xdr:row>945</xdr:row>
      <xdr:rowOff>0</xdr:rowOff>
    </xdr:to>
    <xdr:sp macro="" textlink="">
      <xdr:nvSpPr>
        <xdr:cNvPr id="171" name="Rectangle 170">
          <a:extLst>
            <a:ext uri="{FF2B5EF4-FFF2-40B4-BE49-F238E27FC236}">
              <a16:creationId xmlns:a16="http://schemas.microsoft.com/office/drawing/2014/main" id="{5878D309-527A-408A-9739-0528592C28C3}"/>
            </a:ext>
          </a:extLst>
        </xdr:cNvPr>
        <xdr:cNvSpPr/>
      </xdr:nvSpPr>
      <xdr:spPr>
        <a:xfrm>
          <a:off x="295275" y="179451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959</xdr:row>
      <xdr:rowOff>0</xdr:rowOff>
    </xdr:from>
    <xdr:to>
      <xdr:col>2</xdr:col>
      <xdr:colOff>0</xdr:colOff>
      <xdr:row>960</xdr:row>
      <xdr:rowOff>0</xdr:rowOff>
    </xdr:to>
    <xdr:sp macro="" textlink="">
      <xdr:nvSpPr>
        <xdr:cNvPr id="172" name="Rectangle 171">
          <a:extLst>
            <a:ext uri="{FF2B5EF4-FFF2-40B4-BE49-F238E27FC236}">
              <a16:creationId xmlns:a16="http://schemas.microsoft.com/office/drawing/2014/main" id="{B557EC38-91D1-4256-B00A-6AC901A0ED0E}"/>
            </a:ext>
          </a:extLst>
        </xdr:cNvPr>
        <xdr:cNvSpPr/>
      </xdr:nvSpPr>
      <xdr:spPr>
        <a:xfrm>
          <a:off x="295275" y="182308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982</xdr:row>
      <xdr:rowOff>0</xdr:rowOff>
    </xdr:from>
    <xdr:to>
      <xdr:col>2</xdr:col>
      <xdr:colOff>0</xdr:colOff>
      <xdr:row>983</xdr:row>
      <xdr:rowOff>0</xdr:rowOff>
    </xdr:to>
    <xdr:sp macro="" textlink="">
      <xdr:nvSpPr>
        <xdr:cNvPr id="173" name="Rectangle 172">
          <a:extLst>
            <a:ext uri="{FF2B5EF4-FFF2-40B4-BE49-F238E27FC236}">
              <a16:creationId xmlns:a16="http://schemas.microsoft.com/office/drawing/2014/main" id="{76279581-6938-4EDC-82BA-CDD906E60B2D}"/>
            </a:ext>
          </a:extLst>
        </xdr:cNvPr>
        <xdr:cNvSpPr/>
      </xdr:nvSpPr>
      <xdr:spPr>
        <a:xfrm>
          <a:off x="295275" y="186680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1000</xdr:row>
      <xdr:rowOff>0</xdr:rowOff>
    </xdr:from>
    <xdr:to>
      <xdr:col>2</xdr:col>
      <xdr:colOff>0</xdr:colOff>
      <xdr:row>1001</xdr:row>
      <xdr:rowOff>0</xdr:rowOff>
    </xdr:to>
    <xdr:sp macro="" textlink="">
      <xdr:nvSpPr>
        <xdr:cNvPr id="174" name="Rectangle 173">
          <a:extLst>
            <a:ext uri="{FF2B5EF4-FFF2-40B4-BE49-F238E27FC236}">
              <a16:creationId xmlns:a16="http://schemas.microsoft.com/office/drawing/2014/main" id="{3FB41548-F57B-4F9C-923F-92B8E9CF7263}"/>
            </a:ext>
          </a:extLst>
        </xdr:cNvPr>
        <xdr:cNvSpPr/>
      </xdr:nvSpPr>
      <xdr:spPr>
        <a:xfrm>
          <a:off x="295275" y="1900999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1002</xdr:row>
      <xdr:rowOff>0</xdr:rowOff>
    </xdr:from>
    <xdr:to>
      <xdr:col>2</xdr:col>
      <xdr:colOff>0</xdr:colOff>
      <xdr:row>1003</xdr:row>
      <xdr:rowOff>0</xdr:rowOff>
    </xdr:to>
    <xdr:sp macro="" textlink="">
      <xdr:nvSpPr>
        <xdr:cNvPr id="175" name="Rectangle 174">
          <a:extLst>
            <a:ext uri="{FF2B5EF4-FFF2-40B4-BE49-F238E27FC236}">
              <a16:creationId xmlns:a16="http://schemas.microsoft.com/office/drawing/2014/main" id="{46E3E661-E2F0-448A-9670-8DFE84282975}"/>
            </a:ext>
          </a:extLst>
        </xdr:cNvPr>
        <xdr:cNvSpPr/>
      </xdr:nvSpPr>
      <xdr:spPr>
        <a:xfrm>
          <a:off x="295275" y="1904809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1017</xdr:row>
      <xdr:rowOff>0</xdr:rowOff>
    </xdr:from>
    <xdr:to>
      <xdr:col>2</xdr:col>
      <xdr:colOff>0</xdr:colOff>
      <xdr:row>1018</xdr:row>
      <xdr:rowOff>0</xdr:rowOff>
    </xdr:to>
    <xdr:sp macro="" textlink="">
      <xdr:nvSpPr>
        <xdr:cNvPr id="176" name="Rectangle 175">
          <a:extLst>
            <a:ext uri="{FF2B5EF4-FFF2-40B4-BE49-F238E27FC236}">
              <a16:creationId xmlns:a16="http://schemas.microsoft.com/office/drawing/2014/main" id="{7BFE8AA8-A95B-4BED-99F5-66794BAD4C54}"/>
            </a:ext>
          </a:extLst>
        </xdr:cNvPr>
        <xdr:cNvSpPr/>
      </xdr:nvSpPr>
      <xdr:spPr>
        <a:xfrm>
          <a:off x="295275" y="1933098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1044</xdr:row>
      <xdr:rowOff>0</xdr:rowOff>
    </xdr:from>
    <xdr:to>
      <xdr:col>2</xdr:col>
      <xdr:colOff>0</xdr:colOff>
      <xdr:row>1045</xdr:row>
      <xdr:rowOff>0</xdr:rowOff>
    </xdr:to>
    <xdr:sp macro="" textlink="">
      <xdr:nvSpPr>
        <xdr:cNvPr id="177" name="Rectangle 176">
          <a:extLst>
            <a:ext uri="{FF2B5EF4-FFF2-40B4-BE49-F238E27FC236}">
              <a16:creationId xmlns:a16="http://schemas.microsoft.com/office/drawing/2014/main" id="{491A203D-1397-4BDB-908B-553A35795A26}"/>
            </a:ext>
          </a:extLst>
        </xdr:cNvPr>
        <xdr:cNvSpPr/>
      </xdr:nvSpPr>
      <xdr:spPr>
        <a:xfrm>
          <a:off x="295275" y="1984152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1049</xdr:row>
      <xdr:rowOff>0</xdr:rowOff>
    </xdr:from>
    <xdr:to>
      <xdr:col>2</xdr:col>
      <xdr:colOff>0</xdr:colOff>
      <xdr:row>1050</xdr:row>
      <xdr:rowOff>0</xdr:rowOff>
    </xdr:to>
    <xdr:sp macro="" textlink="">
      <xdr:nvSpPr>
        <xdr:cNvPr id="178" name="Rectangle 177">
          <a:extLst>
            <a:ext uri="{FF2B5EF4-FFF2-40B4-BE49-F238E27FC236}">
              <a16:creationId xmlns:a16="http://schemas.microsoft.com/office/drawing/2014/main" id="{D722F003-5B74-4C51-842F-529F5C991663}"/>
            </a:ext>
          </a:extLst>
        </xdr:cNvPr>
        <xdr:cNvSpPr/>
      </xdr:nvSpPr>
      <xdr:spPr>
        <a:xfrm>
          <a:off x="295275" y="1993677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1055</xdr:row>
      <xdr:rowOff>0</xdr:rowOff>
    </xdr:from>
    <xdr:to>
      <xdr:col>2</xdr:col>
      <xdr:colOff>0</xdr:colOff>
      <xdr:row>1056</xdr:row>
      <xdr:rowOff>0</xdr:rowOff>
    </xdr:to>
    <xdr:sp macro="" textlink="">
      <xdr:nvSpPr>
        <xdr:cNvPr id="179" name="Rectangle 178">
          <a:extLst>
            <a:ext uri="{FF2B5EF4-FFF2-40B4-BE49-F238E27FC236}">
              <a16:creationId xmlns:a16="http://schemas.microsoft.com/office/drawing/2014/main" id="{F4CDA802-A9AC-4DA9-85A0-1761F508B47C}"/>
            </a:ext>
          </a:extLst>
        </xdr:cNvPr>
        <xdr:cNvSpPr/>
      </xdr:nvSpPr>
      <xdr:spPr>
        <a:xfrm>
          <a:off x="295275" y="2005107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1056</xdr:row>
      <xdr:rowOff>0</xdr:rowOff>
    </xdr:from>
    <xdr:to>
      <xdr:col>2</xdr:col>
      <xdr:colOff>0</xdr:colOff>
      <xdr:row>1057</xdr:row>
      <xdr:rowOff>0</xdr:rowOff>
    </xdr:to>
    <xdr:sp macro="" textlink="">
      <xdr:nvSpPr>
        <xdr:cNvPr id="180" name="Rectangle 179">
          <a:extLst>
            <a:ext uri="{FF2B5EF4-FFF2-40B4-BE49-F238E27FC236}">
              <a16:creationId xmlns:a16="http://schemas.microsoft.com/office/drawing/2014/main" id="{69F160FE-326E-41DE-AC82-AEF431A44652}"/>
            </a:ext>
          </a:extLst>
        </xdr:cNvPr>
        <xdr:cNvSpPr/>
      </xdr:nvSpPr>
      <xdr:spPr>
        <a:xfrm>
          <a:off x="295275" y="2007012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1075</xdr:row>
      <xdr:rowOff>0</xdr:rowOff>
    </xdr:from>
    <xdr:to>
      <xdr:col>2</xdr:col>
      <xdr:colOff>0</xdr:colOff>
      <xdr:row>1076</xdr:row>
      <xdr:rowOff>0</xdr:rowOff>
    </xdr:to>
    <xdr:sp macro="" textlink="">
      <xdr:nvSpPr>
        <xdr:cNvPr id="181" name="Rectangle 180">
          <a:extLst>
            <a:ext uri="{FF2B5EF4-FFF2-40B4-BE49-F238E27FC236}">
              <a16:creationId xmlns:a16="http://schemas.microsoft.com/office/drawing/2014/main" id="{540852AC-181F-4C13-99FA-7497646DA85E}"/>
            </a:ext>
          </a:extLst>
        </xdr:cNvPr>
        <xdr:cNvSpPr/>
      </xdr:nvSpPr>
      <xdr:spPr>
        <a:xfrm>
          <a:off x="295275" y="204292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1086</xdr:row>
      <xdr:rowOff>0</xdr:rowOff>
    </xdr:from>
    <xdr:to>
      <xdr:col>2</xdr:col>
      <xdr:colOff>0</xdr:colOff>
      <xdr:row>1087</xdr:row>
      <xdr:rowOff>0</xdr:rowOff>
    </xdr:to>
    <xdr:sp macro="" textlink="">
      <xdr:nvSpPr>
        <xdr:cNvPr id="182" name="Rectangle 181">
          <a:extLst>
            <a:ext uri="{FF2B5EF4-FFF2-40B4-BE49-F238E27FC236}">
              <a16:creationId xmlns:a16="http://schemas.microsoft.com/office/drawing/2014/main" id="{6BFB1102-93F5-4033-BC75-F28C411FD92F}"/>
            </a:ext>
          </a:extLst>
        </xdr:cNvPr>
        <xdr:cNvSpPr/>
      </xdr:nvSpPr>
      <xdr:spPr>
        <a:xfrm>
          <a:off x="295275" y="2063877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1087</xdr:row>
      <xdr:rowOff>0</xdr:rowOff>
    </xdr:from>
    <xdr:to>
      <xdr:col>2</xdr:col>
      <xdr:colOff>0</xdr:colOff>
      <xdr:row>1088</xdr:row>
      <xdr:rowOff>0</xdr:rowOff>
    </xdr:to>
    <xdr:sp macro="" textlink="">
      <xdr:nvSpPr>
        <xdr:cNvPr id="183" name="Rectangle 182">
          <a:extLst>
            <a:ext uri="{FF2B5EF4-FFF2-40B4-BE49-F238E27FC236}">
              <a16:creationId xmlns:a16="http://schemas.microsoft.com/office/drawing/2014/main" id="{E1F1E2CF-1D6F-4B99-A205-1EF66952501B}"/>
            </a:ext>
          </a:extLst>
        </xdr:cNvPr>
        <xdr:cNvSpPr/>
      </xdr:nvSpPr>
      <xdr:spPr>
        <a:xfrm>
          <a:off x="295275" y="206578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1091</xdr:row>
      <xdr:rowOff>0</xdr:rowOff>
    </xdr:from>
    <xdr:to>
      <xdr:col>2</xdr:col>
      <xdr:colOff>0</xdr:colOff>
      <xdr:row>1092</xdr:row>
      <xdr:rowOff>0</xdr:rowOff>
    </xdr:to>
    <xdr:sp macro="" textlink="">
      <xdr:nvSpPr>
        <xdr:cNvPr id="184" name="Rectangle 183">
          <a:extLst>
            <a:ext uri="{FF2B5EF4-FFF2-40B4-BE49-F238E27FC236}">
              <a16:creationId xmlns:a16="http://schemas.microsoft.com/office/drawing/2014/main" id="{ED0024FE-1CF6-45C6-8264-773C30124D6F}"/>
            </a:ext>
          </a:extLst>
        </xdr:cNvPr>
        <xdr:cNvSpPr/>
      </xdr:nvSpPr>
      <xdr:spPr>
        <a:xfrm>
          <a:off x="295275" y="207340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1093</xdr:row>
      <xdr:rowOff>0</xdr:rowOff>
    </xdr:from>
    <xdr:to>
      <xdr:col>2</xdr:col>
      <xdr:colOff>0</xdr:colOff>
      <xdr:row>1094</xdr:row>
      <xdr:rowOff>0</xdr:rowOff>
    </xdr:to>
    <xdr:sp macro="" textlink="">
      <xdr:nvSpPr>
        <xdr:cNvPr id="185" name="Rectangle 184">
          <a:extLst>
            <a:ext uri="{FF2B5EF4-FFF2-40B4-BE49-F238E27FC236}">
              <a16:creationId xmlns:a16="http://schemas.microsoft.com/office/drawing/2014/main" id="{43145AE9-2267-4129-9828-E2BE4367F5D9}"/>
            </a:ext>
          </a:extLst>
        </xdr:cNvPr>
        <xdr:cNvSpPr/>
      </xdr:nvSpPr>
      <xdr:spPr>
        <a:xfrm>
          <a:off x="295275" y="207721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1108</xdr:row>
      <xdr:rowOff>0</xdr:rowOff>
    </xdr:from>
    <xdr:to>
      <xdr:col>2</xdr:col>
      <xdr:colOff>0</xdr:colOff>
      <xdr:row>1109</xdr:row>
      <xdr:rowOff>0</xdr:rowOff>
    </xdr:to>
    <xdr:sp macro="" textlink="">
      <xdr:nvSpPr>
        <xdr:cNvPr id="186" name="Rectangle 185">
          <a:extLst>
            <a:ext uri="{FF2B5EF4-FFF2-40B4-BE49-F238E27FC236}">
              <a16:creationId xmlns:a16="http://schemas.microsoft.com/office/drawing/2014/main" id="{5FFA1044-A4E5-406B-83E9-6D27356340B6}"/>
            </a:ext>
          </a:extLst>
        </xdr:cNvPr>
        <xdr:cNvSpPr/>
      </xdr:nvSpPr>
      <xdr:spPr>
        <a:xfrm>
          <a:off x="295275" y="2105406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1113</xdr:row>
      <xdr:rowOff>0</xdr:rowOff>
    </xdr:from>
    <xdr:to>
      <xdr:col>2</xdr:col>
      <xdr:colOff>0</xdr:colOff>
      <xdr:row>1114</xdr:row>
      <xdr:rowOff>0</xdr:rowOff>
    </xdr:to>
    <xdr:sp macro="" textlink="">
      <xdr:nvSpPr>
        <xdr:cNvPr id="187" name="Rectangle 186">
          <a:extLst>
            <a:ext uri="{FF2B5EF4-FFF2-40B4-BE49-F238E27FC236}">
              <a16:creationId xmlns:a16="http://schemas.microsoft.com/office/drawing/2014/main" id="{7B2AD5C4-47AD-41C0-807A-45172F7A13E3}"/>
            </a:ext>
          </a:extLst>
        </xdr:cNvPr>
        <xdr:cNvSpPr/>
      </xdr:nvSpPr>
      <xdr:spPr>
        <a:xfrm>
          <a:off x="295275" y="2114645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1133</xdr:row>
      <xdr:rowOff>0</xdr:rowOff>
    </xdr:from>
    <xdr:to>
      <xdr:col>2</xdr:col>
      <xdr:colOff>0</xdr:colOff>
      <xdr:row>1134</xdr:row>
      <xdr:rowOff>0</xdr:rowOff>
    </xdr:to>
    <xdr:sp macro="" textlink="">
      <xdr:nvSpPr>
        <xdr:cNvPr id="188" name="Rectangle 187">
          <a:extLst>
            <a:ext uri="{FF2B5EF4-FFF2-40B4-BE49-F238E27FC236}">
              <a16:creationId xmlns:a16="http://schemas.microsoft.com/office/drawing/2014/main" id="{C38542C3-F88C-45BF-A3F8-A846DA7D76D3}"/>
            </a:ext>
          </a:extLst>
        </xdr:cNvPr>
        <xdr:cNvSpPr/>
      </xdr:nvSpPr>
      <xdr:spPr>
        <a:xfrm>
          <a:off x="295275" y="2152459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1159</xdr:row>
      <xdr:rowOff>0</xdr:rowOff>
    </xdr:from>
    <xdr:to>
      <xdr:col>2</xdr:col>
      <xdr:colOff>0</xdr:colOff>
      <xdr:row>1160</xdr:row>
      <xdr:rowOff>0</xdr:rowOff>
    </xdr:to>
    <xdr:sp macro="" textlink="">
      <xdr:nvSpPr>
        <xdr:cNvPr id="189" name="Rectangle 188">
          <a:extLst>
            <a:ext uri="{FF2B5EF4-FFF2-40B4-BE49-F238E27FC236}">
              <a16:creationId xmlns:a16="http://schemas.microsoft.com/office/drawing/2014/main" id="{CA6DFA5E-4ED2-4469-B08A-43B8D7DB065D}"/>
            </a:ext>
          </a:extLst>
        </xdr:cNvPr>
        <xdr:cNvSpPr/>
      </xdr:nvSpPr>
      <xdr:spPr>
        <a:xfrm>
          <a:off x="295275" y="2201418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1219</xdr:row>
      <xdr:rowOff>0</xdr:rowOff>
    </xdr:from>
    <xdr:to>
      <xdr:col>2</xdr:col>
      <xdr:colOff>0</xdr:colOff>
      <xdr:row>1220</xdr:row>
      <xdr:rowOff>0</xdr:rowOff>
    </xdr:to>
    <xdr:sp macro="" textlink="">
      <xdr:nvSpPr>
        <xdr:cNvPr id="190" name="Rectangle 189">
          <a:extLst>
            <a:ext uri="{FF2B5EF4-FFF2-40B4-BE49-F238E27FC236}">
              <a16:creationId xmlns:a16="http://schemas.microsoft.com/office/drawing/2014/main" id="{3039FE05-BF38-48CA-AD75-C5B1430A4E13}"/>
            </a:ext>
          </a:extLst>
        </xdr:cNvPr>
        <xdr:cNvSpPr/>
      </xdr:nvSpPr>
      <xdr:spPr>
        <a:xfrm>
          <a:off x="295275" y="2314956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1247</xdr:row>
      <xdr:rowOff>0</xdr:rowOff>
    </xdr:from>
    <xdr:to>
      <xdr:col>2</xdr:col>
      <xdr:colOff>0</xdr:colOff>
      <xdr:row>1248</xdr:row>
      <xdr:rowOff>0</xdr:rowOff>
    </xdr:to>
    <xdr:sp macro="" textlink="">
      <xdr:nvSpPr>
        <xdr:cNvPr id="191" name="Rectangle 190">
          <a:extLst>
            <a:ext uri="{FF2B5EF4-FFF2-40B4-BE49-F238E27FC236}">
              <a16:creationId xmlns:a16="http://schemas.microsoft.com/office/drawing/2014/main" id="{8BEA7767-D3DE-46D3-8089-30FFDA6C9845}"/>
            </a:ext>
          </a:extLst>
        </xdr:cNvPr>
        <xdr:cNvSpPr/>
      </xdr:nvSpPr>
      <xdr:spPr>
        <a:xfrm>
          <a:off x="295275" y="236791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1254</xdr:row>
      <xdr:rowOff>0</xdr:rowOff>
    </xdr:from>
    <xdr:to>
      <xdr:col>2</xdr:col>
      <xdr:colOff>0</xdr:colOff>
      <xdr:row>1255</xdr:row>
      <xdr:rowOff>0</xdr:rowOff>
    </xdr:to>
    <xdr:sp macro="" textlink="">
      <xdr:nvSpPr>
        <xdr:cNvPr id="192" name="Rectangle 191">
          <a:extLst>
            <a:ext uri="{FF2B5EF4-FFF2-40B4-BE49-F238E27FC236}">
              <a16:creationId xmlns:a16="http://schemas.microsoft.com/office/drawing/2014/main" id="{14015009-04D5-4C9C-ACD9-837A78181E1C}"/>
            </a:ext>
          </a:extLst>
        </xdr:cNvPr>
        <xdr:cNvSpPr/>
      </xdr:nvSpPr>
      <xdr:spPr>
        <a:xfrm>
          <a:off x="295275" y="238125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1271</xdr:row>
      <xdr:rowOff>0</xdr:rowOff>
    </xdr:from>
    <xdr:to>
      <xdr:col>2</xdr:col>
      <xdr:colOff>0</xdr:colOff>
      <xdr:row>1272</xdr:row>
      <xdr:rowOff>0</xdr:rowOff>
    </xdr:to>
    <xdr:sp macro="" textlink="">
      <xdr:nvSpPr>
        <xdr:cNvPr id="193" name="Rectangle 192">
          <a:extLst>
            <a:ext uri="{FF2B5EF4-FFF2-40B4-BE49-F238E27FC236}">
              <a16:creationId xmlns:a16="http://schemas.microsoft.com/office/drawing/2014/main" id="{177B746E-18E5-4782-A8F3-2CE3AD1455F3}"/>
            </a:ext>
          </a:extLst>
        </xdr:cNvPr>
        <xdr:cNvSpPr/>
      </xdr:nvSpPr>
      <xdr:spPr>
        <a:xfrm>
          <a:off x="295275" y="241363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1273</xdr:row>
      <xdr:rowOff>0</xdr:rowOff>
    </xdr:from>
    <xdr:to>
      <xdr:col>2</xdr:col>
      <xdr:colOff>0</xdr:colOff>
      <xdr:row>1274</xdr:row>
      <xdr:rowOff>0</xdr:rowOff>
    </xdr:to>
    <xdr:sp macro="" textlink="">
      <xdr:nvSpPr>
        <xdr:cNvPr id="194" name="Rectangle 193">
          <a:extLst>
            <a:ext uri="{FF2B5EF4-FFF2-40B4-BE49-F238E27FC236}">
              <a16:creationId xmlns:a16="http://schemas.microsoft.com/office/drawing/2014/main" id="{FADCCB43-6DE7-40DE-97B4-0D8F4FF7E116}"/>
            </a:ext>
          </a:extLst>
        </xdr:cNvPr>
        <xdr:cNvSpPr/>
      </xdr:nvSpPr>
      <xdr:spPr>
        <a:xfrm>
          <a:off x="295275" y="241744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1277</xdr:row>
      <xdr:rowOff>0</xdr:rowOff>
    </xdr:from>
    <xdr:to>
      <xdr:col>2</xdr:col>
      <xdr:colOff>0</xdr:colOff>
      <xdr:row>1278</xdr:row>
      <xdr:rowOff>0</xdr:rowOff>
    </xdr:to>
    <xdr:sp macro="" textlink="">
      <xdr:nvSpPr>
        <xdr:cNvPr id="195" name="Rectangle 194">
          <a:extLst>
            <a:ext uri="{FF2B5EF4-FFF2-40B4-BE49-F238E27FC236}">
              <a16:creationId xmlns:a16="http://schemas.microsoft.com/office/drawing/2014/main" id="{C10409A7-8FB8-424E-B71F-808867A1DB01}"/>
            </a:ext>
          </a:extLst>
        </xdr:cNvPr>
        <xdr:cNvSpPr/>
      </xdr:nvSpPr>
      <xdr:spPr>
        <a:xfrm>
          <a:off x="295275" y="242506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1280</xdr:row>
      <xdr:rowOff>0</xdr:rowOff>
    </xdr:from>
    <xdr:to>
      <xdr:col>2</xdr:col>
      <xdr:colOff>0</xdr:colOff>
      <xdr:row>1281</xdr:row>
      <xdr:rowOff>0</xdr:rowOff>
    </xdr:to>
    <xdr:sp macro="" textlink="">
      <xdr:nvSpPr>
        <xdr:cNvPr id="196" name="Rectangle 195">
          <a:extLst>
            <a:ext uri="{FF2B5EF4-FFF2-40B4-BE49-F238E27FC236}">
              <a16:creationId xmlns:a16="http://schemas.microsoft.com/office/drawing/2014/main" id="{ACF561F2-7601-4350-9FB9-22919359A24D}"/>
            </a:ext>
          </a:extLst>
        </xdr:cNvPr>
        <xdr:cNvSpPr/>
      </xdr:nvSpPr>
      <xdr:spPr>
        <a:xfrm>
          <a:off x="295275" y="243068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1282</xdr:row>
      <xdr:rowOff>0</xdr:rowOff>
    </xdr:from>
    <xdr:to>
      <xdr:col>2</xdr:col>
      <xdr:colOff>0</xdr:colOff>
      <xdr:row>1283</xdr:row>
      <xdr:rowOff>0</xdr:rowOff>
    </xdr:to>
    <xdr:sp macro="" textlink="">
      <xdr:nvSpPr>
        <xdr:cNvPr id="197" name="Rectangle 196">
          <a:extLst>
            <a:ext uri="{FF2B5EF4-FFF2-40B4-BE49-F238E27FC236}">
              <a16:creationId xmlns:a16="http://schemas.microsoft.com/office/drawing/2014/main" id="{80965B67-A04F-47E0-A8D4-456439093124}"/>
            </a:ext>
          </a:extLst>
        </xdr:cNvPr>
        <xdr:cNvSpPr/>
      </xdr:nvSpPr>
      <xdr:spPr>
        <a:xfrm>
          <a:off x="295275" y="243449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1287</xdr:row>
      <xdr:rowOff>0</xdr:rowOff>
    </xdr:from>
    <xdr:to>
      <xdr:col>2</xdr:col>
      <xdr:colOff>0</xdr:colOff>
      <xdr:row>1288</xdr:row>
      <xdr:rowOff>0</xdr:rowOff>
    </xdr:to>
    <xdr:sp macro="" textlink="">
      <xdr:nvSpPr>
        <xdr:cNvPr id="198" name="Rectangle 197">
          <a:extLst>
            <a:ext uri="{FF2B5EF4-FFF2-40B4-BE49-F238E27FC236}">
              <a16:creationId xmlns:a16="http://schemas.microsoft.com/office/drawing/2014/main" id="{6C3AAC06-A800-4418-B8CA-FB4D00ED1784}"/>
            </a:ext>
          </a:extLst>
        </xdr:cNvPr>
        <xdr:cNvSpPr/>
      </xdr:nvSpPr>
      <xdr:spPr>
        <a:xfrm>
          <a:off x="295275" y="244401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1290</xdr:row>
      <xdr:rowOff>0</xdr:rowOff>
    </xdr:from>
    <xdr:to>
      <xdr:col>2</xdr:col>
      <xdr:colOff>0</xdr:colOff>
      <xdr:row>1291</xdr:row>
      <xdr:rowOff>0</xdr:rowOff>
    </xdr:to>
    <xdr:sp macro="" textlink="">
      <xdr:nvSpPr>
        <xdr:cNvPr id="199" name="Rectangle 198">
          <a:extLst>
            <a:ext uri="{FF2B5EF4-FFF2-40B4-BE49-F238E27FC236}">
              <a16:creationId xmlns:a16="http://schemas.microsoft.com/office/drawing/2014/main" id="{844896D8-877B-43E6-9B5B-3E60048B9334}"/>
            </a:ext>
          </a:extLst>
        </xdr:cNvPr>
        <xdr:cNvSpPr/>
      </xdr:nvSpPr>
      <xdr:spPr>
        <a:xfrm>
          <a:off x="295275" y="244973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1298</xdr:row>
      <xdr:rowOff>0</xdr:rowOff>
    </xdr:from>
    <xdr:to>
      <xdr:col>2</xdr:col>
      <xdr:colOff>0</xdr:colOff>
      <xdr:row>1299</xdr:row>
      <xdr:rowOff>0</xdr:rowOff>
    </xdr:to>
    <xdr:sp macro="" textlink="">
      <xdr:nvSpPr>
        <xdr:cNvPr id="200" name="Rectangle 199">
          <a:extLst>
            <a:ext uri="{FF2B5EF4-FFF2-40B4-BE49-F238E27FC236}">
              <a16:creationId xmlns:a16="http://schemas.microsoft.com/office/drawing/2014/main" id="{52DBCDB1-4926-49E1-B1C8-A3849ACE38AC}"/>
            </a:ext>
          </a:extLst>
        </xdr:cNvPr>
        <xdr:cNvSpPr/>
      </xdr:nvSpPr>
      <xdr:spPr>
        <a:xfrm>
          <a:off x="295275" y="2464879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1311</xdr:row>
      <xdr:rowOff>0</xdr:rowOff>
    </xdr:from>
    <xdr:to>
      <xdr:col>2</xdr:col>
      <xdr:colOff>0</xdr:colOff>
      <xdr:row>1312</xdr:row>
      <xdr:rowOff>0</xdr:rowOff>
    </xdr:to>
    <xdr:sp macro="" textlink="">
      <xdr:nvSpPr>
        <xdr:cNvPr id="201" name="Rectangle 200">
          <a:extLst>
            <a:ext uri="{FF2B5EF4-FFF2-40B4-BE49-F238E27FC236}">
              <a16:creationId xmlns:a16="http://schemas.microsoft.com/office/drawing/2014/main" id="{77F953CA-0273-4766-8091-02EB1FDD3213}"/>
            </a:ext>
          </a:extLst>
        </xdr:cNvPr>
        <xdr:cNvSpPr/>
      </xdr:nvSpPr>
      <xdr:spPr>
        <a:xfrm>
          <a:off x="295275" y="2489549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1347</xdr:row>
      <xdr:rowOff>0</xdr:rowOff>
    </xdr:from>
    <xdr:to>
      <xdr:col>2</xdr:col>
      <xdr:colOff>0</xdr:colOff>
      <xdr:row>1348</xdr:row>
      <xdr:rowOff>0</xdr:rowOff>
    </xdr:to>
    <xdr:sp macro="" textlink="">
      <xdr:nvSpPr>
        <xdr:cNvPr id="202" name="Rectangle 201">
          <a:extLst>
            <a:ext uri="{FF2B5EF4-FFF2-40B4-BE49-F238E27FC236}">
              <a16:creationId xmlns:a16="http://schemas.microsoft.com/office/drawing/2014/main" id="{E336EEE4-F48F-4967-9D84-D3D90DE6817E}"/>
            </a:ext>
          </a:extLst>
        </xdr:cNvPr>
        <xdr:cNvSpPr/>
      </xdr:nvSpPr>
      <xdr:spPr>
        <a:xfrm>
          <a:off x="295275" y="2557938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1350</xdr:row>
      <xdr:rowOff>0</xdr:rowOff>
    </xdr:from>
    <xdr:to>
      <xdr:col>2</xdr:col>
      <xdr:colOff>0</xdr:colOff>
      <xdr:row>1351</xdr:row>
      <xdr:rowOff>0</xdr:rowOff>
    </xdr:to>
    <xdr:sp macro="" textlink="">
      <xdr:nvSpPr>
        <xdr:cNvPr id="203" name="Rectangle 202">
          <a:extLst>
            <a:ext uri="{FF2B5EF4-FFF2-40B4-BE49-F238E27FC236}">
              <a16:creationId xmlns:a16="http://schemas.microsoft.com/office/drawing/2014/main" id="{7B2258CA-4BE4-4B32-85D3-0F55B46D3551}"/>
            </a:ext>
          </a:extLst>
        </xdr:cNvPr>
        <xdr:cNvSpPr/>
      </xdr:nvSpPr>
      <xdr:spPr>
        <a:xfrm>
          <a:off x="295275" y="2563653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1385</xdr:row>
      <xdr:rowOff>0</xdr:rowOff>
    </xdr:from>
    <xdr:to>
      <xdr:col>2</xdr:col>
      <xdr:colOff>0</xdr:colOff>
      <xdr:row>1386</xdr:row>
      <xdr:rowOff>0</xdr:rowOff>
    </xdr:to>
    <xdr:sp macro="" textlink="">
      <xdr:nvSpPr>
        <xdr:cNvPr id="204" name="Rectangle 203">
          <a:extLst>
            <a:ext uri="{FF2B5EF4-FFF2-40B4-BE49-F238E27FC236}">
              <a16:creationId xmlns:a16="http://schemas.microsoft.com/office/drawing/2014/main" id="{B53DD96A-DE83-44F5-95D4-C798E3A4FFEB}"/>
            </a:ext>
          </a:extLst>
        </xdr:cNvPr>
        <xdr:cNvSpPr/>
      </xdr:nvSpPr>
      <xdr:spPr>
        <a:xfrm>
          <a:off x="295275" y="2630233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1414</xdr:row>
      <xdr:rowOff>0</xdr:rowOff>
    </xdr:from>
    <xdr:to>
      <xdr:col>2</xdr:col>
      <xdr:colOff>0</xdr:colOff>
      <xdr:row>1415</xdr:row>
      <xdr:rowOff>0</xdr:rowOff>
    </xdr:to>
    <xdr:sp macro="" textlink="">
      <xdr:nvSpPr>
        <xdr:cNvPr id="205" name="Rectangle 204">
          <a:extLst>
            <a:ext uri="{FF2B5EF4-FFF2-40B4-BE49-F238E27FC236}">
              <a16:creationId xmlns:a16="http://schemas.microsoft.com/office/drawing/2014/main" id="{579ECA80-0770-4E16-9BC9-443CEEAA0910}"/>
            </a:ext>
          </a:extLst>
        </xdr:cNvPr>
        <xdr:cNvSpPr/>
      </xdr:nvSpPr>
      <xdr:spPr>
        <a:xfrm>
          <a:off x="295275" y="2685383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1417</xdr:row>
      <xdr:rowOff>0</xdr:rowOff>
    </xdr:from>
    <xdr:to>
      <xdr:col>2</xdr:col>
      <xdr:colOff>0</xdr:colOff>
      <xdr:row>1418</xdr:row>
      <xdr:rowOff>0</xdr:rowOff>
    </xdr:to>
    <xdr:sp macro="" textlink="">
      <xdr:nvSpPr>
        <xdr:cNvPr id="206" name="Rectangle 205">
          <a:extLst>
            <a:ext uri="{FF2B5EF4-FFF2-40B4-BE49-F238E27FC236}">
              <a16:creationId xmlns:a16="http://schemas.microsoft.com/office/drawing/2014/main" id="{7DD3FFCD-2981-44B7-94E1-631DF2666E13}"/>
            </a:ext>
          </a:extLst>
        </xdr:cNvPr>
        <xdr:cNvSpPr/>
      </xdr:nvSpPr>
      <xdr:spPr>
        <a:xfrm>
          <a:off x="295275" y="2691098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1434</xdr:row>
      <xdr:rowOff>0</xdr:rowOff>
    </xdr:from>
    <xdr:to>
      <xdr:col>2</xdr:col>
      <xdr:colOff>0</xdr:colOff>
      <xdr:row>1435</xdr:row>
      <xdr:rowOff>0</xdr:rowOff>
    </xdr:to>
    <xdr:sp macro="" textlink="">
      <xdr:nvSpPr>
        <xdr:cNvPr id="207" name="Rectangle 206">
          <a:extLst>
            <a:ext uri="{FF2B5EF4-FFF2-40B4-BE49-F238E27FC236}">
              <a16:creationId xmlns:a16="http://schemas.microsoft.com/office/drawing/2014/main" id="{E08696ED-7730-40A1-9C3C-5A754895AE00}"/>
            </a:ext>
          </a:extLst>
        </xdr:cNvPr>
        <xdr:cNvSpPr/>
      </xdr:nvSpPr>
      <xdr:spPr>
        <a:xfrm>
          <a:off x="295275" y="2723388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1435</xdr:row>
      <xdr:rowOff>0</xdr:rowOff>
    </xdr:from>
    <xdr:to>
      <xdr:col>2</xdr:col>
      <xdr:colOff>0</xdr:colOff>
      <xdr:row>1436</xdr:row>
      <xdr:rowOff>0</xdr:rowOff>
    </xdr:to>
    <xdr:sp macro="" textlink="">
      <xdr:nvSpPr>
        <xdr:cNvPr id="208" name="Rectangle 207">
          <a:extLst>
            <a:ext uri="{FF2B5EF4-FFF2-40B4-BE49-F238E27FC236}">
              <a16:creationId xmlns:a16="http://schemas.microsoft.com/office/drawing/2014/main" id="{67ADDC0A-9F37-4E88-B45E-32F703FCD530}"/>
            </a:ext>
          </a:extLst>
        </xdr:cNvPr>
        <xdr:cNvSpPr/>
      </xdr:nvSpPr>
      <xdr:spPr>
        <a:xfrm>
          <a:off x="295275" y="2725293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1465</xdr:row>
      <xdr:rowOff>0</xdr:rowOff>
    </xdr:from>
    <xdr:to>
      <xdr:col>2</xdr:col>
      <xdr:colOff>0</xdr:colOff>
      <xdr:row>1466</xdr:row>
      <xdr:rowOff>0</xdr:rowOff>
    </xdr:to>
    <xdr:sp macro="" textlink="">
      <xdr:nvSpPr>
        <xdr:cNvPr id="209" name="Rectangle 208">
          <a:extLst>
            <a:ext uri="{FF2B5EF4-FFF2-40B4-BE49-F238E27FC236}">
              <a16:creationId xmlns:a16="http://schemas.microsoft.com/office/drawing/2014/main" id="{CE5D347B-F5EF-475D-98C5-BA9297885FFF}"/>
            </a:ext>
          </a:extLst>
        </xdr:cNvPr>
        <xdr:cNvSpPr/>
      </xdr:nvSpPr>
      <xdr:spPr>
        <a:xfrm>
          <a:off x="295275" y="278206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1479</xdr:row>
      <xdr:rowOff>0</xdr:rowOff>
    </xdr:from>
    <xdr:to>
      <xdr:col>2</xdr:col>
      <xdr:colOff>0</xdr:colOff>
      <xdr:row>1480</xdr:row>
      <xdr:rowOff>0</xdr:rowOff>
    </xdr:to>
    <xdr:sp macro="" textlink="">
      <xdr:nvSpPr>
        <xdr:cNvPr id="210" name="Rectangle 209">
          <a:extLst>
            <a:ext uri="{FF2B5EF4-FFF2-40B4-BE49-F238E27FC236}">
              <a16:creationId xmlns:a16="http://schemas.microsoft.com/office/drawing/2014/main" id="{E4A91F87-FFA3-4CEB-A5CE-D22AFAF48373}"/>
            </a:ext>
          </a:extLst>
        </xdr:cNvPr>
        <xdr:cNvSpPr/>
      </xdr:nvSpPr>
      <xdr:spPr>
        <a:xfrm>
          <a:off x="295275" y="280873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1481</xdr:row>
      <xdr:rowOff>0</xdr:rowOff>
    </xdr:from>
    <xdr:to>
      <xdr:col>2</xdr:col>
      <xdr:colOff>0</xdr:colOff>
      <xdr:row>1482</xdr:row>
      <xdr:rowOff>0</xdr:rowOff>
    </xdr:to>
    <xdr:sp macro="" textlink="">
      <xdr:nvSpPr>
        <xdr:cNvPr id="211" name="Rectangle 210">
          <a:extLst>
            <a:ext uri="{FF2B5EF4-FFF2-40B4-BE49-F238E27FC236}">
              <a16:creationId xmlns:a16="http://schemas.microsoft.com/office/drawing/2014/main" id="{DCB5F73A-CD5A-467E-93ED-2377BB63FC3E}"/>
            </a:ext>
          </a:extLst>
        </xdr:cNvPr>
        <xdr:cNvSpPr/>
      </xdr:nvSpPr>
      <xdr:spPr>
        <a:xfrm>
          <a:off x="295275" y="281254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1488</xdr:row>
      <xdr:rowOff>0</xdr:rowOff>
    </xdr:from>
    <xdr:to>
      <xdr:col>2</xdr:col>
      <xdr:colOff>0</xdr:colOff>
      <xdr:row>1489</xdr:row>
      <xdr:rowOff>0</xdr:rowOff>
    </xdr:to>
    <xdr:sp macro="" textlink="">
      <xdr:nvSpPr>
        <xdr:cNvPr id="212" name="Rectangle 211">
          <a:extLst>
            <a:ext uri="{FF2B5EF4-FFF2-40B4-BE49-F238E27FC236}">
              <a16:creationId xmlns:a16="http://schemas.microsoft.com/office/drawing/2014/main" id="{EE12C4B8-6F1F-424F-A7F3-2C198535130E}"/>
            </a:ext>
          </a:extLst>
        </xdr:cNvPr>
        <xdr:cNvSpPr/>
      </xdr:nvSpPr>
      <xdr:spPr>
        <a:xfrm>
          <a:off x="295275" y="2825877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1508</xdr:row>
      <xdr:rowOff>0</xdr:rowOff>
    </xdr:from>
    <xdr:to>
      <xdr:col>2</xdr:col>
      <xdr:colOff>0</xdr:colOff>
      <xdr:row>1509</xdr:row>
      <xdr:rowOff>0</xdr:rowOff>
    </xdr:to>
    <xdr:sp macro="" textlink="">
      <xdr:nvSpPr>
        <xdr:cNvPr id="213" name="Rectangle 212">
          <a:extLst>
            <a:ext uri="{FF2B5EF4-FFF2-40B4-BE49-F238E27FC236}">
              <a16:creationId xmlns:a16="http://schemas.microsoft.com/office/drawing/2014/main" id="{DE88531F-1048-4671-AA1B-114C1FC5EBD2}"/>
            </a:ext>
          </a:extLst>
        </xdr:cNvPr>
        <xdr:cNvSpPr/>
      </xdr:nvSpPr>
      <xdr:spPr>
        <a:xfrm>
          <a:off x="295275" y="2863977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1533</xdr:row>
      <xdr:rowOff>0</xdr:rowOff>
    </xdr:from>
    <xdr:to>
      <xdr:col>2</xdr:col>
      <xdr:colOff>0</xdr:colOff>
      <xdr:row>1534</xdr:row>
      <xdr:rowOff>0</xdr:rowOff>
    </xdr:to>
    <xdr:sp macro="" textlink="">
      <xdr:nvSpPr>
        <xdr:cNvPr id="214" name="Rectangle 213">
          <a:extLst>
            <a:ext uri="{FF2B5EF4-FFF2-40B4-BE49-F238E27FC236}">
              <a16:creationId xmlns:a16="http://schemas.microsoft.com/office/drawing/2014/main" id="{8255A944-DF22-4472-9564-2E5BDFA8A17D}"/>
            </a:ext>
          </a:extLst>
        </xdr:cNvPr>
        <xdr:cNvSpPr/>
      </xdr:nvSpPr>
      <xdr:spPr>
        <a:xfrm>
          <a:off x="295275" y="2911125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1543</xdr:row>
      <xdr:rowOff>0</xdr:rowOff>
    </xdr:from>
    <xdr:to>
      <xdr:col>2</xdr:col>
      <xdr:colOff>0</xdr:colOff>
      <xdr:row>1544</xdr:row>
      <xdr:rowOff>0</xdr:rowOff>
    </xdr:to>
    <xdr:sp macro="" textlink="">
      <xdr:nvSpPr>
        <xdr:cNvPr id="215" name="Rectangle 214">
          <a:extLst>
            <a:ext uri="{FF2B5EF4-FFF2-40B4-BE49-F238E27FC236}">
              <a16:creationId xmlns:a16="http://schemas.microsoft.com/office/drawing/2014/main" id="{940F963C-5356-4BCD-9927-A9711F03FBC3}"/>
            </a:ext>
          </a:extLst>
        </xdr:cNvPr>
        <xdr:cNvSpPr/>
      </xdr:nvSpPr>
      <xdr:spPr>
        <a:xfrm>
          <a:off x="295275" y="2930080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1567</xdr:row>
      <xdr:rowOff>0</xdr:rowOff>
    </xdr:from>
    <xdr:to>
      <xdr:col>2</xdr:col>
      <xdr:colOff>0</xdr:colOff>
      <xdr:row>1568</xdr:row>
      <xdr:rowOff>0</xdr:rowOff>
    </xdr:to>
    <xdr:sp macro="" textlink="">
      <xdr:nvSpPr>
        <xdr:cNvPr id="216" name="Rectangle 215">
          <a:extLst>
            <a:ext uri="{FF2B5EF4-FFF2-40B4-BE49-F238E27FC236}">
              <a16:creationId xmlns:a16="http://schemas.microsoft.com/office/drawing/2014/main" id="{86866D04-CB9F-493B-AE9B-208044538CB2}"/>
            </a:ext>
          </a:extLst>
        </xdr:cNvPr>
        <xdr:cNvSpPr/>
      </xdr:nvSpPr>
      <xdr:spPr>
        <a:xfrm>
          <a:off x="295275" y="2975800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1583</xdr:row>
      <xdr:rowOff>0</xdr:rowOff>
    </xdr:from>
    <xdr:to>
      <xdr:col>2</xdr:col>
      <xdr:colOff>0</xdr:colOff>
      <xdr:row>1584</xdr:row>
      <xdr:rowOff>0</xdr:rowOff>
    </xdr:to>
    <xdr:sp macro="" textlink="">
      <xdr:nvSpPr>
        <xdr:cNvPr id="217" name="Rectangle 216">
          <a:extLst>
            <a:ext uri="{FF2B5EF4-FFF2-40B4-BE49-F238E27FC236}">
              <a16:creationId xmlns:a16="http://schemas.microsoft.com/office/drawing/2014/main" id="{AE9F53AA-2AF7-4257-A5A8-F14A3C6BB1B0}"/>
            </a:ext>
          </a:extLst>
        </xdr:cNvPr>
        <xdr:cNvSpPr/>
      </xdr:nvSpPr>
      <xdr:spPr>
        <a:xfrm>
          <a:off x="295275" y="3006185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1588</xdr:row>
      <xdr:rowOff>0</xdr:rowOff>
    </xdr:from>
    <xdr:to>
      <xdr:col>2</xdr:col>
      <xdr:colOff>0</xdr:colOff>
      <xdr:row>1589</xdr:row>
      <xdr:rowOff>0</xdr:rowOff>
    </xdr:to>
    <xdr:sp macro="" textlink="">
      <xdr:nvSpPr>
        <xdr:cNvPr id="218" name="Rectangle 217">
          <a:extLst>
            <a:ext uri="{FF2B5EF4-FFF2-40B4-BE49-F238E27FC236}">
              <a16:creationId xmlns:a16="http://schemas.microsoft.com/office/drawing/2014/main" id="{6508F7B0-9422-4768-BFEC-AAEBB806BB1B}"/>
            </a:ext>
          </a:extLst>
        </xdr:cNvPr>
        <xdr:cNvSpPr/>
      </xdr:nvSpPr>
      <xdr:spPr>
        <a:xfrm>
          <a:off x="295275" y="3015710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1595</xdr:row>
      <xdr:rowOff>0</xdr:rowOff>
    </xdr:from>
    <xdr:to>
      <xdr:col>2</xdr:col>
      <xdr:colOff>0</xdr:colOff>
      <xdr:row>1596</xdr:row>
      <xdr:rowOff>0</xdr:rowOff>
    </xdr:to>
    <xdr:sp macro="" textlink="">
      <xdr:nvSpPr>
        <xdr:cNvPr id="219" name="Rectangle 218">
          <a:extLst>
            <a:ext uri="{FF2B5EF4-FFF2-40B4-BE49-F238E27FC236}">
              <a16:creationId xmlns:a16="http://schemas.microsoft.com/office/drawing/2014/main" id="{FEE93968-C766-4D2F-953F-8732752F96B0}"/>
            </a:ext>
          </a:extLst>
        </xdr:cNvPr>
        <xdr:cNvSpPr/>
      </xdr:nvSpPr>
      <xdr:spPr>
        <a:xfrm>
          <a:off x="295275" y="3029045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1599</xdr:row>
      <xdr:rowOff>0</xdr:rowOff>
    </xdr:from>
    <xdr:to>
      <xdr:col>2</xdr:col>
      <xdr:colOff>0</xdr:colOff>
      <xdr:row>1600</xdr:row>
      <xdr:rowOff>0</xdr:rowOff>
    </xdr:to>
    <xdr:sp macro="" textlink="">
      <xdr:nvSpPr>
        <xdr:cNvPr id="220" name="Rectangle 219">
          <a:extLst>
            <a:ext uri="{FF2B5EF4-FFF2-40B4-BE49-F238E27FC236}">
              <a16:creationId xmlns:a16="http://schemas.microsoft.com/office/drawing/2014/main" id="{826C0B1D-2491-4164-9C00-A18CDB047F19}"/>
            </a:ext>
          </a:extLst>
        </xdr:cNvPr>
        <xdr:cNvSpPr/>
      </xdr:nvSpPr>
      <xdr:spPr>
        <a:xfrm>
          <a:off x="295275" y="3036665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1611</xdr:row>
      <xdr:rowOff>0</xdr:rowOff>
    </xdr:from>
    <xdr:to>
      <xdr:col>2</xdr:col>
      <xdr:colOff>0</xdr:colOff>
      <xdr:row>1612</xdr:row>
      <xdr:rowOff>0</xdr:rowOff>
    </xdr:to>
    <xdr:sp macro="" textlink="">
      <xdr:nvSpPr>
        <xdr:cNvPr id="221" name="Rectangle 220">
          <a:extLst>
            <a:ext uri="{FF2B5EF4-FFF2-40B4-BE49-F238E27FC236}">
              <a16:creationId xmlns:a16="http://schemas.microsoft.com/office/drawing/2014/main" id="{14642978-B1DB-48CC-85CC-2A25B3637587}"/>
            </a:ext>
          </a:extLst>
        </xdr:cNvPr>
        <xdr:cNvSpPr/>
      </xdr:nvSpPr>
      <xdr:spPr>
        <a:xfrm>
          <a:off x="295275" y="305933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1623</xdr:row>
      <xdr:rowOff>0</xdr:rowOff>
    </xdr:from>
    <xdr:to>
      <xdr:col>2</xdr:col>
      <xdr:colOff>0</xdr:colOff>
      <xdr:row>1624</xdr:row>
      <xdr:rowOff>0</xdr:rowOff>
    </xdr:to>
    <xdr:sp macro="" textlink="">
      <xdr:nvSpPr>
        <xdr:cNvPr id="222" name="Rectangle 221">
          <a:extLst>
            <a:ext uri="{FF2B5EF4-FFF2-40B4-BE49-F238E27FC236}">
              <a16:creationId xmlns:a16="http://schemas.microsoft.com/office/drawing/2014/main" id="{03BE023E-B8D0-4F22-BBA7-425C10BA68B0}"/>
            </a:ext>
          </a:extLst>
        </xdr:cNvPr>
        <xdr:cNvSpPr/>
      </xdr:nvSpPr>
      <xdr:spPr>
        <a:xfrm>
          <a:off x="295275" y="308219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1626</xdr:row>
      <xdr:rowOff>0</xdr:rowOff>
    </xdr:from>
    <xdr:to>
      <xdr:col>2</xdr:col>
      <xdr:colOff>0</xdr:colOff>
      <xdr:row>1627</xdr:row>
      <xdr:rowOff>0</xdr:rowOff>
    </xdr:to>
    <xdr:sp macro="" textlink="">
      <xdr:nvSpPr>
        <xdr:cNvPr id="223" name="Rectangle 222">
          <a:extLst>
            <a:ext uri="{FF2B5EF4-FFF2-40B4-BE49-F238E27FC236}">
              <a16:creationId xmlns:a16="http://schemas.microsoft.com/office/drawing/2014/main" id="{3AF3B1FF-FD96-4877-AD99-F1E0F49084E6}"/>
            </a:ext>
          </a:extLst>
        </xdr:cNvPr>
        <xdr:cNvSpPr/>
      </xdr:nvSpPr>
      <xdr:spPr>
        <a:xfrm>
          <a:off x="295275" y="308790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1370</xdr:row>
      <xdr:rowOff>0</xdr:rowOff>
    </xdr:from>
    <xdr:to>
      <xdr:col>2</xdr:col>
      <xdr:colOff>0</xdr:colOff>
      <xdr:row>1371</xdr:row>
      <xdr:rowOff>0</xdr:rowOff>
    </xdr:to>
    <xdr:sp macro="" textlink="">
      <xdr:nvSpPr>
        <xdr:cNvPr id="224" name="Rectangle 223">
          <a:extLst>
            <a:ext uri="{FF2B5EF4-FFF2-40B4-BE49-F238E27FC236}">
              <a16:creationId xmlns:a16="http://schemas.microsoft.com/office/drawing/2014/main" id="{4573CA94-24CF-43C7-BD8A-37C974E89899}"/>
            </a:ext>
          </a:extLst>
        </xdr:cNvPr>
        <xdr:cNvSpPr/>
      </xdr:nvSpPr>
      <xdr:spPr>
        <a:xfrm>
          <a:off x="295275" y="2601753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1320</xdr:row>
      <xdr:rowOff>0</xdr:rowOff>
    </xdr:from>
    <xdr:to>
      <xdr:col>2</xdr:col>
      <xdr:colOff>0</xdr:colOff>
      <xdr:row>1321</xdr:row>
      <xdr:rowOff>0</xdr:rowOff>
    </xdr:to>
    <xdr:sp macro="" textlink="">
      <xdr:nvSpPr>
        <xdr:cNvPr id="225" name="Rectangle 224">
          <a:extLst>
            <a:ext uri="{FF2B5EF4-FFF2-40B4-BE49-F238E27FC236}">
              <a16:creationId xmlns:a16="http://schemas.microsoft.com/office/drawing/2014/main" id="{5F21C3F2-A53A-472E-A6E2-5F4747A08618}"/>
            </a:ext>
          </a:extLst>
        </xdr:cNvPr>
        <xdr:cNvSpPr/>
      </xdr:nvSpPr>
      <xdr:spPr>
        <a:xfrm>
          <a:off x="295275" y="2506694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1321</xdr:row>
      <xdr:rowOff>0</xdr:rowOff>
    </xdr:from>
    <xdr:to>
      <xdr:col>3</xdr:col>
      <xdr:colOff>0</xdr:colOff>
      <xdr:row>1322</xdr:row>
      <xdr:rowOff>0</xdr:rowOff>
    </xdr:to>
    <xdr:sp macro="" textlink="">
      <xdr:nvSpPr>
        <xdr:cNvPr id="226" name="Rectangle 225">
          <a:extLst>
            <a:ext uri="{FF2B5EF4-FFF2-40B4-BE49-F238E27FC236}">
              <a16:creationId xmlns:a16="http://schemas.microsoft.com/office/drawing/2014/main" id="{C2F033EF-6465-4AF7-A426-E443DAA7D3B9}"/>
            </a:ext>
          </a:extLst>
        </xdr:cNvPr>
        <xdr:cNvSpPr/>
      </xdr:nvSpPr>
      <xdr:spPr>
        <a:xfrm>
          <a:off x="1333500" y="25085992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1448</xdr:row>
      <xdr:rowOff>0</xdr:rowOff>
    </xdr:from>
    <xdr:to>
      <xdr:col>2</xdr:col>
      <xdr:colOff>0</xdr:colOff>
      <xdr:row>1449</xdr:row>
      <xdr:rowOff>0</xdr:rowOff>
    </xdr:to>
    <xdr:sp macro="" textlink="">
      <xdr:nvSpPr>
        <xdr:cNvPr id="227" name="Rectangle 226">
          <a:extLst>
            <a:ext uri="{FF2B5EF4-FFF2-40B4-BE49-F238E27FC236}">
              <a16:creationId xmlns:a16="http://schemas.microsoft.com/office/drawing/2014/main" id="{1F7B7513-1452-4C84-80C6-F7B5AFB097E6}"/>
            </a:ext>
          </a:extLst>
        </xdr:cNvPr>
        <xdr:cNvSpPr/>
      </xdr:nvSpPr>
      <xdr:spPr>
        <a:xfrm>
          <a:off x="295275" y="2749962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1449</xdr:row>
      <xdr:rowOff>0</xdr:rowOff>
    </xdr:from>
    <xdr:to>
      <xdr:col>3</xdr:col>
      <xdr:colOff>0</xdr:colOff>
      <xdr:row>1450</xdr:row>
      <xdr:rowOff>0</xdr:rowOff>
    </xdr:to>
    <xdr:sp macro="" textlink="">
      <xdr:nvSpPr>
        <xdr:cNvPr id="228" name="Rectangle 227">
          <a:extLst>
            <a:ext uri="{FF2B5EF4-FFF2-40B4-BE49-F238E27FC236}">
              <a16:creationId xmlns:a16="http://schemas.microsoft.com/office/drawing/2014/main" id="{15501DA9-99D3-461E-BA68-8C770B88B95C}"/>
            </a:ext>
          </a:extLst>
        </xdr:cNvPr>
        <xdr:cNvSpPr/>
      </xdr:nvSpPr>
      <xdr:spPr>
        <a:xfrm>
          <a:off x="1333500" y="27518677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1386</xdr:row>
      <xdr:rowOff>0</xdr:rowOff>
    </xdr:from>
    <xdr:to>
      <xdr:col>2</xdr:col>
      <xdr:colOff>0</xdr:colOff>
      <xdr:row>1387</xdr:row>
      <xdr:rowOff>0</xdr:rowOff>
    </xdr:to>
    <xdr:sp macro="" textlink="">
      <xdr:nvSpPr>
        <xdr:cNvPr id="229" name="Rectangle 228">
          <a:extLst>
            <a:ext uri="{FF2B5EF4-FFF2-40B4-BE49-F238E27FC236}">
              <a16:creationId xmlns:a16="http://schemas.microsoft.com/office/drawing/2014/main" id="{F313C848-5D6D-4780-8453-0902B0523181}"/>
            </a:ext>
          </a:extLst>
        </xdr:cNvPr>
        <xdr:cNvSpPr/>
      </xdr:nvSpPr>
      <xdr:spPr>
        <a:xfrm>
          <a:off x="295275" y="2632138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1387</xdr:row>
      <xdr:rowOff>0</xdr:rowOff>
    </xdr:from>
    <xdr:to>
      <xdr:col>3</xdr:col>
      <xdr:colOff>0</xdr:colOff>
      <xdr:row>1388</xdr:row>
      <xdr:rowOff>0</xdr:rowOff>
    </xdr:to>
    <xdr:sp macro="" textlink="">
      <xdr:nvSpPr>
        <xdr:cNvPr id="230" name="Rectangle 229">
          <a:extLst>
            <a:ext uri="{FF2B5EF4-FFF2-40B4-BE49-F238E27FC236}">
              <a16:creationId xmlns:a16="http://schemas.microsoft.com/office/drawing/2014/main" id="{94A02BB9-8968-4F23-BA2C-9DD6B5C1C2FC}"/>
            </a:ext>
          </a:extLst>
        </xdr:cNvPr>
        <xdr:cNvSpPr/>
      </xdr:nvSpPr>
      <xdr:spPr>
        <a:xfrm>
          <a:off x="1333500" y="2634043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1306</xdr:row>
      <xdr:rowOff>0</xdr:rowOff>
    </xdr:from>
    <xdr:to>
      <xdr:col>2</xdr:col>
      <xdr:colOff>0</xdr:colOff>
      <xdr:row>1307</xdr:row>
      <xdr:rowOff>0</xdr:rowOff>
    </xdr:to>
    <xdr:sp macro="" textlink="">
      <xdr:nvSpPr>
        <xdr:cNvPr id="231" name="Rectangle 230">
          <a:extLst>
            <a:ext uri="{FF2B5EF4-FFF2-40B4-BE49-F238E27FC236}">
              <a16:creationId xmlns:a16="http://schemas.microsoft.com/office/drawing/2014/main" id="{FAC5E6F9-FE4F-4E53-9868-448012AF2451}"/>
            </a:ext>
          </a:extLst>
        </xdr:cNvPr>
        <xdr:cNvSpPr/>
      </xdr:nvSpPr>
      <xdr:spPr>
        <a:xfrm>
          <a:off x="295275" y="2480119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1307</xdr:row>
      <xdr:rowOff>0</xdr:rowOff>
    </xdr:from>
    <xdr:to>
      <xdr:col>3</xdr:col>
      <xdr:colOff>0</xdr:colOff>
      <xdr:row>1308</xdr:row>
      <xdr:rowOff>0</xdr:rowOff>
    </xdr:to>
    <xdr:sp macro="" textlink="">
      <xdr:nvSpPr>
        <xdr:cNvPr id="232" name="Rectangle 231">
          <a:extLst>
            <a:ext uri="{FF2B5EF4-FFF2-40B4-BE49-F238E27FC236}">
              <a16:creationId xmlns:a16="http://schemas.microsoft.com/office/drawing/2014/main" id="{2207A3DF-1B5B-4398-8639-EFBC8AD1E937}"/>
            </a:ext>
          </a:extLst>
        </xdr:cNvPr>
        <xdr:cNvSpPr/>
      </xdr:nvSpPr>
      <xdr:spPr>
        <a:xfrm>
          <a:off x="1333500" y="2482024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1294</xdr:row>
      <xdr:rowOff>0</xdr:rowOff>
    </xdr:from>
    <xdr:to>
      <xdr:col>2</xdr:col>
      <xdr:colOff>0</xdr:colOff>
      <xdr:row>1295</xdr:row>
      <xdr:rowOff>0</xdr:rowOff>
    </xdr:to>
    <xdr:sp macro="" textlink="">
      <xdr:nvSpPr>
        <xdr:cNvPr id="233" name="Rectangle 232">
          <a:extLst>
            <a:ext uri="{FF2B5EF4-FFF2-40B4-BE49-F238E27FC236}">
              <a16:creationId xmlns:a16="http://schemas.microsoft.com/office/drawing/2014/main" id="{0BA64EC1-57B2-4C16-BA97-2E628D6FF2A1}"/>
            </a:ext>
          </a:extLst>
        </xdr:cNvPr>
        <xdr:cNvSpPr/>
      </xdr:nvSpPr>
      <xdr:spPr>
        <a:xfrm>
          <a:off x="295275" y="245735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1295</xdr:row>
      <xdr:rowOff>0</xdr:rowOff>
    </xdr:from>
    <xdr:to>
      <xdr:col>3</xdr:col>
      <xdr:colOff>0</xdr:colOff>
      <xdr:row>1296</xdr:row>
      <xdr:rowOff>0</xdr:rowOff>
    </xdr:to>
    <xdr:sp macro="" textlink="">
      <xdr:nvSpPr>
        <xdr:cNvPr id="234" name="Rectangle 233">
          <a:extLst>
            <a:ext uri="{FF2B5EF4-FFF2-40B4-BE49-F238E27FC236}">
              <a16:creationId xmlns:a16="http://schemas.microsoft.com/office/drawing/2014/main" id="{06146A77-DBF0-4495-8631-90DFAC3BB2A4}"/>
            </a:ext>
          </a:extLst>
        </xdr:cNvPr>
        <xdr:cNvSpPr/>
      </xdr:nvSpPr>
      <xdr:spPr>
        <a:xfrm>
          <a:off x="1333500" y="24592597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1234</xdr:row>
      <xdr:rowOff>0</xdr:rowOff>
    </xdr:from>
    <xdr:to>
      <xdr:col>2</xdr:col>
      <xdr:colOff>0</xdr:colOff>
      <xdr:row>1235</xdr:row>
      <xdr:rowOff>0</xdr:rowOff>
    </xdr:to>
    <xdr:sp macro="" textlink="">
      <xdr:nvSpPr>
        <xdr:cNvPr id="235" name="Rectangle 234">
          <a:extLst>
            <a:ext uri="{FF2B5EF4-FFF2-40B4-BE49-F238E27FC236}">
              <a16:creationId xmlns:a16="http://schemas.microsoft.com/office/drawing/2014/main" id="{4EAE7AC6-0B25-4BF3-8CEE-33311C5704C4}"/>
            </a:ext>
          </a:extLst>
        </xdr:cNvPr>
        <xdr:cNvSpPr/>
      </xdr:nvSpPr>
      <xdr:spPr>
        <a:xfrm>
          <a:off x="295275" y="2343245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1235</xdr:row>
      <xdr:rowOff>0</xdr:rowOff>
    </xdr:from>
    <xdr:to>
      <xdr:col>3</xdr:col>
      <xdr:colOff>0</xdr:colOff>
      <xdr:row>1236</xdr:row>
      <xdr:rowOff>0</xdr:rowOff>
    </xdr:to>
    <xdr:sp macro="" textlink="">
      <xdr:nvSpPr>
        <xdr:cNvPr id="236" name="Rectangle 235">
          <a:extLst>
            <a:ext uri="{FF2B5EF4-FFF2-40B4-BE49-F238E27FC236}">
              <a16:creationId xmlns:a16="http://schemas.microsoft.com/office/drawing/2014/main" id="{1EA34674-B05C-41B7-9723-2C16233CF4C8}"/>
            </a:ext>
          </a:extLst>
        </xdr:cNvPr>
        <xdr:cNvSpPr/>
      </xdr:nvSpPr>
      <xdr:spPr>
        <a:xfrm>
          <a:off x="1333500" y="23451502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1182</xdr:row>
      <xdr:rowOff>0</xdr:rowOff>
    </xdr:from>
    <xdr:to>
      <xdr:col>2</xdr:col>
      <xdr:colOff>0</xdr:colOff>
      <xdr:row>1183</xdr:row>
      <xdr:rowOff>0</xdr:rowOff>
    </xdr:to>
    <xdr:sp macro="" textlink="">
      <xdr:nvSpPr>
        <xdr:cNvPr id="237" name="Rectangle 236">
          <a:extLst>
            <a:ext uri="{FF2B5EF4-FFF2-40B4-BE49-F238E27FC236}">
              <a16:creationId xmlns:a16="http://schemas.microsoft.com/office/drawing/2014/main" id="{08563ED3-081D-4D52-B289-79377AE9B3BC}"/>
            </a:ext>
          </a:extLst>
        </xdr:cNvPr>
        <xdr:cNvSpPr/>
      </xdr:nvSpPr>
      <xdr:spPr>
        <a:xfrm>
          <a:off x="295275" y="2245042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1183</xdr:row>
      <xdr:rowOff>0</xdr:rowOff>
    </xdr:from>
    <xdr:to>
      <xdr:col>3</xdr:col>
      <xdr:colOff>0</xdr:colOff>
      <xdr:row>1184</xdr:row>
      <xdr:rowOff>0</xdr:rowOff>
    </xdr:to>
    <xdr:sp macro="" textlink="">
      <xdr:nvSpPr>
        <xdr:cNvPr id="238" name="Rectangle 237">
          <a:extLst>
            <a:ext uri="{FF2B5EF4-FFF2-40B4-BE49-F238E27FC236}">
              <a16:creationId xmlns:a16="http://schemas.microsoft.com/office/drawing/2014/main" id="{AE8B9DFC-6715-496E-8F0B-2253149D3F06}"/>
            </a:ext>
          </a:extLst>
        </xdr:cNvPr>
        <xdr:cNvSpPr/>
      </xdr:nvSpPr>
      <xdr:spPr>
        <a:xfrm>
          <a:off x="1333500" y="2246947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1155</xdr:row>
      <xdr:rowOff>0</xdr:rowOff>
    </xdr:from>
    <xdr:to>
      <xdr:col>2</xdr:col>
      <xdr:colOff>0</xdr:colOff>
      <xdr:row>1156</xdr:row>
      <xdr:rowOff>0</xdr:rowOff>
    </xdr:to>
    <xdr:sp macro="" textlink="">
      <xdr:nvSpPr>
        <xdr:cNvPr id="239" name="Rectangle 238">
          <a:extLst>
            <a:ext uri="{FF2B5EF4-FFF2-40B4-BE49-F238E27FC236}">
              <a16:creationId xmlns:a16="http://schemas.microsoft.com/office/drawing/2014/main" id="{624EE7E4-B10B-41DC-BDBD-1FBCDD4B83C4}"/>
            </a:ext>
          </a:extLst>
        </xdr:cNvPr>
        <xdr:cNvSpPr/>
      </xdr:nvSpPr>
      <xdr:spPr>
        <a:xfrm>
          <a:off x="295275" y="2193893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1156</xdr:row>
      <xdr:rowOff>0</xdr:rowOff>
    </xdr:from>
    <xdr:to>
      <xdr:col>3</xdr:col>
      <xdr:colOff>0</xdr:colOff>
      <xdr:row>1157</xdr:row>
      <xdr:rowOff>0</xdr:rowOff>
    </xdr:to>
    <xdr:sp macro="" textlink="">
      <xdr:nvSpPr>
        <xdr:cNvPr id="240" name="Rectangle 239">
          <a:extLst>
            <a:ext uri="{FF2B5EF4-FFF2-40B4-BE49-F238E27FC236}">
              <a16:creationId xmlns:a16="http://schemas.microsoft.com/office/drawing/2014/main" id="{84F682C6-0761-4F40-929C-BB61DDD2F0B8}"/>
            </a:ext>
          </a:extLst>
        </xdr:cNvPr>
        <xdr:cNvSpPr/>
      </xdr:nvSpPr>
      <xdr:spPr>
        <a:xfrm>
          <a:off x="1333500" y="21957982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1153</xdr:row>
      <xdr:rowOff>0</xdr:rowOff>
    </xdr:from>
    <xdr:to>
      <xdr:col>2</xdr:col>
      <xdr:colOff>0</xdr:colOff>
      <xdr:row>1154</xdr:row>
      <xdr:rowOff>0</xdr:rowOff>
    </xdr:to>
    <xdr:sp macro="" textlink="">
      <xdr:nvSpPr>
        <xdr:cNvPr id="241" name="Rectangle 240">
          <a:extLst>
            <a:ext uri="{FF2B5EF4-FFF2-40B4-BE49-F238E27FC236}">
              <a16:creationId xmlns:a16="http://schemas.microsoft.com/office/drawing/2014/main" id="{EC727BA8-A915-4CA5-80E3-12C2518177F4}"/>
            </a:ext>
          </a:extLst>
        </xdr:cNvPr>
        <xdr:cNvSpPr/>
      </xdr:nvSpPr>
      <xdr:spPr>
        <a:xfrm>
          <a:off x="295275" y="2190273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1154</xdr:row>
      <xdr:rowOff>0</xdr:rowOff>
    </xdr:from>
    <xdr:to>
      <xdr:col>3</xdr:col>
      <xdr:colOff>0</xdr:colOff>
      <xdr:row>1155</xdr:row>
      <xdr:rowOff>0</xdr:rowOff>
    </xdr:to>
    <xdr:sp macro="" textlink="">
      <xdr:nvSpPr>
        <xdr:cNvPr id="242" name="Rectangle 241">
          <a:extLst>
            <a:ext uri="{FF2B5EF4-FFF2-40B4-BE49-F238E27FC236}">
              <a16:creationId xmlns:a16="http://schemas.microsoft.com/office/drawing/2014/main" id="{7D705851-0714-47BB-AE67-3786CC25259A}"/>
            </a:ext>
          </a:extLst>
        </xdr:cNvPr>
        <xdr:cNvSpPr/>
      </xdr:nvSpPr>
      <xdr:spPr>
        <a:xfrm>
          <a:off x="1333500" y="2192083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1149</xdr:row>
      <xdr:rowOff>0</xdr:rowOff>
    </xdr:from>
    <xdr:to>
      <xdr:col>2</xdr:col>
      <xdr:colOff>0</xdr:colOff>
      <xdr:row>1150</xdr:row>
      <xdr:rowOff>0</xdr:rowOff>
    </xdr:to>
    <xdr:sp macro="" textlink="">
      <xdr:nvSpPr>
        <xdr:cNvPr id="243" name="Rectangle 242">
          <a:extLst>
            <a:ext uri="{FF2B5EF4-FFF2-40B4-BE49-F238E27FC236}">
              <a16:creationId xmlns:a16="http://schemas.microsoft.com/office/drawing/2014/main" id="{79620D82-3A54-4DC8-9416-F10EEDBA354F}"/>
            </a:ext>
          </a:extLst>
        </xdr:cNvPr>
        <xdr:cNvSpPr/>
      </xdr:nvSpPr>
      <xdr:spPr>
        <a:xfrm>
          <a:off x="295275" y="2182653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1150</xdr:row>
      <xdr:rowOff>0</xdr:rowOff>
    </xdr:from>
    <xdr:to>
      <xdr:col>3</xdr:col>
      <xdr:colOff>0</xdr:colOff>
      <xdr:row>1151</xdr:row>
      <xdr:rowOff>0</xdr:rowOff>
    </xdr:to>
    <xdr:sp macro="" textlink="">
      <xdr:nvSpPr>
        <xdr:cNvPr id="244" name="Rectangle 243">
          <a:extLst>
            <a:ext uri="{FF2B5EF4-FFF2-40B4-BE49-F238E27FC236}">
              <a16:creationId xmlns:a16="http://schemas.microsoft.com/office/drawing/2014/main" id="{33E2AB9E-6BCE-4FFC-9A1A-57E760678C23}"/>
            </a:ext>
          </a:extLst>
        </xdr:cNvPr>
        <xdr:cNvSpPr/>
      </xdr:nvSpPr>
      <xdr:spPr>
        <a:xfrm>
          <a:off x="1333500" y="218455875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1145</xdr:row>
      <xdr:rowOff>0</xdr:rowOff>
    </xdr:from>
    <xdr:to>
      <xdr:col>2</xdr:col>
      <xdr:colOff>0</xdr:colOff>
      <xdr:row>1146</xdr:row>
      <xdr:rowOff>0</xdr:rowOff>
    </xdr:to>
    <xdr:sp macro="" textlink="">
      <xdr:nvSpPr>
        <xdr:cNvPr id="245" name="Rectangle 244">
          <a:extLst>
            <a:ext uri="{FF2B5EF4-FFF2-40B4-BE49-F238E27FC236}">
              <a16:creationId xmlns:a16="http://schemas.microsoft.com/office/drawing/2014/main" id="{150D9562-A748-47B1-ACE7-3425FD38BFFC}"/>
            </a:ext>
          </a:extLst>
        </xdr:cNvPr>
        <xdr:cNvSpPr/>
      </xdr:nvSpPr>
      <xdr:spPr>
        <a:xfrm>
          <a:off x="295275" y="21752242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1146</xdr:row>
      <xdr:rowOff>0</xdr:rowOff>
    </xdr:from>
    <xdr:to>
      <xdr:col>3</xdr:col>
      <xdr:colOff>0</xdr:colOff>
      <xdr:row>1147</xdr:row>
      <xdr:rowOff>0</xdr:rowOff>
    </xdr:to>
    <xdr:sp macro="" textlink="">
      <xdr:nvSpPr>
        <xdr:cNvPr id="246" name="Rectangle 245">
          <a:extLst>
            <a:ext uri="{FF2B5EF4-FFF2-40B4-BE49-F238E27FC236}">
              <a16:creationId xmlns:a16="http://schemas.microsoft.com/office/drawing/2014/main" id="{30CBED85-6B4A-450A-90DC-2DE0FEBA5354}"/>
            </a:ext>
          </a:extLst>
        </xdr:cNvPr>
        <xdr:cNvSpPr/>
      </xdr:nvSpPr>
      <xdr:spPr>
        <a:xfrm>
          <a:off x="1333500" y="2177034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1120</xdr:row>
      <xdr:rowOff>0</xdr:rowOff>
    </xdr:from>
    <xdr:to>
      <xdr:col>2</xdr:col>
      <xdr:colOff>0</xdr:colOff>
      <xdr:row>1121</xdr:row>
      <xdr:rowOff>0</xdr:rowOff>
    </xdr:to>
    <xdr:sp macro="" textlink="">
      <xdr:nvSpPr>
        <xdr:cNvPr id="247" name="Rectangle 246">
          <a:extLst>
            <a:ext uri="{FF2B5EF4-FFF2-40B4-BE49-F238E27FC236}">
              <a16:creationId xmlns:a16="http://schemas.microsoft.com/office/drawing/2014/main" id="{AEA0D3FF-C4F1-4689-B973-CE29CD171A2F}"/>
            </a:ext>
          </a:extLst>
        </xdr:cNvPr>
        <xdr:cNvSpPr/>
      </xdr:nvSpPr>
      <xdr:spPr>
        <a:xfrm>
          <a:off x="295275" y="21279802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1121</xdr:row>
      <xdr:rowOff>0</xdr:rowOff>
    </xdr:from>
    <xdr:to>
      <xdr:col>3</xdr:col>
      <xdr:colOff>0</xdr:colOff>
      <xdr:row>1122</xdr:row>
      <xdr:rowOff>0</xdr:rowOff>
    </xdr:to>
    <xdr:sp macro="" textlink="">
      <xdr:nvSpPr>
        <xdr:cNvPr id="248" name="Rectangle 247">
          <a:extLst>
            <a:ext uri="{FF2B5EF4-FFF2-40B4-BE49-F238E27FC236}">
              <a16:creationId xmlns:a16="http://schemas.microsoft.com/office/drawing/2014/main" id="{949F3D22-B2B5-4197-B156-FAB657804098}"/>
            </a:ext>
          </a:extLst>
        </xdr:cNvPr>
        <xdr:cNvSpPr/>
      </xdr:nvSpPr>
      <xdr:spPr>
        <a:xfrm>
          <a:off x="1333500" y="2129790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1109</xdr:row>
      <xdr:rowOff>0</xdr:rowOff>
    </xdr:from>
    <xdr:to>
      <xdr:col>2</xdr:col>
      <xdr:colOff>0</xdr:colOff>
      <xdr:row>1110</xdr:row>
      <xdr:rowOff>0</xdr:rowOff>
    </xdr:to>
    <xdr:sp macro="" textlink="">
      <xdr:nvSpPr>
        <xdr:cNvPr id="249" name="Rectangle 248">
          <a:extLst>
            <a:ext uri="{FF2B5EF4-FFF2-40B4-BE49-F238E27FC236}">
              <a16:creationId xmlns:a16="http://schemas.microsoft.com/office/drawing/2014/main" id="{719457F4-8542-4DF5-85FA-DA73F9FCC142}"/>
            </a:ext>
          </a:extLst>
        </xdr:cNvPr>
        <xdr:cNvSpPr/>
      </xdr:nvSpPr>
      <xdr:spPr>
        <a:xfrm>
          <a:off x="295275" y="2107311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1110</xdr:row>
      <xdr:rowOff>0</xdr:rowOff>
    </xdr:from>
    <xdr:to>
      <xdr:col>3</xdr:col>
      <xdr:colOff>0</xdr:colOff>
      <xdr:row>1111</xdr:row>
      <xdr:rowOff>0</xdr:rowOff>
    </xdr:to>
    <xdr:sp macro="" textlink="">
      <xdr:nvSpPr>
        <xdr:cNvPr id="250" name="Rectangle 249">
          <a:extLst>
            <a:ext uri="{FF2B5EF4-FFF2-40B4-BE49-F238E27FC236}">
              <a16:creationId xmlns:a16="http://schemas.microsoft.com/office/drawing/2014/main" id="{E8D9E9B4-33FA-4D1C-9C98-CCC2B44748EF}"/>
            </a:ext>
          </a:extLst>
        </xdr:cNvPr>
        <xdr:cNvSpPr/>
      </xdr:nvSpPr>
      <xdr:spPr>
        <a:xfrm>
          <a:off x="1333500" y="2109216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1072</xdr:row>
      <xdr:rowOff>0</xdr:rowOff>
    </xdr:from>
    <xdr:to>
      <xdr:col>2</xdr:col>
      <xdr:colOff>0</xdr:colOff>
      <xdr:row>1073</xdr:row>
      <xdr:rowOff>0</xdr:rowOff>
    </xdr:to>
    <xdr:sp macro="" textlink="">
      <xdr:nvSpPr>
        <xdr:cNvPr id="251" name="Rectangle 250">
          <a:extLst>
            <a:ext uri="{FF2B5EF4-FFF2-40B4-BE49-F238E27FC236}">
              <a16:creationId xmlns:a16="http://schemas.microsoft.com/office/drawing/2014/main" id="{74380E0A-30FE-4DB9-9641-FB60C320E8E3}"/>
            </a:ext>
          </a:extLst>
        </xdr:cNvPr>
        <xdr:cNvSpPr/>
      </xdr:nvSpPr>
      <xdr:spPr>
        <a:xfrm>
          <a:off x="295275" y="2037207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1073</xdr:row>
      <xdr:rowOff>0</xdr:rowOff>
    </xdr:from>
    <xdr:to>
      <xdr:col>3</xdr:col>
      <xdr:colOff>0</xdr:colOff>
      <xdr:row>1074</xdr:row>
      <xdr:rowOff>0</xdr:rowOff>
    </xdr:to>
    <xdr:sp macro="" textlink="">
      <xdr:nvSpPr>
        <xdr:cNvPr id="252" name="Rectangle 251">
          <a:extLst>
            <a:ext uri="{FF2B5EF4-FFF2-40B4-BE49-F238E27FC236}">
              <a16:creationId xmlns:a16="http://schemas.microsoft.com/office/drawing/2014/main" id="{69120524-857E-4F1F-97FF-80CAC6D654E1}"/>
            </a:ext>
          </a:extLst>
        </xdr:cNvPr>
        <xdr:cNvSpPr/>
      </xdr:nvSpPr>
      <xdr:spPr>
        <a:xfrm>
          <a:off x="1333500" y="2039112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1041</xdr:row>
      <xdr:rowOff>0</xdr:rowOff>
    </xdr:from>
    <xdr:to>
      <xdr:col>2</xdr:col>
      <xdr:colOff>0</xdr:colOff>
      <xdr:row>1042</xdr:row>
      <xdr:rowOff>0</xdr:rowOff>
    </xdr:to>
    <xdr:sp macro="" textlink="">
      <xdr:nvSpPr>
        <xdr:cNvPr id="253" name="Rectangle 252">
          <a:extLst>
            <a:ext uri="{FF2B5EF4-FFF2-40B4-BE49-F238E27FC236}">
              <a16:creationId xmlns:a16="http://schemas.microsoft.com/office/drawing/2014/main" id="{ED2B2CCD-6619-4486-947C-214F94D863E0}"/>
            </a:ext>
          </a:extLst>
        </xdr:cNvPr>
        <xdr:cNvSpPr/>
      </xdr:nvSpPr>
      <xdr:spPr>
        <a:xfrm>
          <a:off x="295275" y="1978533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1042</xdr:row>
      <xdr:rowOff>0</xdr:rowOff>
    </xdr:from>
    <xdr:to>
      <xdr:col>3</xdr:col>
      <xdr:colOff>0</xdr:colOff>
      <xdr:row>1043</xdr:row>
      <xdr:rowOff>0</xdr:rowOff>
    </xdr:to>
    <xdr:sp macro="" textlink="">
      <xdr:nvSpPr>
        <xdr:cNvPr id="254" name="Rectangle 253">
          <a:extLst>
            <a:ext uri="{FF2B5EF4-FFF2-40B4-BE49-F238E27FC236}">
              <a16:creationId xmlns:a16="http://schemas.microsoft.com/office/drawing/2014/main" id="{06A168B0-97E5-493D-8715-B09C2FFD697E}"/>
            </a:ext>
          </a:extLst>
        </xdr:cNvPr>
        <xdr:cNvSpPr/>
      </xdr:nvSpPr>
      <xdr:spPr>
        <a:xfrm>
          <a:off x="1333500" y="1980438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847</xdr:row>
      <xdr:rowOff>0</xdr:rowOff>
    </xdr:from>
    <xdr:to>
      <xdr:col>2</xdr:col>
      <xdr:colOff>0</xdr:colOff>
      <xdr:row>848</xdr:row>
      <xdr:rowOff>0</xdr:rowOff>
    </xdr:to>
    <xdr:sp macro="" textlink="">
      <xdr:nvSpPr>
        <xdr:cNvPr id="255" name="Rectangle 254">
          <a:extLst>
            <a:ext uri="{FF2B5EF4-FFF2-40B4-BE49-F238E27FC236}">
              <a16:creationId xmlns:a16="http://schemas.microsoft.com/office/drawing/2014/main" id="{3015BC9F-A53D-442B-9019-661704DDEB3B}"/>
            </a:ext>
          </a:extLst>
        </xdr:cNvPr>
        <xdr:cNvSpPr/>
      </xdr:nvSpPr>
      <xdr:spPr>
        <a:xfrm>
          <a:off x="295275" y="1611249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1246</xdr:row>
      <xdr:rowOff>0</xdr:rowOff>
    </xdr:from>
    <xdr:to>
      <xdr:col>2</xdr:col>
      <xdr:colOff>0</xdr:colOff>
      <xdr:row>1247</xdr:row>
      <xdr:rowOff>0</xdr:rowOff>
    </xdr:to>
    <xdr:sp macro="" textlink="">
      <xdr:nvSpPr>
        <xdr:cNvPr id="256" name="Rectangle 255">
          <a:extLst>
            <a:ext uri="{FF2B5EF4-FFF2-40B4-BE49-F238E27FC236}">
              <a16:creationId xmlns:a16="http://schemas.microsoft.com/office/drawing/2014/main" id="{4112C3E4-4A41-444F-B9BE-EE77D3394CAE}"/>
            </a:ext>
          </a:extLst>
        </xdr:cNvPr>
        <xdr:cNvSpPr/>
      </xdr:nvSpPr>
      <xdr:spPr>
        <a:xfrm>
          <a:off x="295275" y="236601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1330</xdr:row>
      <xdr:rowOff>0</xdr:rowOff>
    </xdr:from>
    <xdr:to>
      <xdr:col>2</xdr:col>
      <xdr:colOff>0</xdr:colOff>
      <xdr:row>1331</xdr:row>
      <xdr:rowOff>0</xdr:rowOff>
    </xdr:to>
    <xdr:sp macro="" textlink="">
      <xdr:nvSpPr>
        <xdr:cNvPr id="257" name="Rectangle 256">
          <a:extLst>
            <a:ext uri="{FF2B5EF4-FFF2-40B4-BE49-F238E27FC236}">
              <a16:creationId xmlns:a16="http://schemas.microsoft.com/office/drawing/2014/main" id="{6629CFF7-4A56-42BC-B472-0D9AC561BB54}"/>
            </a:ext>
          </a:extLst>
        </xdr:cNvPr>
        <xdr:cNvSpPr/>
      </xdr:nvSpPr>
      <xdr:spPr>
        <a:xfrm>
          <a:off x="295275" y="2525649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1380</xdr:row>
      <xdr:rowOff>0</xdr:rowOff>
    </xdr:from>
    <xdr:to>
      <xdr:col>2</xdr:col>
      <xdr:colOff>0</xdr:colOff>
      <xdr:row>1381</xdr:row>
      <xdr:rowOff>0</xdr:rowOff>
    </xdr:to>
    <xdr:sp macro="" textlink="">
      <xdr:nvSpPr>
        <xdr:cNvPr id="258" name="Rectangle 257">
          <a:extLst>
            <a:ext uri="{FF2B5EF4-FFF2-40B4-BE49-F238E27FC236}">
              <a16:creationId xmlns:a16="http://schemas.microsoft.com/office/drawing/2014/main" id="{3C336129-47EC-497A-BDC8-09B5913F4BF2}"/>
            </a:ext>
          </a:extLst>
        </xdr:cNvPr>
        <xdr:cNvSpPr/>
      </xdr:nvSpPr>
      <xdr:spPr>
        <a:xfrm>
          <a:off x="295275" y="2620803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1381</xdr:row>
      <xdr:rowOff>0</xdr:rowOff>
    </xdr:from>
    <xdr:to>
      <xdr:col>3</xdr:col>
      <xdr:colOff>0</xdr:colOff>
      <xdr:row>1382</xdr:row>
      <xdr:rowOff>0</xdr:rowOff>
    </xdr:to>
    <xdr:sp macro="" textlink="">
      <xdr:nvSpPr>
        <xdr:cNvPr id="259" name="Rectangle 258">
          <a:extLst>
            <a:ext uri="{FF2B5EF4-FFF2-40B4-BE49-F238E27FC236}">
              <a16:creationId xmlns:a16="http://schemas.microsoft.com/office/drawing/2014/main" id="{B719D5E5-5FD0-424D-81AA-F6BE098E594B}"/>
            </a:ext>
          </a:extLst>
        </xdr:cNvPr>
        <xdr:cNvSpPr/>
      </xdr:nvSpPr>
      <xdr:spPr>
        <a:xfrm>
          <a:off x="1333500" y="26227087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1598</xdr:row>
      <xdr:rowOff>0</xdr:rowOff>
    </xdr:from>
    <xdr:to>
      <xdr:col>2</xdr:col>
      <xdr:colOff>0</xdr:colOff>
      <xdr:row>1599</xdr:row>
      <xdr:rowOff>0</xdr:rowOff>
    </xdr:to>
    <xdr:sp macro="" textlink="">
      <xdr:nvSpPr>
        <xdr:cNvPr id="260" name="Rectangle 259">
          <a:extLst>
            <a:ext uri="{FF2B5EF4-FFF2-40B4-BE49-F238E27FC236}">
              <a16:creationId xmlns:a16="http://schemas.microsoft.com/office/drawing/2014/main" id="{6905652E-F917-4FD5-84FF-7E8E822C8A27}"/>
            </a:ext>
          </a:extLst>
        </xdr:cNvPr>
        <xdr:cNvSpPr/>
      </xdr:nvSpPr>
      <xdr:spPr>
        <a:xfrm>
          <a:off x="295275" y="3034760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1656</xdr:row>
      <xdr:rowOff>0</xdr:rowOff>
    </xdr:from>
    <xdr:to>
      <xdr:col>2</xdr:col>
      <xdr:colOff>0</xdr:colOff>
      <xdr:row>1657</xdr:row>
      <xdr:rowOff>0</xdr:rowOff>
    </xdr:to>
    <xdr:sp macro="" textlink="">
      <xdr:nvSpPr>
        <xdr:cNvPr id="261" name="Rectangle 260">
          <a:extLst>
            <a:ext uri="{FF2B5EF4-FFF2-40B4-BE49-F238E27FC236}">
              <a16:creationId xmlns:a16="http://schemas.microsoft.com/office/drawing/2014/main" id="{CB340B02-8747-4B25-99EB-83F6BB8A815B}"/>
            </a:ext>
          </a:extLst>
        </xdr:cNvPr>
        <xdr:cNvSpPr/>
      </xdr:nvSpPr>
      <xdr:spPr>
        <a:xfrm>
          <a:off x="295275" y="3144964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1666</xdr:row>
      <xdr:rowOff>0</xdr:rowOff>
    </xdr:from>
    <xdr:to>
      <xdr:col>2</xdr:col>
      <xdr:colOff>0</xdr:colOff>
      <xdr:row>1667</xdr:row>
      <xdr:rowOff>0</xdr:rowOff>
    </xdr:to>
    <xdr:sp macro="" textlink="">
      <xdr:nvSpPr>
        <xdr:cNvPr id="262" name="Rectangle 261">
          <a:extLst>
            <a:ext uri="{FF2B5EF4-FFF2-40B4-BE49-F238E27FC236}">
              <a16:creationId xmlns:a16="http://schemas.microsoft.com/office/drawing/2014/main" id="{EA77A041-3712-40CF-B9C8-F2D17794BDCB}"/>
            </a:ext>
          </a:extLst>
        </xdr:cNvPr>
        <xdr:cNvSpPr/>
      </xdr:nvSpPr>
      <xdr:spPr>
        <a:xfrm>
          <a:off x="295275" y="3163919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1672</xdr:row>
      <xdr:rowOff>0</xdr:rowOff>
    </xdr:from>
    <xdr:to>
      <xdr:col>2</xdr:col>
      <xdr:colOff>0</xdr:colOff>
      <xdr:row>1673</xdr:row>
      <xdr:rowOff>0</xdr:rowOff>
    </xdr:to>
    <xdr:sp macro="" textlink="">
      <xdr:nvSpPr>
        <xdr:cNvPr id="263" name="Rectangle 262">
          <a:extLst>
            <a:ext uri="{FF2B5EF4-FFF2-40B4-BE49-F238E27FC236}">
              <a16:creationId xmlns:a16="http://schemas.microsoft.com/office/drawing/2014/main" id="{358C0F5A-A0FD-40DE-AF43-1848106C4C0C}"/>
            </a:ext>
          </a:extLst>
        </xdr:cNvPr>
        <xdr:cNvSpPr/>
      </xdr:nvSpPr>
      <xdr:spPr>
        <a:xfrm>
          <a:off x="295275" y="3175349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1652</xdr:row>
      <xdr:rowOff>0</xdr:rowOff>
    </xdr:from>
    <xdr:to>
      <xdr:col>2</xdr:col>
      <xdr:colOff>0</xdr:colOff>
      <xdr:row>1653</xdr:row>
      <xdr:rowOff>0</xdr:rowOff>
    </xdr:to>
    <xdr:sp macro="" textlink="">
      <xdr:nvSpPr>
        <xdr:cNvPr id="264" name="Rectangle 263">
          <a:extLst>
            <a:ext uri="{FF2B5EF4-FFF2-40B4-BE49-F238E27FC236}">
              <a16:creationId xmlns:a16="http://schemas.microsoft.com/office/drawing/2014/main" id="{CB15C4B9-1A5F-432E-B969-8AAA0541B81C}"/>
            </a:ext>
          </a:extLst>
        </xdr:cNvPr>
        <xdr:cNvSpPr/>
      </xdr:nvSpPr>
      <xdr:spPr>
        <a:xfrm>
          <a:off x="295275" y="3137344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1660</xdr:row>
      <xdr:rowOff>0</xdr:rowOff>
    </xdr:from>
    <xdr:to>
      <xdr:col>2</xdr:col>
      <xdr:colOff>0</xdr:colOff>
      <xdr:row>1661</xdr:row>
      <xdr:rowOff>0</xdr:rowOff>
    </xdr:to>
    <xdr:sp macro="" textlink="">
      <xdr:nvSpPr>
        <xdr:cNvPr id="265" name="Rectangle 264">
          <a:extLst>
            <a:ext uri="{FF2B5EF4-FFF2-40B4-BE49-F238E27FC236}">
              <a16:creationId xmlns:a16="http://schemas.microsoft.com/office/drawing/2014/main" id="{B66291BA-37BC-4259-9F25-FB18B7E01564}"/>
            </a:ext>
          </a:extLst>
        </xdr:cNvPr>
        <xdr:cNvSpPr/>
      </xdr:nvSpPr>
      <xdr:spPr>
        <a:xfrm>
          <a:off x="295275" y="3152584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941</xdr:row>
      <xdr:rowOff>0</xdr:rowOff>
    </xdr:from>
    <xdr:to>
      <xdr:col>2</xdr:col>
      <xdr:colOff>0</xdr:colOff>
      <xdr:row>942</xdr:row>
      <xdr:rowOff>0</xdr:rowOff>
    </xdr:to>
    <xdr:sp macro="" textlink="">
      <xdr:nvSpPr>
        <xdr:cNvPr id="266" name="Rectangle 265">
          <a:extLst>
            <a:ext uri="{FF2B5EF4-FFF2-40B4-BE49-F238E27FC236}">
              <a16:creationId xmlns:a16="http://schemas.microsoft.com/office/drawing/2014/main" id="{78DBAB7C-50E6-47DA-A319-2025D6228D91}"/>
            </a:ext>
          </a:extLst>
        </xdr:cNvPr>
        <xdr:cNvSpPr/>
      </xdr:nvSpPr>
      <xdr:spPr>
        <a:xfrm>
          <a:off x="295275" y="178879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1241</xdr:row>
      <xdr:rowOff>0</xdr:rowOff>
    </xdr:from>
    <xdr:to>
      <xdr:col>2</xdr:col>
      <xdr:colOff>0</xdr:colOff>
      <xdr:row>1242</xdr:row>
      <xdr:rowOff>0</xdr:rowOff>
    </xdr:to>
    <xdr:sp macro="" textlink="">
      <xdr:nvSpPr>
        <xdr:cNvPr id="267" name="Rectangle 266">
          <a:extLst>
            <a:ext uri="{FF2B5EF4-FFF2-40B4-BE49-F238E27FC236}">
              <a16:creationId xmlns:a16="http://schemas.microsoft.com/office/drawing/2014/main" id="{7D72CC76-9199-4ADE-B8DD-0ED159F181AF}"/>
            </a:ext>
          </a:extLst>
        </xdr:cNvPr>
        <xdr:cNvSpPr/>
      </xdr:nvSpPr>
      <xdr:spPr>
        <a:xfrm>
          <a:off x="295275" y="235648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480</xdr:row>
      <xdr:rowOff>0</xdr:rowOff>
    </xdr:from>
    <xdr:to>
      <xdr:col>3</xdr:col>
      <xdr:colOff>0</xdr:colOff>
      <xdr:row>481</xdr:row>
      <xdr:rowOff>0</xdr:rowOff>
    </xdr:to>
    <xdr:sp macro="" textlink="">
      <xdr:nvSpPr>
        <xdr:cNvPr id="268" name="Rectangle 267">
          <a:extLst>
            <a:ext uri="{FF2B5EF4-FFF2-40B4-BE49-F238E27FC236}">
              <a16:creationId xmlns:a16="http://schemas.microsoft.com/office/drawing/2014/main" id="{A862C3C2-5901-44D7-96F9-75F36B1290E0}"/>
            </a:ext>
          </a:extLst>
        </xdr:cNvPr>
        <xdr:cNvSpPr/>
      </xdr:nvSpPr>
      <xdr:spPr>
        <a:xfrm>
          <a:off x="1333500" y="91440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453</xdr:row>
      <xdr:rowOff>0</xdr:rowOff>
    </xdr:from>
    <xdr:to>
      <xdr:col>3</xdr:col>
      <xdr:colOff>0</xdr:colOff>
      <xdr:row>454</xdr:row>
      <xdr:rowOff>0</xdr:rowOff>
    </xdr:to>
    <xdr:sp macro="" textlink="">
      <xdr:nvSpPr>
        <xdr:cNvPr id="269" name="Rectangle 268">
          <a:extLst>
            <a:ext uri="{FF2B5EF4-FFF2-40B4-BE49-F238E27FC236}">
              <a16:creationId xmlns:a16="http://schemas.microsoft.com/office/drawing/2014/main" id="{1D28F6CA-8615-4B43-A87B-084928B0E41E}"/>
            </a:ext>
          </a:extLst>
        </xdr:cNvPr>
        <xdr:cNvSpPr/>
      </xdr:nvSpPr>
      <xdr:spPr>
        <a:xfrm>
          <a:off x="1333500" y="86296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439</xdr:row>
      <xdr:rowOff>0</xdr:rowOff>
    </xdr:from>
    <xdr:to>
      <xdr:col>3</xdr:col>
      <xdr:colOff>0</xdr:colOff>
      <xdr:row>440</xdr:row>
      <xdr:rowOff>0</xdr:rowOff>
    </xdr:to>
    <xdr:sp macro="" textlink="">
      <xdr:nvSpPr>
        <xdr:cNvPr id="270" name="Rectangle 269">
          <a:extLst>
            <a:ext uri="{FF2B5EF4-FFF2-40B4-BE49-F238E27FC236}">
              <a16:creationId xmlns:a16="http://schemas.microsoft.com/office/drawing/2014/main" id="{2ECD0351-83CA-4FC9-BB8E-1D6F2F2A8FEB}"/>
            </a:ext>
          </a:extLst>
        </xdr:cNvPr>
        <xdr:cNvSpPr/>
      </xdr:nvSpPr>
      <xdr:spPr>
        <a:xfrm>
          <a:off x="1333500" y="83629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619</xdr:row>
      <xdr:rowOff>0</xdr:rowOff>
    </xdr:from>
    <xdr:to>
      <xdr:col>3</xdr:col>
      <xdr:colOff>0</xdr:colOff>
      <xdr:row>620</xdr:row>
      <xdr:rowOff>0</xdr:rowOff>
    </xdr:to>
    <xdr:sp macro="" textlink="">
      <xdr:nvSpPr>
        <xdr:cNvPr id="271" name="Rectangle 270">
          <a:extLst>
            <a:ext uri="{FF2B5EF4-FFF2-40B4-BE49-F238E27FC236}">
              <a16:creationId xmlns:a16="http://schemas.microsoft.com/office/drawing/2014/main" id="{E7043C00-F55A-4FCF-92DF-039B4109257B}"/>
            </a:ext>
          </a:extLst>
        </xdr:cNvPr>
        <xdr:cNvSpPr/>
      </xdr:nvSpPr>
      <xdr:spPr>
        <a:xfrm>
          <a:off x="1333500" y="117919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391</xdr:row>
      <xdr:rowOff>0</xdr:rowOff>
    </xdr:from>
    <xdr:to>
      <xdr:col>3</xdr:col>
      <xdr:colOff>0</xdr:colOff>
      <xdr:row>392</xdr:row>
      <xdr:rowOff>0</xdr:rowOff>
    </xdr:to>
    <xdr:sp macro="" textlink="">
      <xdr:nvSpPr>
        <xdr:cNvPr id="272" name="Rectangle 271">
          <a:extLst>
            <a:ext uri="{FF2B5EF4-FFF2-40B4-BE49-F238E27FC236}">
              <a16:creationId xmlns:a16="http://schemas.microsoft.com/office/drawing/2014/main" id="{77E9CC3A-3926-451D-BC82-ADADA471FCF0}"/>
            </a:ext>
          </a:extLst>
        </xdr:cNvPr>
        <xdr:cNvSpPr/>
      </xdr:nvSpPr>
      <xdr:spPr>
        <a:xfrm>
          <a:off x="1333500" y="74485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274</xdr:row>
      <xdr:rowOff>0</xdr:rowOff>
    </xdr:from>
    <xdr:to>
      <xdr:col>3</xdr:col>
      <xdr:colOff>0</xdr:colOff>
      <xdr:row>275</xdr:row>
      <xdr:rowOff>0</xdr:rowOff>
    </xdr:to>
    <xdr:sp macro="" textlink="">
      <xdr:nvSpPr>
        <xdr:cNvPr id="273" name="Rectangle 272">
          <a:extLst>
            <a:ext uri="{FF2B5EF4-FFF2-40B4-BE49-F238E27FC236}">
              <a16:creationId xmlns:a16="http://schemas.microsoft.com/office/drawing/2014/main" id="{CA2265DB-DB3A-4759-9789-AD4C11092D00}"/>
            </a:ext>
          </a:extLst>
        </xdr:cNvPr>
        <xdr:cNvSpPr/>
      </xdr:nvSpPr>
      <xdr:spPr>
        <a:xfrm>
          <a:off x="1333500" y="52197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282</xdr:row>
      <xdr:rowOff>0</xdr:rowOff>
    </xdr:from>
    <xdr:to>
      <xdr:col>3</xdr:col>
      <xdr:colOff>0</xdr:colOff>
      <xdr:row>283</xdr:row>
      <xdr:rowOff>0</xdr:rowOff>
    </xdr:to>
    <xdr:sp macro="" textlink="">
      <xdr:nvSpPr>
        <xdr:cNvPr id="274" name="Rectangle 273">
          <a:extLst>
            <a:ext uri="{FF2B5EF4-FFF2-40B4-BE49-F238E27FC236}">
              <a16:creationId xmlns:a16="http://schemas.microsoft.com/office/drawing/2014/main" id="{33073600-3504-46D3-9508-7827F52A0F9E}"/>
            </a:ext>
          </a:extLst>
        </xdr:cNvPr>
        <xdr:cNvSpPr/>
      </xdr:nvSpPr>
      <xdr:spPr>
        <a:xfrm>
          <a:off x="1333500" y="53721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291</xdr:row>
      <xdr:rowOff>0</xdr:rowOff>
    </xdr:from>
    <xdr:to>
      <xdr:col>3</xdr:col>
      <xdr:colOff>0</xdr:colOff>
      <xdr:row>292</xdr:row>
      <xdr:rowOff>0</xdr:rowOff>
    </xdr:to>
    <xdr:sp macro="" textlink="">
      <xdr:nvSpPr>
        <xdr:cNvPr id="275" name="Rectangle 274">
          <a:extLst>
            <a:ext uri="{FF2B5EF4-FFF2-40B4-BE49-F238E27FC236}">
              <a16:creationId xmlns:a16="http://schemas.microsoft.com/office/drawing/2014/main" id="{E6C88748-5FB1-46DA-8B6A-AD89591F8784}"/>
            </a:ext>
          </a:extLst>
        </xdr:cNvPr>
        <xdr:cNvSpPr/>
      </xdr:nvSpPr>
      <xdr:spPr>
        <a:xfrm>
          <a:off x="1333500" y="55435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306</xdr:row>
      <xdr:rowOff>0</xdr:rowOff>
    </xdr:from>
    <xdr:to>
      <xdr:col>3</xdr:col>
      <xdr:colOff>0</xdr:colOff>
      <xdr:row>307</xdr:row>
      <xdr:rowOff>0</xdr:rowOff>
    </xdr:to>
    <xdr:sp macro="" textlink="">
      <xdr:nvSpPr>
        <xdr:cNvPr id="276" name="Rectangle 275">
          <a:extLst>
            <a:ext uri="{FF2B5EF4-FFF2-40B4-BE49-F238E27FC236}">
              <a16:creationId xmlns:a16="http://schemas.microsoft.com/office/drawing/2014/main" id="{79F18FF0-3D9D-4C1E-81BC-EC39E47105BD}"/>
            </a:ext>
          </a:extLst>
        </xdr:cNvPr>
        <xdr:cNvSpPr/>
      </xdr:nvSpPr>
      <xdr:spPr>
        <a:xfrm>
          <a:off x="1333500" y="58293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325</xdr:row>
      <xdr:rowOff>0</xdr:rowOff>
    </xdr:from>
    <xdr:to>
      <xdr:col>3</xdr:col>
      <xdr:colOff>0</xdr:colOff>
      <xdr:row>326</xdr:row>
      <xdr:rowOff>0</xdr:rowOff>
    </xdr:to>
    <xdr:sp macro="" textlink="">
      <xdr:nvSpPr>
        <xdr:cNvPr id="277" name="Rectangle 276">
          <a:extLst>
            <a:ext uri="{FF2B5EF4-FFF2-40B4-BE49-F238E27FC236}">
              <a16:creationId xmlns:a16="http://schemas.microsoft.com/office/drawing/2014/main" id="{7351E290-568F-476C-BE9E-9D26856FCF42}"/>
            </a:ext>
          </a:extLst>
        </xdr:cNvPr>
        <xdr:cNvSpPr/>
      </xdr:nvSpPr>
      <xdr:spPr>
        <a:xfrm>
          <a:off x="1333500" y="61912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337</xdr:row>
      <xdr:rowOff>0</xdr:rowOff>
    </xdr:from>
    <xdr:to>
      <xdr:col>3</xdr:col>
      <xdr:colOff>0</xdr:colOff>
      <xdr:row>338</xdr:row>
      <xdr:rowOff>0</xdr:rowOff>
    </xdr:to>
    <xdr:sp macro="" textlink="">
      <xdr:nvSpPr>
        <xdr:cNvPr id="278" name="Rectangle 277">
          <a:extLst>
            <a:ext uri="{FF2B5EF4-FFF2-40B4-BE49-F238E27FC236}">
              <a16:creationId xmlns:a16="http://schemas.microsoft.com/office/drawing/2014/main" id="{7106A897-23C8-4DC0-B9B7-D933E6236669}"/>
            </a:ext>
          </a:extLst>
        </xdr:cNvPr>
        <xdr:cNvSpPr/>
      </xdr:nvSpPr>
      <xdr:spPr>
        <a:xfrm>
          <a:off x="1333500" y="64198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415</xdr:row>
      <xdr:rowOff>0</xdr:rowOff>
    </xdr:from>
    <xdr:to>
      <xdr:col>3</xdr:col>
      <xdr:colOff>0</xdr:colOff>
      <xdr:row>416</xdr:row>
      <xdr:rowOff>0</xdr:rowOff>
    </xdr:to>
    <xdr:sp macro="" textlink="">
      <xdr:nvSpPr>
        <xdr:cNvPr id="279" name="Rectangle 278">
          <a:extLst>
            <a:ext uri="{FF2B5EF4-FFF2-40B4-BE49-F238E27FC236}">
              <a16:creationId xmlns:a16="http://schemas.microsoft.com/office/drawing/2014/main" id="{D18BDC19-DAC4-4AD5-80D5-A49285FE795E}"/>
            </a:ext>
          </a:extLst>
        </xdr:cNvPr>
        <xdr:cNvSpPr/>
      </xdr:nvSpPr>
      <xdr:spPr>
        <a:xfrm>
          <a:off x="1333500" y="79057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422</xdr:row>
      <xdr:rowOff>0</xdr:rowOff>
    </xdr:from>
    <xdr:to>
      <xdr:col>3</xdr:col>
      <xdr:colOff>0</xdr:colOff>
      <xdr:row>423</xdr:row>
      <xdr:rowOff>0</xdr:rowOff>
    </xdr:to>
    <xdr:sp macro="" textlink="">
      <xdr:nvSpPr>
        <xdr:cNvPr id="280" name="Rectangle 279">
          <a:extLst>
            <a:ext uri="{FF2B5EF4-FFF2-40B4-BE49-F238E27FC236}">
              <a16:creationId xmlns:a16="http://schemas.microsoft.com/office/drawing/2014/main" id="{7265FA40-4D79-48F9-AE0C-BA3AF84C8C42}"/>
            </a:ext>
          </a:extLst>
        </xdr:cNvPr>
        <xdr:cNvSpPr/>
      </xdr:nvSpPr>
      <xdr:spPr>
        <a:xfrm>
          <a:off x="1333500" y="80391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472</xdr:row>
      <xdr:rowOff>0</xdr:rowOff>
    </xdr:from>
    <xdr:to>
      <xdr:col>3</xdr:col>
      <xdr:colOff>0</xdr:colOff>
      <xdr:row>473</xdr:row>
      <xdr:rowOff>0</xdr:rowOff>
    </xdr:to>
    <xdr:sp macro="" textlink="">
      <xdr:nvSpPr>
        <xdr:cNvPr id="281" name="Rectangle 280">
          <a:extLst>
            <a:ext uri="{FF2B5EF4-FFF2-40B4-BE49-F238E27FC236}">
              <a16:creationId xmlns:a16="http://schemas.microsoft.com/office/drawing/2014/main" id="{ECA973F1-3BFB-4A16-A469-2E34BF4F5403}"/>
            </a:ext>
          </a:extLst>
        </xdr:cNvPr>
        <xdr:cNvSpPr/>
      </xdr:nvSpPr>
      <xdr:spPr>
        <a:xfrm>
          <a:off x="1333500" y="89916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496</xdr:row>
      <xdr:rowOff>0</xdr:rowOff>
    </xdr:from>
    <xdr:to>
      <xdr:col>3</xdr:col>
      <xdr:colOff>0</xdr:colOff>
      <xdr:row>497</xdr:row>
      <xdr:rowOff>0</xdr:rowOff>
    </xdr:to>
    <xdr:sp macro="" textlink="">
      <xdr:nvSpPr>
        <xdr:cNvPr id="282" name="Rectangle 281">
          <a:extLst>
            <a:ext uri="{FF2B5EF4-FFF2-40B4-BE49-F238E27FC236}">
              <a16:creationId xmlns:a16="http://schemas.microsoft.com/office/drawing/2014/main" id="{E864563D-B5D7-4CEC-9B73-940D30671FBC}"/>
            </a:ext>
          </a:extLst>
        </xdr:cNvPr>
        <xdr:cNvSpPr/>
      </xdr:nvSpPr>
      <xdr:spPr>
        <a:xfrm>
          <a:off x="1333500" y="94488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287</xdr:row>
      <xdr:rowOff>0</xdr:rowOff>
    </xdr:from>
    <xdr:to>
      <xdr:col>3</xdr:col>
      <xdr:colOff>0</xdr:colOff>
      <xdr:row>288</xdr:row>
      <xdr:rowOff>0</xdr:rowOff>
    </xdr:to>
    <xdr:sp macro="" textlink="">
      <xdr:nvSpPr>
        <xdr:cNvPr id="283" name="Rectangle 282">
          <a:extLst>
            <a:ext uri="{FF2B5EF4-FFF2-40B4-BE49-F238E27FC236}">
              <a16:creationId xmlns:a16="http://schemas.microsoft.com/office/drawing/2014/main" id="{460608AB-9542-4647-ABE0-EEA1AFA95E7F}"/>
            </a:ext>
          </a:extLst>
        </xdr:cNvPr>
        <xdr:cNvSpPr/>
      </xdr:nvSpPr>
      <xdr:spPr>
        <a:xfrm>
          <a:off x="1333500" y="54673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367</xdr:row>
      <xdr:rowOff>0</xdr:rowOff>
    </xdr:from>
    <xdr:to>
      <xdr:col>2</xdr:col>
      <xdr:colOff>0</xdr:colOff>
      <xdr:row>368</xdr:row>
      <xdr:rowOff>0</xdr:rowOff>
    </xdr:to>
    <xdr:sp macro="" textlink="">
      <xdr:nvSpPr>
        <xdr:cNvPr id="284" name="Rectangle 283">
          <a:extLst>
            <a:ext uri="{FF2B5EF4-FFF2-40B4-BE49-F238E27FC236}">
              <a16:creationId xmlns:a16="http://schemas.microsoft.com/office/drawing/2014/main" id="{8CF61813-9200-46AA-8C8E-25D7EC36314E}"/>
            </a:ext>
          </a:extLst>
        </xdr:cNvPr>
        <xdr:cNvSpPr/>
      </xdr:nvSpPr>
      <xdr:spPr>
        <a:xfrm>
          <a:off x="295275" y="69913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368</xdr:row>
      <xdr:rowOff>0</xdr:rowOff>
    </xdr:from>
    <xdr:to>
      <xdr:col>3</xdr:col>
      <xdr:colOff>0</xdr:colOff>
      <xdr:row>369</xdr:row>
      <xdr:rowOff>0</xdr:rowOff>
    </xdr:to>
    <xdr:sp macro="" textlink="">
      <xdr:nvSpPr>
        <xdr:cNvPr id="285" name="Rectangle 284">
          <a:extLst>
            <a:ext uri="{FF2B5EF4-FFF2-40B4-BE49-F238E27FC236}">
              <a16:creationId xmlns:a16="http://schemas.microsoft.com/office/drawing/2014/main" id="{72CDEB52-431D-443C-90A6-A7A63B43F988}"/>
            </a:ext>
          </a:extLst>
        </xdr:cNvPr>
        <xdr:cNvSpPr/>
      </xdr:nvSpPr>
      <xdr:spPr>
        <a:xfrm>
          <a:off x="1333500" y="70104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266</xdr:row>
      <xdr:rowOff>0</xdr:rowOff>
    </xdr:from>
    <xdr:to>
      <xdr:col>2</xdr:col>
      <xdr:colOff>0</xdr:colOff>
      <xdr:row>267</xdr:row>
      <xdr:rowOff>0</xdr:rowOff>
    </xdr:to>
    <xdr:sp macro="" textlink="">
      <xdr:nvSpPr>
        <xdr:cNvPr id="286" name="Rectangle 285">
          <a:extLst>
            <a:ext uri="{FF2B5EF4-FFF2-40B4-BE49-F238E27FC236}">
              <a16:creationId xmlns:a16="http://schemas.microsoft.com/office/drawing/2014/main" id="{69F7F7E7-0DA6-484C-A13D-2319668869CB}"/>
            </a:ext>
          </a:extLst>
        </xdr:cNvPr>
        <xdr:cNvSpPr/>
      </xdr:nvSpPr>
      <xdr:spPr>
        <a:xfrm>
          <a:off x="295275" y="50673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267</xdr:row>
      <xdr:rowOff>0</xdr:rowOff>
    </xdr:from>
    <xdr:to>
      <xdr:col>3</xdr:col>
      <xdr:colOff>0</xdr:colOff>
      <xdr:row>268</xdr:row>
      <xdr:rowOff>0</xdr:rowOff>
    </xdr:to>
    <xdr:sp macro="" textlink="">
      <xdr:nvSpPr>
        <xdr:cNvPr id="287" name="Rectangle 286">
          <a:extLst>
            <a:ext uri="{FF2B5EF4-FFF2-40B4-BE49-F238E27FC236}">
              <a16:creationId xmlns:a16="http://schemas.microsoft.com/office/drawing/2014/main" id="{9E907C5E-32C0-41DF-98BE-7EA87C5679D5}"/>
            </a:ext>
          </a:extLst>
        </xdr:cNvPr>
        <xdr:cNvSpPr/>
      </xdr:nvSpPr>
      <xdr:spPr>
        <a:xfrm>
          <a:off x="1333500" y="50863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382</xdr:row>
      <xdr:rowOff>0</xdr:rowOff>
    </xdr:from>
    <xdr:to>
      <xdr:col>2</xdr:col>
      <xdr:colOff>0</xdr:colOff>
      <xdr:row>383</xdr:row>
      <xdr:rowOff>0</xdr:rowOff>
    </xdr:to>
    <xdr:sp macro="" textlink="">
      <xdr:nvSpPr>
        <xdr:cNvPr id="288" name="Rectangle 287">
          <a:extLst>
            <a:ext uri="{FF2B5EF4-FFF2-40B4-BE49-F238E27FC236}">
              <a16:creationId xmlns:a16="http://schemas.microsoft.com/office/drawing/2014/main" id="{32F2BDD8-C5BF-4A36-B1D8-32EB477EDA5A}"/>
            </a:ext>
          </a:extLst>
        </xdr:cNvPr>
        <xdr:cNvSpPr/>
      </xdr:nvSpPr>
      <xdr:spPr>
        <a:xfrm>
          <a:off x="295275" y="72771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383</xdr:row>
      <xdr:rowOff>0</xdr:rowOff>
    </xdr:from>
    <xdr:to>
      <xdr:col>2</xdr:col>
      <xdr:colOff>0</xdr:colOff>
      <xdr:row>384</xdr:row>
      <xdr:rowOff>0</xdr:rowOff>
    </xdr:to>
    <xdr:sp macro="" textlink="">
      <xdr:nvSpPr>
        <xdr:cNvPr id="289" name="Rectangle 288">
          <a:extLst>
            <a:ext uri="{FF2B5EF4-FFF2-40B4-BE49-F238E27FC236}">
              <a16:creationId xmlns:a16="http://schemas.microsoft.com/office/drawing/2014/main" id="{6970844C-9798-42FB-9DC5-A2B291200406}"/>
            </a:ext>
          </a:extLst>
        </xdr:cNvPr>
        <xdr:cNvSpPr/>
      </xdr:nvSpPr>
      <xdr:spPr>
        <a:xfrm>
          <a:off x="295275" y="72961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195</xdr:row>
      <xdr:rowOff>0</xdr:rowOff>
    </xdr:from>
    <xdr:to>
      <xdr:col>3</xdr:col>
      <xdr:colOff>0</xdr:colOff>
      <xdr:row>196</xdr:row>
      <xdr:rowOff>0</xdr:rowOff>
    </xdr:to>
    <xdr:sp macro="" textlink="">
      <xdr:nvSpPr>
        <xdr:cNvPr id="290" name="Rectangle 289">
          <a:extLst>
            <a:ext uri="{FF2B5EF4-FFF2-40B4-BE49-F238E27FC236}">
              <a16:creationId xmlns:a16="http://schemas.microsoft.com/office/drawing/2014/main" id="{61B4F41C-441D-4737-9540-E50284306EDA}"/>
            </a:ext>
          </a:extLst>
        </xdr:cNvPr>
        <xdr:cNvSpPr/>
      </xdr:nvSpPr>
      <xdr:spPr>
        <a:xfrm>
          <a:off x="1333500" y="37147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194</xdr:row>
      <xdr:rowOff>0</xdr:rowOff>
    </xdr:from>
    <xdr:to>
      <xdr:col>3</xdr:col>
      <xdr:colOff>0</xdr:colOff>
      <xdr:row>195</xdr:row>
      <xdr:rowOff>0</xdr:rowOff>
    </xdr:to>
    <xdr:sp macro="" textlink="">
      <xdr:nvSpPr>
        <xdr:cNvPr id="291" name="Rectangle 290">
          <a:extLst>
            <a:ext uri="{FF2B5EF4-FFF2-40B4-BE49-F238E27FC236}">
              <a16:creationId xmlns:a16="http://schemas.microsoft.com/office/drawing/2014/main" id="{CC4070CD-637F-4367-BDD6-0DA103A837F4}"/>
            </a:ext>
          </a:extLst>
        </xdr:cNvPr>
        <xdr:cNvSpPr/>
      </xdr:nvSpPr>
      <xdr:spPr>
        <a:xfrm>
          <a:off x="1333500" y="36957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2</xdr:col>
      <xdr:colOff>0</xdr:colOff>
      <xdr:row>190</xdr:row>
      <xdr:rowOff>0</xdr:rowOff>
    </xdr:to>
    <xdr:sp macro="" textlink="">
      <xdr:nvSpPr>
        <xdr:cNvPr id="292" name="Rectangle 291">
          <a:extLst>
            <a:ext uri="{FF2B5EF4-FFF2-40B4-BE49-F238E27FC236}">
              <a16:creationId xmlns:a16="http://schemas.microsoft.com/office/drawing/2014/main" id="{2DFC0015-51C9-4AF2-A414-76C6E2260E91}"/>
            </a:ext>
          </a:extLst>
        </xdr:cNvPr>
        <xdr:cNvSpPr/>
      </xdr:nvSpPr>
      <xdr:spPr>
        <a:xfrm>
          <a:off x="295275" y="36004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2</xdr:col>
      <xdr:colOff>0</xdr:colOff>
      <xdr:row>41</xdr:row>
      <xdr:rowOff>0</xdr:rowOff>
    </xdr:to>
    <xdr:sp macro="" textlink="">
      <xdr:nvSpPr>
        <xdr:cNvPr id="293" name="Rectangle 292">
          <a:extLst>
            <a:ext uri="{FF2B5EF4-FFF2-40B4-BE49-F238E27FC236}">
              <a16:creationId xmlns:a16="http://schemas.microsoft.com/office/drawing/2014/main" id="{08C39B77-5C0B-4D5C-B69F-F2DDE5CBADF6}"/>
            </a:ext>
          </a:extLst>
        </xdr:cNvPr>
        <xdr:cNvSpPr/>
      </xdr:nvSpPr>
      <xdr:spPr>
        <a:xfrm>
          <a:off x="295275" y="7620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232</xdr:row>
      <xdr:rowOff>0</xdr:rowOff>
    </xdr:from>
    <xdr:to>
      <xdr:col>2</xdr:col>
      <xdr:colOff>0</xdr:colOff>
      <xdr:row>233</xdr:row>
      <xdr:rowOff>0</xdr:rowOff>
    </xdr:to>
    <xdr:sp macro="" textlink="">
      <xdr:nvSpPr>
        <xdr:cNvPr id="294" name="Rectangle 293">
          <a:extLst>
            <a:ext uri="{FF2B5EF4-FFF2-40B4-BE49-F238E27FC236}">
              <a16:creationId xmlns:a16="http://schemas.microsoft.com/office/drawing/2014/main" id="{77C9C033-54FF-4FD8-9C18-84FC9AA039DC}"/>
            </a:ext>
          </a:extLst>
        </xdr:cNvPr>
        <xdr:cNvSpPr/>
      </xdr:nvSpPr>
      <xdr:spPr>
        <a:xfrm>
          <a:off x="295275" y="44196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233</xdr:row>
      <xdr:rowOff>0</xdr:rowOff>
    </xdr:from>
    <xdr:to>
      <xdr:col>3</xdr:col>
      <xdr:colOff>0</xdr:colOff>
      <xdr:row>234</xdr:row>
      <xdr:rowOff>0</xdr:rowOff>
    </xdr:to>
    <xdr:sp macro="" textlink="">
      <xdr:nvSpPr>
        <xdr:cNvPr id="295" name="Rectangle 294">
          <a:extLst>
            <a:ext uri="{FF2B5EF4-FFF2-40B4-BE49-F238E27FC236}">
              <a16:creationId xmlns:a16="http://schemas.microsoft.com/office/drawing/2014/main" id="{4F2897B4-9FEC-456F-8002-D4CA834BF8DF}"/>
            </a:ext>
          </a:extLst>
        </xdr:cNvPr>
        <xdr:cNvSpPr/>
      </xdr:nvSpPr>
      <xdr:spPr>
        <a:xfrm>
          <a:off x="1333500" y="44386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1628</xdr:row>
      <xdr:rowOff>0</xdr:rowOff>
    </xdr:from>
    <xdr:to>
      <xdr:col>2</xdr:col>
      <xdr:colOff>0</xdr:colOff>
      <xdr:row>1629</xdr:row>
      <xdr:rowOff>0</xdr:rowOff>
    </xdr:to>
    <xdr:sp macro="" textlink="">
      <xdr:nvSpPr>
        <xdr:cNvPr id="296" name="Rectangle 295">
          <a:extLst>
            <a:ext uri="{FF2B5EF4-FFF2-40B4-BE49-F238E27FC236}">
              <a16:creationId xmlns:a16="http://schemas.microsoft.com/office/drawing/2014/main" id="{AD09759B-315E-481E-8F66-30FFC9B4124E}"/>
            </a:ext>
          </a:extLst>
        </xdr:cNvPr>
        <xdr:cNvSpPr/>
      </xdr:nvSpPr>
      <xdr:spPr>
        <a:xfrm>
          <a:off x="295275" y="309171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1630</xdr:row>
      <xdr:rowOff>0</xdr:rowOff>
    </xdr:from>
    <xdr:to>
      <xdr:col>2</xdr:col>
      <xdr:colOff>0</xdr:colOff>
      <xdr:row>1631</xdr:row>
      <xdr:rowOff>0</xdr:rowOff>
    </xdr:to>
    <xdr:sp macro="" textlink="">
      <xdr:nvSpPr>
        <xdr:cNvPr id="297" name="Rectangle 296">
          <a:extLst>
            <a:ext uri="{FF2B5EF4-FFF2-40B4-BE49-F238E27FC236}">
              <a16:creationId xmlns:a16="http://schemas.microsoft.com/office/drawing/2014/main" id="{E3156FCB-B2F7-4A2B-9C32-76F83AD3DE72}"/>
            </a:ext>
          </a:extLst>
        </xdr:cNvPr>
        <xdr:cNvSpPr/>
      </xdr:nvSpPr>
      <xdr:spPr>
        <a:xfrm>
          <a:off x="295275" y="309552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1635</xdr:row>
      <xdr:rowOff>0</xdr:rowOff>
    </xdr:from>
    <xdr:to>
      <xdr:col>2</xdr:col>
      <xdr:colOff>0</xdr:colOff>
      <xdr:row>1636</xdr:row>
      <xdr:rowOff>0</xdr:rowOff>
    </xdr:to>
    <xdr:sp macro="" textlink="">
      <xdr:nvSpPr>
        <xdr:cNvPr id="298" name="Rectangle 297">
          <a:extLst>
            <a:ext uri="{FF2B5EF4-FFF2-40B4-BE49-F238E27FC236}">
              <a16:creationId xmlns:a16="http://schemas.microsoft.com/office/drawing/2014/main" id="{F374929B-A2C5-4651-A725-CF0CF55E2E1E}"/>
            </a:ext>
          </a:extLst>
        </xdr:cNvPr>
        <xdr:cNvSpPr/>
      </xdr:nvSpPr>
      <xdr:spPr>
        <a:xfrm>
          <a:off x="295275" y="310505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1636</xdr:row>
      <xdr:rowOff>0</xdr:rowOff>
    </xdr:from>
    <xdr:to>
      <xdr:col>2</xdr:col>
      <xdr:colOff>0</xdr:colOff>
      <xdr:row>1637</xdr:row>
      <xdr:rowOff>0</xdr:rowOff>
    </xdr:to>
    <xdr:sp macro="" textlink="">
      <xdr:nvSpPr>
        <xdr:cNvPr id="299" name="Rectangle 298">
          <a:extLst>
            <a:ext uri="{FF2B5EF4-FFF2-40B4-BE49-F238E27FC236}">
              <a16:creationId xmlns:a16="http://schemas.microsoft.com/office/drawing/2014/main" id="{6F075322-E0C6-475E-8957-5295EA149603}"/>
            </a:ext>
          </a:extLst>
        </xdr:cNvPr>
        <xdr:cNvSpPr/>
      </xdr:nvSpPr>
      <xdr:spPr>
        <a:xfrm>
          <a:off x="295275" y="310695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1639</xdr:row>
      <xdr:rowOff>0</xdr:rowOff>
    </xdr:from>
    <xdr:to>
      <xdr:col>2</xdr:col>
      <xdr:colOff>0</xdr:colOff>
      <xdr:row>1640</xdr:row>
      <xdr:rowOff>0</xdr:rowOff>
    </xdr:to>
    <xdr:sp macro="" textlink="">
      <xdr:nvSpPr>
        <xdr:cNvPr id="300" name="Rectangle 299">
          <a:extLst>
            <a:ext uri="{FF2B5EF4-FFF2-40B4-BE49-F238E27FC236}">
              <a16:creationId xmlns:a16="http://schemas.microsoft.com/office/drawing/2014/main" id="{FF38A3FD-F081-4EF9-814A-C797C68E69EE}"/>
            </a:ext>
          </a:extLst>
        </xdr:cNvPr>
        <xdr:cNvSpPr/>
      </xdr:nvSpPr>
      <xdr:spPr>
        <a:xfrm>
          <a:off x="295275" y="311267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1640</xdr:row>
      <xdr:rowOff>0</xdr:rowOff>
    </xdr:from>
    <xdr:to>
      <xdr:col>2</xdr:col>
      <xdr:colOff>0</xdr:colOff>
      <xdr:row>1641</xdr:row>
      <xdr:rowOff>0</xdr:rowOff>
    </xdr:to>
    <xdr:sp macro="" textlink="">
      <xdr:nvSpPr>
        <xdr:cNvPr id="301" name="Rectangle 300">
          <a:extLst>
            <a:ext uri="{FF2B5EF4-FFF2-40B4-BE49-F238E27FC236}">
              <a16:creationId xmlns:a16="http://schemas.microsoft.com/office/drawing/2014/main" id="{DDDC9304-AAC9-4AF3-A65C-6F700D106F3E}"/>
            </a:ext>
          </a:extLst>
        </xdr:cNvPr>
        <xdr:cNvSpPr/>
      </xdr:nvSpPr>
      <xdr:spPr>
        <a:xfrm>
          <a:off x="295275" y="311457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1642</xdr:row>
      <xdr:rowOff>0</xdr:rowOff>
    </xdr:from>
    <xdr:to>
      <xdr:col>2</xdr:col>
      <xdr:colOff>0</xdr:colOff>
      <xdr:row>1643</xdr:row>
      <xdr:rowOff>0</xdr:rowOff>
    </xdr:to>
    <xdr:sp macro="" textlink="">
      <xdr:nvSpPr>
        <xdr:cNvPr id="302" name="Rectangle 301">
          <a:extLst>
            <a:ext uri="{FF2B5EF4-FFF2-40B4-BE49-F238E27FC236}">
              <a16:creationId xmlns:a16="http://schemas.microsoft.com/office/drawing/2014/main" id="{F86BB9C9-D84F-4EE2-95C2-51D8864549EC}"/>
            </a:ext>
          </a:extLst>
        </xdr:cNvPr>
        <xdr:cNvSpPr/>
      </xdr:nvSpPr>
      <xdr:spPr>
        <a:xfrm>
          <a:off x="295275" y="311838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1658</xdr:row>
      <xdr:rowOff>0</xdr:rowOff>
    </xdr:from>
    <xdr:to>
      <xdr:col>2</xdr:col>
      <xdr:colOff>0</xdr:colOff>
      <xdr:row>1659</xdr:row>
      <xdr:rowOff>0</xdr:rowOff>
    </xdr:to>
    <xdr:sp macro="" textlink="">
      <xdr:nvSpPr>
        <xdr:cNvPr id="303" name="Rectangle 302">
          <a:extLst>
            <a:ext uri="{FF2B5EF4-FFF2-40B4-BE49-F238E27FC236}">
              <a16:creationId xmlns:a16="http://schemas.microsoft.com/office/drawing/2014/main" id="{C4384F60-5C6E-4340-8853-93A5A74923C6}"/>
            </a:ext>
          </a:extLst>
        </xdr:cNvPr>
        <xdr:cNvSpPr/>
      </xdr:nvSpPr>
      <xdr:spPr>
        <a:xfrm>
          <a:off x="295275" y="3148774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</xdr:colOff>
      <xdr:row>3</xdr:row>
      <xdr:rowOff>171450</xdr:rowOff>
    </xdr:from>
    <xdr:to>
      <xdr:col>7</xdr:col>
      <xdr:colOff>569595</xdr:colOff>
      <xdr:row>28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F91FB77-CAF3-0D5B-BB1D-F67A252DA12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78826-6DFB-4422-AB9A-B0D9B45795C7}">
  <sheetPr codeName="Sheet21">
    <pageSetUpPr fitToPage="1"/>
  </sheetPr>
  <dimension ref="A1:X1674"/>
  <sheetViews>
    <sheetView tabSelected="1" zoomScaleNormal="100" workbookViewId="0">
      <pane ySplit="1" topLeftCell="A2" activePane="bottomLeft" state="frozen"/>
      <selection pane="bottomLeft" activeCell="M8" sqref="M8"/>
    </sheetView>
  </sheetViews>
  <sheetFormatPr defaultRowHeight="15" x14ac:dyDescent="0.25"/>
  <cols>
    <col min="1" max="1" width="4.42578125" style="1" customWidth="1"/>
    <col min="2" max="2" width="15.5703125" style="1" customWidth="1"/>
    <col min="3" max="3" width="15.42578125" style="1" customWidth="1"/>
    <col min="4" max="4" width="9.5703125" style="1" customWidth="1"/>
    <col min="5" max="5" width="18.28515625" style="1" customWidth="1"/>
    <col min="6" max="6" width="14.5703125" style="1" customWidth="1"/>
    <col min="7" max="7" width="12.5703125" style="1" customWidth="1"/>
    <col min="8" max="8" width="24" customWidth="1"/>
    <col min="9" max="9" width="30" customWidth="1"/>
    <col min="10" max="10" width="17.85546875" customWidth="1"/>
    <col min="11" max="11" width="11.5703125" style="1" customWidth="1"/>
    <col min="23" max="23" width="10.140625" style="201" hidden="1" customWidth="1"/>
    <col min="24" max="24" width="11" style="1" hidden="1" customWidth="1"/>
  </cols>
  <sheetData>
    <row r="1" spans="1:24" s="1" customFormat="1" x14ac:dyDescent="0.25">
      <c r="A1" s="204" t="s">
        <v>0</v>
      </c>
      <c r="B1" s="203" t="s">
        <v>232</v>
      </c>
      <c r="C1" s="203" t="s">
        <v>9327</v>
      </c>
      <c r="D1" s="203" t="s">
        <v>9326</v>
      </c>
      <c r="E1" s="203" t="s">
        <v>9325</v>
      </c>
      <c r="F1" s="203" t="s">
        <v>9324</v>
      </c>
      <c r="G1" s="203" t="s">
        <v>9323</v>
      </c>
      <c r="H1" s="203" t="s">
        <v>9322</v>
      </c>
      <c r="I1" s="203" t="s">
        <v>9321</v>
      </c>
      <c r="J1" s="203" t="s">
        <v>9335</v>
      </c>
      <c r="K1" s="203" t="s">
        <v>9336</v>
      </c>
      <c r="W1" s="202" t="s">
        <v>9330</v>
      </c>
      <c r="X1" s="202" t="s">
        <v>9331</v>
      </c>
    </row>
    <row r="2" spans="1:24" x14ac:dyDescent="0.25">
      <c r="A2" s="2" t="s">
        <v>1</v>
      </c>
      <c r="B2" s="2" t="s">
        <v>2</v>
      </c>
      <c r="C2" s="3">
        <v>0</v>
      </c>
      <c r="D2" s="4" t="s">
        <v>3</v>
      </c>
      <c r="E2" s="5" t="s">
        <v>4</v>
      </c>
      <c r="F2" s="5">
        <v>0.20599999999999999</v>
      </c>
      <c r="G2" s="5" t="s">
        <v>5</v>
      </c>
      <c r="H2" s="5" t="s">
        <v>6</v>
      </c>
      <c r="I2" s="5" t="s">
        <v>7</v>
      </c>
      <c r="J2" s="5" t="s">
        <v>8</v>
      </c>
      <c r="K2" s="4" t="s">
        <v>9337</v>
      </c>
      <c r="W2" s="213">
        <v>2</v>
      </c>
      <c r="X2" s="214">
        <v>1</v>
      </c>
    </row>
    <row r="3" spans="1:24" x14ac:dyDescent="0.25">
      <c r="A3" s="6" t="s">
        <v>9</v>
      </c>
      <c r="B3" s="6" t="s">
        <v>10</v>
      </c>
      <c r="C3" s="7">
        <v>0</v>
      </c>
      <c r="D3" s="8" t="s">
        <v>11</v>
      </c>
      <c r="E3" s="8" t="s">
        <v>12</v>
      </c>
      <c r="F3" s="8">
        <v>7.0000000000000001E-3</v>
      </c>
      <c r="G3" s="8" t="s">
        <v>13</v>
      </c>
      <c r="H3" s="8" t="s">
        <v>14</v>
      </c>
      <c r="I3" s="8" t="s">
        <v>15</v>
      </c>
      <c r="J3" s="8" t="s">
        <v>16</v>
      </c>
      <c r="K3" s="8" t="s">
        <v>9338</v>
      </c>
      <c r="W3" s="213">
        <v>3</v>
      </c>
      <c r="X3" s="214">
        <v>2</v>
      </c>
    </row>
    <row r="4" spans="1:24" ht="15" customHeight="1" x14ac:dyDescent="0.25">
      <c r="A4" s="9" t="s">
        <v>1485</v>
      </c>
      <c r="B4" s="10" t="s">
        <v>5894</v>
      </c>
      <c r="C4" s="9">
        <v>0</v>
      </c>
      <c r="D4" s="11" t="s">
        <v>5895</v>
      </c>
      <c r="E4" s="11" t="s">
        <v>5896</v>
      </c>
      <c r="F4" s="11">
        <v>0.61199999999999999</v>
      </c>
      <c r="G4" s="11" t="s">
        <v>5897</v>
      </c>
      <c r="H4" s="11" t="s">
        <v>5898</v>
      </c>
      <c r="I4" s="11" t="s">
        <v>5899</v>
      </c>
      <c r="J4" s="11" t="s">
        <v>5900</v>
      </c>
      <c r="K4" s="11" t="s">
        <v>510</v>
      </c>
      <c r="W4" s="213">
        <v>4</v>
      </c>
      <c r="X4" s="214">
        <v>2</v>
      </c>
    </row>
    <row r="5" spans="1:24" x14ac:dyDescent="0.25">
      <c r="A5" s="12" t="s">
        <v>17</v>
      </c>
      <c r="B5" s="13" t="s">
        <v>18</v>
      </c>
      <c r="C5" s="12">
        <v>0</v>
      </c>
      <c r="D5" s="13" t="s">
        <v>19</v>
      </c>
      <c r="E5" s="13" t="s">
        <v>20</v>
      </c>
      <c r="F5" s="13">
        <v>0.191</v>
      </c>
      <c r="G5" s="13" t="s">
        <v>21</v>
      </c>
      <c r="H5" s="13" t="s">
        <v>70</v>
      </c>
      <c r="I5" s="13" t="s">
        <v>22</v>
      </c>
      <c r="J5" s="13" t="s">
        <v>23</v>
      </c>
      <c r="K5" s="13" t="s">
        <v>510</v>
      </c>
      <c r="W5" s="213">
        <v>5</v>
      </c>
      <c r="X5" s="214">
        <v>4</v>
      </c>
    </row>
    <row r="6" spans="1:24" ht="15" customHeight="1" x14ac:dyDescent="0.25">
      <c r="A6" s="14" t="s">
        <v>1485</v>
      </c>
      <c r="B6" s="15" t="s">
        <v>3483</v>
      </c>
      <c r="C6" s="14">
        <v>0</v>
      </c>
      <c r="D6" s="16" t="s">
        <v>3482</v>
      </c>
      <c r="E6" s="16" t="s">
        <v>86</v>
      </c>
      <c r="F6" s="16">
        <v>0.191</v>
      </c>
      <c r="G6" s="16" t="s">
        <v>3484</v>
      </c>
      <c r="H6" s="16" t="s">
        <v>3485</v>
      </c>
      <c r="I6" s="16" t="s">
        <v>3486</v>
      </c>
      <c r="J6" s="16" t="s">
        <v>3487</v>
      </c>
      <c r="K6" s="16" t="s">
        <v>510</v>
      </c>
      <c r="W6" s="213">
        <v>6</v>
      </c>
      <c r="X6" s="214">
        <v>3</v>
      </c>
    </row>
    <row r="7" spans="1:24" x14ac:dyDescent="0.25">
      <c r="A7" s="17" t="s">
        <v>24</v>
      </c>
      <c r="B7" s="17" t="s">
        <v>25</v>
      </c>
      <c r="C7" s="18">
        <v>1</v>
      </c>
      <c r="D7" s="19" t="s">
        <v>26</v>
      </c>
      <c r="E7" s="19" t="s">
        <v>86</v>
      </c>
      <c r="F7" s="19">
        <v>1.7000000000000001E-2</v>
      </c>
      <c r="G7" s="19" t="s">
        <v>27</v>
      </c>
      <c r="H7" s="19" t="s">
        <v>28</v>
      </c>
      <c r="I7" s="20" t="s">
        <v>29</v>
      </c>
      <c r="J7" s="19" t="s">
        <v>30</v>
      </c>
      <c r="K7" s="19" t="s">
        <v>9339</v>
      </c>
      <c r="W7" s="213">
        <v>7</v>
      </c>
      <c r="X7" s="214">
        <v>3</v>
      </c>
    </row>
    <row r="8" spans="1:24" x14ac:dyDescent="0.25">
      <c r="A8" s="16" t="s">
        <v>0</v>
      </c>
      <c r="B8" s="14" t="s">
        <v>32</v>
      </c>
      <c r="C8" s="21" t="s">
        <v>31</v>
      </c>
      <c r="D8" s="16" t="s">
        <v>33</v>
      </c>
      <c r="E8" s="16" t="s">
        <v>34</v>
      </c>
      <c r="F8" s="16">
        <v>5.5E-2</v>
      </c>
      <c r="G8" s="16" t="s">
        <v>35</v>
      </c>
      <c r="H8" s="16"/>
      <c r="I8" s="16"/>
      <c r="J8" s="16"/>
      <c r="K8" s="16" t="s">
        <v>9340</v>
      </c>
      <c r="W8" s="213">
        <v>8</v>
      </c>
      <c r="X8" s="214">
        <v>3</v>
      </c>
    </row>
    <row r="9" spans="1:24" ht="15" customHeight="1" x14ac:dyDescent="0.25">
      <c r="A9" s="18" t="s">
        <v>1485</v>
      </c>
      <c r="B9" s="22" t="s">
        <v>3488</v>
      </c>
      <c r="C9" s="18">
        <v>0</v>
      </c>
      <c r="D9" s="19" t="s">
        <v>3489</v>
      </c>
      <c r="E9" s="19" t="s">
        <v>3490</v>
      </c>
      <c r="F9" s="19">
        <v>0.38700000000000001</v>
      </c>
      <c r="G9" s="19" t="s">
        <v>3491</v>
      </c>
      <c r="H9" s="19" t="s">
        <v>3492</v>
      </c>
      <c r="I9" s="19" t="s">
        <v>3493</v>
      </c>
      <c r="J9" s="19" t="s">
        <v>3494</v>
      </c>
      <c r="K9" s="19" t="s">
        <v>510</v>
      </c>
      <c r="W9" s="213">
        <v>9</v>
      </c>
      <c r="X9" s="214">
        <v>3</v>
      </c>
    </row>
    <row r="10" spans="1:24" x14ac:dyDescent="0.25">
      <c r="A10" s="23" t="s">
        <v>17</v>
      </c>
      <c r="B10" s="24" t="s">
        <v>36</v>
      </c>
      <c r="C10" s="23">
        <v>0</v>
      </c>
      <c r="D10" s="24" t="s">
        <v>37</v>
      </c>
      <c r="E10" s="24" t="s">
        <v>38</v>
      </c>
      <c r="F10" s="24">
        <v>0.20399999999999999</v>
      </c>
      <c r="G10" s="24" t="s">
        <v>39</v>
      </c>
      <c r="H10" s="24" t="s">
        <v>40</v>
      </c>
      <c r="I10" s="24" t="s">
        <v>41</v>
      </c>
      <c r="J10" s="24" t="s">
        <v>42</v>
      </c>
      <c r="K10" s="24" t="s">
        <v>9341</v>
      </c>
      <c r="W10" s="213">
        <v>10</v>
      </c>
      <c r="X10" s="214">
        <v>4</v>
      </c>
    </row>
    <row r="11" spans="1:24" x14ac:dyDescent="0.25">
      <c r="A11" s="12" t="s">
        <v>17</v>
      </c>
      <c r="B11" s="13" t="s">
        <v>43</v>
      </c>
      <c r="C11" s="12">
        <v>0</v>
      </c>
      <c r="D11" s="13" t="s">
        <v>44</v>
      </c>
      <c r="E11" s="13" t="s">
        <v>101</v>
      </c>
      <c r="F11" s="13">
        <v>0.19</v>
      </c>
      <c r="G11" s="13" t="s">
        <v>45</v>
      </c>
      <c r="H11" s="13" t="s">
        <v>46</v>
      </c>
      <c r="I11" s="13" t="s">
        <v>47</v>
      </c>
      <c r="J11" s="13" t="s">
        <v>48</v>
      </c>
      <c r="K11" s="13" t="s">
        <v>9341</v>
      </c>
      <c r="W11" s="213">
        <v>11</v>
      </c>
      <c r="X11" s="214">
        <v>4</v>
      </c>
    </row>
    <row r="12" spans="1:24" x14ac:dyDescent="0.25">
      <c r="A12" s="23" t="s">
        <v>17</v>
      </c>
      <c r="B12" s="24" t="s">
        <v>49</v>
      </c>
      <c r="C12" s="23">
        <v>0</v>
      </c>
      <c r="D12" s="24" t="s">
        <v>50</v>
      </c>
      <c r="E12" s="24" t="s">
        <v>51</v>
      </c>
      <c r="F12" s="24">
        <v>0.89</v>
      </c>
      <c r="G12" s="24" t="s">
        <v>52</v>
      </c>
      <c r="H12" s="24" t="s">
        <v>53</v>
      </c>
      <c r="I12" s="24" t="s">
        <v>54</v>
      </c>
      <c r="J12" s="24" t="s">
        <v>55</v>
      </c>
      <c r="K12" s="24" t="s">
        <v>510</v>
      </c>
      <c r="W12" s="213">
        <v>12</v>
      </c>
      <c r="X12" s="214">
        <v>4</v>
      </c>
    </row>
    <row r="13" spans="1:24" x14ac:dyDescent="0.25">
      <c r="A13" s="12" t="s">
        <v>17</v>
      </c>
      <c r="B13" s="13" t="s">
        <v>56</v>
      </c>
      <c r="C13" s="12">
        <v>0</v>
      </c>
      <c r="D13" s="13" t="s">
        <v>57</v>
      </c>
      <c r="E13" s="13" t="s">
        <v>58</v>
      </c>
      <c r="F13" s="13">
        <v>0.28000000000000003</v>
      </c>
      <c r="G13" s="13" t="s">
        <v>59</v>
      </c>
      <c r="H13" s="13" t="s">
        <v>60</v>
      </c>
      <c r="I13" s="13" t="s">
        <v>61</v>
      </c>
      <c r="J13" s="13" t="s">
        <v>62</v>
      </c>
      <c r="K13" s="13" t="s">
        <v>9342</v>
      </c>
      <c r="W13" s="213">
        <v>13</v>
      </c>
      <c r="X13" s="214">
        <v>4</v>
      </c>
    </row>
    <row r="14" spans="1:24" x14ac:dyDescent="0.25">
      <c r="A14" s="23" t="s">
        <v>17</v>
      </c>
      <c r="B14" s="24" t="s">
        <v>63</v>
      </c>
      <c r="C14" s="23">
        <v>0</v>
      </c>
      <c r="D14" s="24" t="s">
        <v>64</v>
      </c>
      <c r="E14" s="24" t="s">
        <v>65</v>
      </c>
      <c r="F14" s="24">
        <v>0.223</v>
      </c>
      <c r="G14" s="24" t="s">
        <v>66</v>
      </c>
      <c r="H14" s="24" t="s">
        <v>67</v>
      </c>
      <c r="I14" s="24" t="s">
        <v>68</v>
      </c>
      <c r="J14" s="24" t="s">
        <v>69</v>
      </c>
      <c r="K14" s="24" t="s">
        <v>9343</v>
      </c>
      <c r="W14" s="213">
        <v>14</v>
      </c>
      <c r="X14" s="214">
        <v>4</v>
      </c>
    </row>
    <row r="15" spans="1:24" x14ac:dyDescent="0.25">
      <c r="A15" s="25" t="s">
        <v>1485</v>
      </c>
      <c r="B15" s="26" t="s">
        <v>3223</v>
      </c>
      <c r="C15" s="25">
        <v>1</v>
      </c>
      <c r="D15" s="26" t="s">
        <v>3224</v>
      </c>
      <c r="E15" s="26" t="s">
        <v>74</v>
      </c>
      <c r="F15" s="26">
        <v>6.5000000000000002E-2</v>
      </c>
      <c r="G15" s="26" t="s">
        <v>3225</v>
      </c>
      <c r="H15" s="26" t="s">
        <v>3226</v>
      </c>
      <c r="I15" s="26" t="s">
        <v>3227</v>
      </c>
      <c r="J15" s="26" t="s">
        <v>3228</v>
      </c>
      <c r="K15" s="26" t="s">
        <v>510</v>
      </c>
      <c r="W15" s="213">
        <v>15</v>
      </c>
      <c r="X15" s="214">
        <v>5</v>
      </c>
    </row>
    <row r="16" spans="1:24" x14ac:dyDescent="0.25">
      <c r="A16" s="27" t="s">
        <v>0</v>
      </c>
      <c r="B16" s="28" t="s">
        <v>32</v>
      </c>
      <c r="C16" s="32" t="s">
        <v>3235</v>
      </c>
      <c r="D16" s="27" t="s">
        <v>3236</v>
      </c>
      <c r="E16" s="27" t="s">
        <v>626</v>
      </c>
      <c r="F16" s="27" t="s">
        <v>510</v>
      </c>
      <c r="G16" s="27" t="s">
        <v>510</v>
      </c>
      <c r="H16" s="27"/>
      <c r="I16" s="27"/>
      <c r="J16" s="27"/>
      <c r="K16" s="27" t="s">
        <v>510</v>
      </c>
      <c r="W16" s="213">
        <v>16</v>
      </c>
      <c r="X16" s="214">
        <v>5</v>
      </c>
    </row>
    <row r="17" spans="1:24" x14ac:dyDescent="0.25">
      <c r="A17" s="29" t="s">
        <v>71</v>
      </c>
      <c r="B17" s="29" t="s">
        <v>72</v>
      </c>
      <c r="C17" s="25">
        <v>2</v>
      </c>
      <c r="D17" s="26" t="s">
        <v>73</v>
      </c>
      <c r="E17" s="26" t="s">
        <v>74</v>
      </c>
      <c r="F17" s="26">
        <v>9.2999999999999999E-2</v>
      </c>
      <c r="G17" s="26" t="s">
        <v>75</v>
      </c>
      <c r="H17" s="26" t="s">
        <v>76</v>
      </c>
      <c r="I17" s="26" t="s">
        <v>77</v>
      </c>
      <c r="J17" s="26" t="s">
        <v>78</v>
      </c>
      <c r="K17" s="26" t="s">
        <v>9344</v>
      </c>
      <c r="W17" s="213">
        <v>17</v>
      </c>
      <c r="X17" s="214">
        <v>5</v>
      </c>
    </row>
    <row r="18" spans="1:24" x14ac:dyDescent="0.25">
      <c r="A18" s="27" t="s">
        <v>0</v>
      </c>
      <c r="B18" s="28" t="s">
        <v>32</v>
      </c>
      <c r="C18" s="127" t="s">
        <v>79</v>
      </c>
      <c r="D18" s="27" t="s">
        <v>80</v>
      </c>
      <c r="E18" s="27" t="s">
        <v>81</v>
      </c>
      <c r="F18" s="27">
        <v>1.4999999999999999E-2</v>
      </c>
      <c r="G18" s="27" t="s">
        <v>82</v>
      </c>
      <c r="H18" s="30"/>
      <c r="I18" s="30"/>
      <c r="J18" s="30"/>
      <c r="K18" s="27" t="s">
        <v>9345</v>
      </c>
      <c r="W18" s="213">
        <v>18</v>
      </c>
      <c r="X18" s="214">
        <v>5</v>
      </c>
    </row>
    <row r="19" spans="1:24" x14ac:dyDescent="0.25">
      <c r="A19" s="26" t="s">
        <v>0</v>
      </c>
      <c r="B19" s="25" t="s">
        <v>32</v>
      </c>
      <c r="C19" s="29" t="s">
        <v>83</v>
      </c>
      <c r="D19" s="26" t="s">
        <v>84</v>
      </c>
      <c r="E19" s="26" t="s">
        <v>85</v>
      </c>
      <c r="F19" s="26">
        <v>0</v>
      </c>
      <c r="G19" s="26" t="s">
        <v>87</v>
      </c>
      <c r="H19" s="31"/>
      <c r="I19" s="31"/>
      <c r="J19" s="31"/>
      <c r="K19" s="26" t="s">
        <v>9346</v>
      </c>
      <c r="W19" s="213">
        <v>19</v>
      </c>
      <c r="X19" s="214">
        <v>5</v>
      </c>
    </row>
    <row r="20" spans="1:24" ht="15" customHeight="1" x14ac:dyDescent="0.25">
      <c r="A20" s="28" t="s">
        <v>1485</v>
      </c>
      <c r="B20" s="32" t="s">
        <v>7864</v>
      </c>
      <c r="C20" s="28">
        <v>0</v>
      </c>
      <c r="D20" s="27" t="s">
        <v>7865</v>
      </c>
      <c r="E20" s="27" t="s">
        <v>74</v>
      </c>
      <c r="F20" s="27">
        <v>0.54</v>
      </c>
      <c r="G20" s="27" t="s">
        <v>3163</v>
      </c>
      <c r="H20" s="27" t="s">
        <v>7866</v>
      </c>
      <c r="I20" s="27" t="s">
        <v>7867</v>
      </c>
      <c r="J20" s="27" t="s">
        <v>7868</v>
      </c>
      <c r="K20" s="27" t="s">
        <v>510</v>
      </c>
      <c r="W20" s="213">
        <v>20</v>
      </c>
      <c r="X20" s="214">
        <v>5</v>
      </c>
    </row>
    <row r="21" spans="1:24" ht="15" customHeight="1" x14ac:dyDescent="0.25">
      <c r="A21" s="25" t="s">
        <v>1485</v>
      </c>
      <c r="B21" s="33" t="s">
        <v>7869</v>
      </c>
      <c r="C21" s="25">
        <v>0</v>
      </c>
      <c r="D21" s="26" t="s">
        <v>7870</v>
      </c>
      <c r="E21" s="26" t="s">
        <v>74</v>
      </c>
      <c r="F21" s="26">
        <v>3.5000000000000003E-2</v>
      </c>
      <c r="G21" s="26" t="s">
        <v>7871</v>
      </c>
      <c r="H21" s="26" t="s">
        <v>7872</v>
      </c>
      <c r="I21" s="26" t="s">
        <v>7873</v>
      </c>
      <c r="J21" s="26" t="s">
        <v>7874</v>
      </c>
      <c r="K21" s="26" t="s">
        <v>510</v>
      </c>
      <c r="W21" s="213">
        <v>21</v>
      </c>
      <c r="X21" s="214">
        <v>5</v>
      </c>
    </row>
    <row r="22" spans="1:24" ht="15" customHeight="1" x14ac:dyDescent="0.25">
      <c r="A22" s="28" t="s">
        <v>1485</v>
      </c>
      <c r="B22" s="32" t="s">
        <v>7853</v>
      </c>
      <c r="C22" s="28">
        <v>0</v>
      </c>
      <c r="D22" s="27" t="s">
        <v>7854</v>
      </c>
      <c r="E22" s="27" t="s">
        <v>74</v>
      </c>
      <c r="F22" s="27">
        <v>0.1</v>
      </c>
      <c r="G22" s="27" t="s">
        <v>7855</v>
      </c>
      <c r="H22" s="27" t="s">
        <v>7856</v>
      </c>
      <c r="I22" s="27" t="s">
        <v>7857</v>
      </c>
      <c r="J22" s="27" t="s">
        <v>7858</v>
      </c>
      <c r="K22" s="27" t="s">
        <v>510</v>
      </c>
      <c r="W22" s="213">
        <v>22</v>
      </c>
      <c r="X22" s="214">
        <v>5</v>
      </c>
    </row>
    <row r="23" spans="1:24" ht="15" customHeight="1" x14ac:dyDescent="0.25">
      <c r="A23" s="25" t="s">
        <v>1485</v>
      </c>
      <c r="B23" s="33" t="s">
        <v>7859</v>
      </c>
      <c r="C23" s="25">
        <v>0</v>
      </c>
      <c r="D23" s="26" t="s">
        <v>649</v>
      </c>
      <c r="E23" s="26" t="s">
        <v>74</v>
      </c>
      <c r="F23" s="26">
        <v>3.9E-2</v>
      </c>
      <c r="G23" s="26" t="s">
        <v>7860</v>
      </c>
      <c r="H23" s="26" t="s">
        <v>7861</v>
      </c>
      <c r="I23" s="26" t="s">
        <v>7862</v>
      </c>
      <c r="J23" s="26" t="s">
        <v>7863</v>
      </c>
      <c r="K23" s="26" t="s">
        <v>510</v>
      </c>
      <c r="W23" s="213">
        <v>23</v>
      </c>
      <c r="X23" s="214">
        <v>5</v>
      </c>
    </row>
    <row r="24" spans="1:24" x14ac:dyDescent="0.25">
      <c r="A24" s="23" t="s">
        <v>17</v>
      </c>
      <c r="B24" s="24" t="s">
        <v>88</v>
      </c>
      <c r="C24" s="23">
        <v>1</v>
      </c>
      <c r="D24" s="24" t="s">
        <v>89</v>
      </c>
      <c r="E24" s="24" t="s">
        <v>90</v>
      </c>
      <c r="F24" s="24">
        <v>0.38400000000000001</v>
      </c>
      <c r="G24" s="24" t="s">
        <v>91</v>
      </c>
      <c r="H24" s="24" t="s">
        <v>92</v>
      </c>
      <c r="I24" s="24" t="s">
        <v>93</v>
      </c>
      <c r="J24" s="24" t="s">
        <v>94</v>
      </c>
      <c r="K24" s="24" t="s">
        <v>9347</v>
      </c>
      <c r="W24" s="213">
        <v>24</v>
      </c>
      <c r="X24" s="214">
        <v>4</v>
      </c>
    </row>
    <row r="25" spans="1:24" x14ac:dyDescent="0.25">
      <c r="A25" s="13" t="s">
        <v>0</v>
      </c>
      <c r="B25" s="12" t="s">
        <v>32</v>
      </c>
      <c r="C25" s="13" t="s">
        <v>95</v>
      </c>
      <c r="D25" s="13" t="s">
        <v>96</v>
      </c>
      <c r="E25" s="13" t="s">
        <v>649</v>
      </c>
      <c r="F25" s="13">
        <v>2.5000000000000001E-2</v>
      </c>
      <c r="G25" s="13" t="s">
        <v>97</v>
      </c>
      <c r="H25" s="34"/>
      <c r="I25" s="34"/>
      <c r="J25" s="34"/>
      <c r="K25" s="13" t="s">
        <v>9348</v>
      </c>
      <c r="W25" s="213">
        <v>25</v>
      </c>
      <c r="X25" s="214">
        <v>4</v>
      </c>
    </row>
    <row r="26" spans="1:24" x14ac:dyDescent="0.25">
      <c r="A26" s="35" t="s">
        <v>108</v>
      </c>
      <c r="B26" s="36" t="s">
        <v>98</v>
      </c>
      <c r="C26" s="35">
        <v>0</v>
      </c>
      <c r="D26" s="36" t="s">
        <v>99</v>
      </c>
      <c r="E26" s="36" t="s">
        <v>100</v>
      </c>
      <c r="F26" s="36">
        <v>0.157</v>
      </c>
      <c r="G26" s="36" t="s">
        <v>102</v>
      </c>
      <c r="H26" s="36" t="s">
        <v>103</v>
      </c>
      <c r="I26" s="36" t="s">
        <v>104</v>
      </c>
      <c r="J26" s="36" t="s">
        <v>105</v>
      </c>
      <c r="K26" s="36" t="s">
        <v>9349</v>
      </c>
      <c r="W26" s="213">
        <v>26</v>
      </c>
      <c r="X26" s="214">
        <v>6</v>
      </c>
    </row>
    <row r="27" spans="1:24" x14ac:dyDescent="0.25">
      <c r="A27" s="37" t="s">
        <v>108</v>
      </c>
      <c r="B27" s="38" t="s">
        <v>3237</v>
      </c>
      <c r="C27" s="37">
        <v>0</v>
      </c>
      <c r="D27" s="38" t="s">
        <v>84</v>
      </c>
      <c r="E27" s="38" t="s">
        <v>3238</v>
      </c>
      <c r="F27" s="38">
        <v>0.17299999999999999</v>
      </c>
      <c r="G27" s="38" t="s">
        <v>3239</v>
      </c>
      <c r="H27" s="38" t="s">
        <v>3240</v>
      </c>
      <c r="I27" s="38" t="s">
        <v>3241</v>
      </c>
      <c r="J27" s="38" t="s">
        <v>3242</v>
      </c>
      <c r="K27" s="38" t="s">
        <v>9350</v>
      </c>
      <c r="W27" s="213">
        <v>27</v>
      </c>
      <c r="X27" s="214">
        <v>6</v>
      </c>
    </row>
    <row r="28" spans="1:24" x14ac:dyDescent="0.25">
      <c r="A28" s="35" t="s">
        <v>108</v>
      </c>
      <c r="B28" s="36" t="s">
        <v>106</v>
      </c>
      <c r="C28" s="35">
        <v>0</v>
      </c>
      <c r="D28" s="36" t="s">
        <v>107</v>
      </c>
      <c r="E28" s="36" t="s">
        <v>109</v>
      </c>
      <c r="F28" s="36">
        <v>4.5999999999999999E-2</v>
      </c>
      <c r="G28" s="36" t="s">
        <v>110</v>
      </c>
      <c r="H28" s="36" t="s">
        <v>111</v>
      </c>
      <c r="I28" s="36" t="s">
        <v>112</v>
      </c>
      <c r="J28" s="36" t="s">
        <v>113</v>
      </c>
      <c r="K28" s="36" t="s">
        <v>9351</v>
      </c>
      <c r="W28" s="213">
        <v>28</v>
      </c>
      <c r="X28" s="214">
        <v>6</v>
      </c>
    </row>
    <row r="29" spans="1:24" x14ac:dyDescent="0.25">
      <c r="A29" s="37" t="s">
        <v>108</v>
      </c>
      <c r="B29" s="38" t="s">
        <v>114</v>
      </c>
      <c r="C29" s="37">
        <v>0</v>
      </c>
      <c r="D29" s="38" t="s">
        <v>115</v>
      </c>
      <c r="E29" s="38" t="s">
        <v>116</v>
      </c>
      <c r="F29" s="38">
        <v>0.218</v>
      </c>
      <c r="G29" s="38" t="s">
        <v>117</v>
      </c>
      <c r="H29" s="38" t="s">
        <v>118</v>
      </c>
      <c r="I29" s="38" t="s">
        <v>119</v>
      </c>
      <c r="J29" s="38" t="s">
        <v>120</v>
      </c>
      <c r="K29" s="38" t="s">
        <v>9352</v>
      </c>
      <c r="W29" s="213">
        <v>29</v>
      </c>
      <c r="X29" s="214">
        <v>6</v>
      </c>
    </row>
    <row r="30" spans="1:24" x14ac:dyDescent="0.25">
      <c r="A30" s="35" t="s">
        <v>108</v>
      </c>
      <c r="B30" s="36" t="s">
        <v>121</v>
      </c>
      <c r="C30" s="35">
        <v>0</v>
      </c>
      <c r="D30" s="36" t="s">
        <v>122</v>
      </c>
      <c r="E30" s="36" t="s">
        <v>123</v>
      </c>
      <c r="F30" s="36">
        <v>0.23200000000000001</v>
      </c>
      <c r="G30" s="36" t="s">
        <v>124</v>
      </c>
      <c r="H30" s="36" t="s">
        <v>125</v>
      </c>
      <c r="I30" s="36" t="s">
        <v>126</v>
      </c>
      <c r="J30" s="36" t="s">
        <v>127</v>
      </c>
      <c r="K30" s="36" t="s">
        <v>9353</v>
      </c>
      <c r="W30" s="213">
        <v>30</v>
      </c>
      <c r="X30" s="214">
        <v>6</v>
      </c>
    </row>
    <row r="31" spans="1:24" x14ac:dyDescent="0.25">
      <c r="A31" s="37" t="s">
        <v>108</v>
      </c>
      <c r="B31" s="38" t="s">
        <v>128</v>
      </c>
      <c r="C31" s="37">
        <v>0</v>
      </c>
      <c r="D31" s="38" t="s">
        <v>129</v>
      </c>
      <c r="E31" s="38" t="s">
        <v>130</v>
      </c>
      <c r="F31" s="38">
        <v>0.22</v>
      </c>
      <c r="G31" s="38" t="s">
        <v>131</v>
      </c>
      <c r="H31" s="38" t="s">
        <v>132</v>
      </c>
      <c r="I31" s="38" t="s">
        <v>133</v>
      </c>
      <c r="J31" s="38" t="s">
        <v>134</v>
      </c>
      <c r="K31" s="38" t="s">
        <v>9354</v>
      </c>
      <c r="W31" s="213">
        <v>31</v>
      </c>
      <c r="X31" s="214">
        <v>6</v>
      </c>
    </row>
    <row r="32" spans="1:24" x14ac:dyDescent="0.25">
      <c r="A32" s="39" t="s">
        <v>135</v>
      </c>
      <c r="B32" s="39" t="s">
        <v>136</v>
      </c>
      <c r="C32" s="35">
        <v>0</v>
      </c>
      <c r="D32" s="36" t="s">
        <v>137</v>
      </c>
      <c r="E32" s="36" t="s">
        <v>138</v>
      </c>
      <c r="F32" s="36">
        <v>8.8999999999999996E-2</v>
      </c>
      <c r="G32" s="36" t="s">
        <v>139</v>
      </c>
      <c r="H32" s="36" t="s">
        <v>140</v>
      </c>
      <c r="I32" s="36" t="s">
        <v>141</v>
      </c>
      <c r="J32" s="36" t="s">
        <v>142</v>
      </c>
      <c r="K32" s="36" t="s">
        <v>9355</v>
      </c>
      <c r="W32" s="213">
        <v>32</v>
      </c>
      <c r="X32" s="214">
        <v>6</v>
      </c>
    </row>
    <row r="33" spans="1:24" x14ac:dyDescent="0.25">
      <c r="A33" s="37" t="s">
        <v>108</v>
      </c>
      <c r="B33" s="38" t="s">
        <v>143</v>
      </c>
      <c r="C33" s="37">
        <v>0</v>
      </c>
      <c r="D33" s="38" t="s">
        <v>144</v>
      </c>
      <c r="E33" s="38" t="s">
        <v>145</v>
      </c>
      <c r="F33" s="38">
        <v>6.6000000000000003E-2</v>
      </c>
      <c r="G33" s="38" t="s">
        <v>146</v>
      </c>
      <c r="H33" s="38" t="s">
        <v>147</v>
      </c>
      <c r="I33" s="38" t="s">
        <v>148</v>
      </c>
      <c r="J33" s="38" t="s">
        <v>149</v>
      </c>
      <c r="K33" s="38" t="s">
        <v>9356</v>
      </c>
      <c r="W33" s="213">
        <v>33</v>
      </c>
      <c r="X33" s="214">
        <v>6</v>
      </c>
    </row>
    <row r="34" spans="1:24" x14ac:dyDescent="0.25">
      <c r="A34" s="35" t="s">
        <v>108</v>
      </c>
      <c r="B34" s="36" t="s">
        <v>150</v>
      </c>
      <c r="C34" s="35">
        <v>0</v>
      </c>
      <c r="D34" s="36" t="s">
        <v>151</v>
      </c>
      <c r="E34" s="36" t="s">
        <v>152</v>
      </c>
      <c r="F34" s="36">
        <v>0.126</v>
      </c>
      <c r="G34" s="36" t="s">
        <v>153</v>
      </c>
      <c r="H34" s="36" t="s">
        <v>154</v>
      </c>
      <c r="I34" s="36" t="s">
        <v>155</v>
      </c>
      <c r="J34" s="36" t="s">
        <v>156</v>
      </c>
      <c r="K34" s="36" t="s">
        <v>9357</v>
      </c>
      <c r="W34" s="213">
        <v>34</v>
      </c>
      <c r="X34" s="214">
        <v>6</v>
      </c>
    </row>
    <row r="35" spans="1:24" x14ac:dyDescent="0.25">
      <c r="A35" s="37" t="s">
        <v>108</v>
      </c>
      <c r="B35" s="38" t="s">
        <v>157</v>
      </c>
      <c r="C35" s="37">
        <v>0</v>
      </c>
      <c r="D35" s="38" t="s">
        <v>158</v>
      </c>
      <c r="E35" s="38" t="s">
        <v>159</v>
      </c>
      <c r="F35" s="38">
        <v>6.0999999999999999E-2</v>
      </c>
      <c r="G35" s="38" t="s">
        <v>160</v>
      </c>
      <c r="H35" s="38" t="s">
        <v>161</v>
      </c>
      <c r="I35" s="38" t="s">
        <v>162</v>
      </c>
      <c r="J35" s="38" t="s">
        <v>163</v>
      </c>
      <c r="K35" s="38" t="s">
        <v>9358</v>
      </c>
      <c r="W35" s="213">
        <v>35</v>
      </c>
      <c r="X35" s="214">
        <v>6</v>
      </c>
    </row>
    <row r="36" spans="1:24" x14ac:dyDescent="0.25">
      <c r="A36" s="35" t="s">
        <v>108</v>
      </c>
      <c r="B36" s="39" t="s">
        <v>164</v>
      </c>
      <c r="C36" s="35">
        <v>0</v>
      </c>
      <c r="D36" s="36" t="s">
        <v>165</v>
      </c>
      <c r="E36" s="36" t="s">
        <v>166</v>
      </c>
      <c r="F36" s="36">
        <v>0.23</v>
      </c>
      <c r="G36" s="36" t="s">
        <v>167</v>
      </c>
      <c r="H36" s="36" t="s">
        <v>168</v>
      </c>
      <c r="I36" s="36" t="s">
        <v>169</v>
      </c>
      <c r="J36" s="36" t="s">
        <v>170</v>
      </c>
      <c r="K36" s="36" t="s">
        <v>9359</v>
      </c>
      <c r="W36" s="213">
        <v>36</v>
      </c>
      <c r="X36" s="214">
        <v>6</v>
      </c>
    </row>
    <row r="37" spans="1:24" x14ac:dyDescent="0.25">
      <c r="A37" s="37" t="s">
        <v>108</v>
      </c>
      <c r="B37" s="38" t="s">
        <v>171</v>
      </c>
      <c r="C37" s="37">
        <v>0</v>
      </c>
      <c r="D37" s="38" t="s">
        <v>172</v>
      </c>
      <c r="E37" s="38" t="s">
        <v>166</v>
      </c>
      <c r="F37" s="38">
        <v>0.123</v>
      </c>
      <c r="G37" s="38" t="s">
        <v>173</v>
      </c>
      <c r="H37" s="38" t="s">
        <v>174</v>
      </c>
      <c r="I37" s="38" t="s">
        <v>175</v>
      </c>
      <c r="J37" s="38" t="s">
        <v>176</v>
      </c>
      <c r="K37" s="38" t="s">
        <v>9360</v>
      </c>
      <c r="W37" s="213">
        <v>37</v>
      </c>
      <c r="X37" s="214">
        <v>6</v>
      </c>
    </row>
    <row r="38" spans="1:24" x14ac:dyDescent="0.25">
      <c r="A38" s="35" t="s">
        <v>108</v>
      </c>
      <c r="B38" s="36" t="s">
        <v>177</v>
      </c>
      <c r="C38" s="35">
        <v>0</v>
      </c>
      <c r="D38" s="36" t="s">
        <v>178</v>
      </c>
      <c r="E38" s="36" t="s">
        <v>179</v>
      </c>
      <c r="F38" s="36">
        <v>0.127</v>
      </c>
      <c r="G38" s="36" t="s">
        <v>180</v>
      </c>
      <c r="H38" s="36" t="s">
        <v>181</v>
      </c>
      <c r="I38" s="36" t="s">
        <v>182</v>
      </c>
      <c r="J38" s="36" t="s">
        <v>183</v>
      </c>
      <c r="K38" s="36" t="s">
        <v>9361</v>
      </c>
      <c r="W38" s="213">
        <v>38</v>
      </c>
      <c r="X38" s="214">
        <v>6</v>
      </c>
    </row>
    <row r="39" spans="1:24" x14ac:dyDescent="0.25">
      <c r="A39" s="37" t="s">
        <v>108</v>
      </c>
      <c r="B39" s="38" t="s">
        <v>184</v>
      </c>
      <c r="C39" s="37">
        <v>0</v>
      </c>
      <c r="D39" s="38" t="s">
        <v>185</v>
      </c>
      <c r="E39" s="38" t="s">
        <v>186</v>
      </c>
      <c r="F39" s="38">
        <v>0.246</v>
      </c>
      <c r="G39" s="38" t="s">
        <v>187</v>
      </c>
      <c r="H39" s="38" t="s">
        <v>188</v>
      </c>
      <c r="I39" s="38" t="s">
        <v>189</v>
      </c>
      <c r="J39" s="38" t="s">
        <v>190</v>
      </c>
      <c r="K39" s="38" t="s">
        <v>9362</v>
      </c>
      <c r="W39" s="213">
        <v>39</v>
      </c>
      <c r="X39" s="214">
        <v>6</v>
      </c>
    </row>
    <row r="40" spans="1:24" x14ac:dyDescent="0.25">
      <c r="A40" s="35" t="s">
        <v>108</v>
      </c>
      <c r="B40" s="36" t="s">
        <v>191</v>
      </c>
      <c r="C40" s="35">
        <v>0</v>
      </c>
      <c r="D40" s="36" t="s">
        <v>99</v>
      </c>
      <c r="E40" s="36" t="s">
        <v>192</v>
      </c>
      <c r="F40" s="36">
        <v>0.14199999999999999</v>
      </c>
      <c r="G40" s="36" t="s">
        <v>193</v>
      </c>
      <c r="H40" s="36" t="s">
        <v>194</v>
      </c>
      <c r="I40" s="36" t="s">
        <v>195</v>
      </c>
      <c r="J40" s="36" t="s">
        <v>196</v>
      </c>
      <c r="K40" s="36" t="s">
        <v>9363</v>
      </c>
      <c r="W40" s="213">
        <v>40</v>
      </c>
      <c r="X40" s="214">
        <v>6</v>
      </c>
    </row>
    <row r="41" spans="1:24" x14ac:dyDescent="0.25">
      <c r="A41" s="37" t="s">
        <v>108</v>
      </c>
      <c r="B41" s="43" t="s">
        <v>197</v>
      </c>
      <c r="C41" s="37">
        <v>0</v>
      </c>
      <c r="D41" s="38" t="s">
        <v>198</v>
      </c>
      <c r="E41" s="38" t="s">
        <v>199</v>
      </c>
      <c r="F41" s="38">
        <v>0.20300000000000001</v>
      </c>
      <c r="G41" s="38" t="s">
        <v>200</v>
      </c>
      <c r="H41" s="38" t="s">
        <v>201</v>
      </c>
      <c r="I41" s="38" t="s">
        <v>202</v>
      </c>
      <c r="J41" s="38" t="s">
        <v>203</v>
      </c>
      <c r="K41" s="38" t="s">
        <v>9364</v>
      </c>
      <c r="W41" s="213">
        <v>41</v>
      </c>
      <c r="X41" s="214">
        <v>6</v>
      </c>
    </row>
    <row r="42" spans="1:24" x14ac:dyDescent="0.25">
      <c r="A42" s="35" t="s">
        <v>108</v>
      </c>
      <c r="B42" s="36" t="s">
        <v>204</v>
      </c>
      <c r="C42" s="35">
        <v>0</v>
      </c>
      <c r="D42" s="36" t="s">
        <v>205</v>
      </c>
      <c r="E42" s="36" t="s">
        <v>206</v>
      </c>
      <c r="F42" s="36">
        <v>8.2000000000000003E-2</v>
      </c>
      <c r="G42" s="36" t="s">
        <v>207</v>
      </c>
      <c r="H42" s="36" t="s">
        <v>208</v>
      </c>
      <c r="I42" s="36" t="s">
        <v>209</v>
      </c>
      <c r="J42" s="36" t="s">
        <v>210</v>
      </c>
      <c r="K42" s="36" t="s">
        <v>510</v>
      </c>
      <c r="W42" s="213">
        <v>42</v>
      </c>
      <c r="X42" s="214">
        <v>6</v>
      </c>
    </row>
    <row r="43" spans="1:24" x14ac:dyDescent="0.25">
      <c r="A43" s="37" t="s">
        <v>108</v>
      </c>
      <c r="B43" s="38" t="s">
        <v>211</v>
      </c>
      <c r="C43" s="37">
        <v>0</v>
      </c>
      <c r="D43" s="38" t="s">
        <v>212</v>
      </c>
      <c r="E43" s="38" t="s">
        <v>213</v>
      </c>
      <c r="F43" s="38">
        <v>0.16300000000000001</v>
      </c>
      <c r="G43" s="38" t="s">
        <v>214</v>
      </c>
      <c r="H43" s="38" t="s">
        <v>215</v>
      </c>
      <c r="I43" s="38" t="s">
        <v>216</v>
      </c>
      <c r="J43" s="38" t="s">
        <v>217</v>
      </c>
      <c r="K43" s="38" t="s">
        <v>9365</v>
      </c>
      <c r="W43" s="213">
        <v>43</v>
      </c>
      <c r="X43" s="214">
        <v>6</v>
      </c>
    </row>
    <row r="44" spans="1:24" x14ac:dyDescent="0.25">
      <c r="A44" s="35" t="s">
        <v>108</v>
      </c>
      <c r="B44" s="39" t="s">
        <v>218</v>
      </c>
      <c r="C44" s="35">
        <v>0</v>
      </c>
      <c r="D44" s="36" t="s">
        <v>219</v>
      </c>
      <c r="E44" s="36" t="s">
        <v>220</v>
      </c>
      <c r="F44" s="36">
        <v>0.159</v>
      </c>
      <c r="G44" s="36" t="s">
        <v>221</v>
      </c>
      <c r="H44" s="36" t="s">
        <v>222</v>
      </c>
      <c r="I44" s="36" t="s">
        <v>223</v>
      </c>
      <c r="J44" s="36" t="s">
        <v>224</v>
      </c>
      <c r="K44" s="36" t="s">
        <v>9366</v>
      </c>
      <c r="W44" s="213">
        <v>44</v>
      </c>
      <c r="X44" s="214">
        <v>6</v>
      </c>
    </row>
    <row r="45" spans="1:24" x14ac:dyDescent="0.25">
      <c r="A45" s="37" t="s">
        <v>108</v>
      </c>
      <c r="B45" s="38" t="s">
        <v>225</v>
      </c>
      <c r="C45" s="37">
        <v>0</v>
      </c>
      <c r="D45" s="38" t="s">
        <v>226</v>
      </c>
      <c r="E45" s="38" t="s">
        <v>227</v>
      </c>
      <c r="F45" s="38">
        <v>0.223</v>
      </c>
      <c r="G45" s="38" t="s">
        <v>228</v>
      </c>
      <c r="H45" s="38" t="s">
        <v>229</v>
      </c>
      <c r="I45" s="38" t="s">
        <v>230</v>
      </c>
      <c r="J45" s="38" t="s">
        <v>231</v>
      </c>
      <c r="K45" s="38" t="s">
        <v>9367</v>
      </c>
      <c r="W45" s="213">
        <v>45</v>
      </c>
      <c r="X45" s="214">
        <v>6</v>
      </c>
    </row>
    <row r="46" spans="1:24" x14ac:dyDescent="0.25">
      <c r="A46" s="35" t="s">
        <v>108</v>
      </c>
      <c r="B46" s="36" t="s">
        <v>233</v>
      </c>
      <c r="C46" s="35">
        <v>0</v>
      </c>
      <c r="D46" s="36" t="s">
        <v>144</v>
      </c>
      <c r="E46" s="36" t="s">
        <v>234</v>
      </c>
      <c r="F46" s="36">
        <v>9.9000000000000005E-2</v>
      </c>
      <c r="G46" s="36" t="s">
        <v>235</v>
      </c>
      <c r="H46" s="36" t="s">
        <v>236</v>
      </c>
      <c r="I46" s="36" t="s">
        <v>237</v>
      </c>
      <c r="J46" s="36" t="s">
        <v>238</v>
      </c>
      <c r="K46" s="36" t="s">
        <v>9368</v>
      </c>
      <c r="W46" s="213">
        <v>46</v>
      </c>
      <c r="X46" s="214">
        <v>6</v>
      </c>
    </row>
    <row r="47" spans="1:24" x14ac:dyDescent="0.25">
      <c r="A47" s="37" t="s">
        <v>108</v>
      </c>
      <c r="B47" s="38" t="s">
        <v>239</v>
      </c>
      <c r="C47" s="37">
        <v>0</v>
      </c>
      <c r="D47" s="38" t="s">
        <v>240</v>
      </c>
      <c r="E47" s="38" t="s">
        <v>241</v>
      </c>
      <c r="F47" s="38">
        <v>0.17199999999999999</v>
      </c>
      <c r="G47" s="38" t="s">
        <v>242</v>
      </c>
      <c r="H47" s="38" t="s">
        <v>243</v>
      </c>
      <c r="I47" s="38" t="s">
        <v>244</v>
      </c>
      <c r="J47" s="38" t="s">
        <v>245</v>
      </c>
      <c r="K47" s="38" t="s">
        <v>9369</v>
      </c>
      <c r="W47" s="213">
        <v>47</v>
      </c>
      <c r="X47" s="214">
        <v>6</v>
      </c>
    </row>
    <row r="48" spans="1:24" x14ac:dyDescent="0.25">
      <c r="A48" s="23" t="s">
        <v>17</v>
      </c>
      <c r="B48" s="24" t="s">
        <v>3476</v>
      </c>
      <c r="C48" s="23">
        <v>0</v>
      </c>
      <c r="D48" s="24" t="s">
        <v>649</v>
      </c>
      <c r="E48" s="24" t="s">
        <v>3477</v>
      </c>
      <c r="F48" s="24">
        <v>0.629</v>
      </c>
      <c r="G48" s="24" t="s">
        <v>3478</v>
      </c>
      <c r="H48" s="24" t="s">
        <v>3479</v>
      </c>
      <c r="I48" s="24" t="s">
        <v>3480</v>
      </c>
      <c r="J48" s="24" t="s">
        <v>3481</v>
      </c>
      <c r="K48" s="24" t="s">
        <v>9370</v>
      </c>
      <c r="W48" s="213">
        <v>48</v>
      </c>
      <c r="X48" s="214">
        <v>4</v>
      </c>
    </row>
    <row r="49" spans="1:24" x14ac:dyDescent="0.25">
      <c r="A49" s="37" t="s">
        <v>108</v>
      </c>
      <c r="B49" s="38" t="s">
        <v>246</v>
      </c>
      <c r="C49" s="37">
        <v>0</v>
      </c>
      <c r="D49" s="38" t="s">
        <v>247</v>
      </c>
      <c r="E49" s="38" t="s">
        <v>248</v>
      </c>
      <c r="F49" s="38">
        <v>0.184</v>
      </c>
      <c r="G49" s="38" t="s">
        <v>249</v>
      </c>
      <c r="H49" s="38" t="s">
        <v>250</v>
      </c>
      <c r="I49" s="38" t="s">
        <v>251</v>
      </c>
      <c r="J49" s="38" t="s">
        <v>252</v>
      </c>
      <c r="K49" s="38" t="s">
        <v>9371</v>
      </c>
      <c r="W49" s="213">
        <v>49</v>
      </c>
      <c r="X49" s="214">
        <v>6</v>
      </c>
    </row>
    <row r="50" spans="1:24" x14ac:dyDescent="0.25">
      <c r="A50" s="35" t="s">
        <v>108</v>
      </c>
      <c r="B50" s="36" t="s">
        <v>253</v>
      </c>
      <c r="C50" s="35">
        <v>0</v>
      </c>
      <c r="D50" s="36" t="s">
        <v>254</v>
      </c>
      <c r="E50" s="36" t="s">
        <v>255</v>
      </c>
      <c r="F50" s="36">
        <v>0.151</v>
      </c>
      <c r="G50" s="36" t="s">
        <v>256</v>
      </c>
      <c r="H50" s="36" t="s">
        <v>257</v>
      </c>
      <c r="I50" s="36" t="s">
        <v>258</v>
      </c>
      <c r="J50" s="36" t="s">
        <v>259</v>
      </c>
      <c r="K50" s="36" t="s">
        <v>9372</v>
      </c>
      <c r="W50" s="213">
        <v>50</v>
      </c>
      <c r="X50" s="214">
        <v>6</v>
      </c>
    </row>
    <row r="51" spans="1:24" x14ac:dyDescent="0.25">
      <c r="A51" s="37" t="s">
        <v>108</v>
      </c>
      <c r="B51" s="43" t="s">
        <v>260</v>
      </c>
      <c r="C51" s="37">
        <v>0</v>
      </c>
      <c r="D51" s="38" t="s">
        <v>261</v>
      </c>
      <c r="E51" s="38" t="s">
        <v>262</v>
      </c>
      <c r="F51" s="38">
        <v>7.3999999999999996E-2</v>
      </c>
      <c r="G51" s="38" t="s">
        <v>263</v>
      </c>
      <c r="H51" s="38" t="s">
        <v>264</v>
      </c>
      <c r="I51" s="38" t="s">
        <v>265</v>
      </c>
      <c r="J51" s="38" t="s">
        <v>266</v>
      </c>
      <c r="K51" s="38" t="s">
        <v>9373</v>
      </c>
      <c r="W51" s="213">
        <v>51</v>
      </c>
      <c r="X51" s="214">
        <v>6</v>
      </c>
    </row>
    <row r="52" spans="1:24" x14ac:dyDescent="0.25">
      <c r="A52" s="35" t="s">
        <v>108</v>
      </c>
      <c r="B52" s="36" t="s">
        <v>267</v>
      </c>
      <c r="C52" s="35">
        <v>0</v>
      </c>
      <c r="D52" s="36" t="s">
        <v>254</v>
      </c>
      <c r="E52" s="36" t="s">
        <v>268</v>
      </c>
      <c r="F52" s="36">
        <v>0.11700000000000001</v>
      </c>
      <c r="G52" s="36" t="s">
        <v>269</v>
      </c>
      <c r="H52" s="36" t="s">
        <v>270</v>
      </c>
      <c r="I52" s="36" t="s">
        <v>271</v>
      </c>
      <c r="J52" s="36" t="s">
        <v>272</v>
      </c>
      <c r="K52" s="36" t="s">
        <v>9374</v>
      </c>
      <c r="W52" s="213">
        <v>52</v>
      </c>
      <c r="X52" s="214">
        <v>6</v>
      </c>
    </row>
    <row r="53" spans="1:24" x14ac:dyDescent="0.25">
      <c r="A53" s="37" t="s">
        <v>108</v>
      </c>
      <c r="B53" s="38" t="s">
        <v>273</v>
      </c>
      <c r="C53" s="37">
        <v>0</v>
      </c>
      <c r="D53" s="38" t="s">
        <v>274</v>
      </c>
      <c r="E53" s="38" t="s">
        <v>275</v>
      </c>
      <c r="F53" s="38">
        <v>0.191</v>
      </c>
      <c r="G53" s="38" t="s">
        <v>276</v>
      </c>
      <c r="H53" s="38" t="s">
        <v>277</v>
      </c>
      <c r="I53" s="38" t="s">
        <v>278</v>
      </c>
      <c r="J53" s="38" t="s">
        <v>279</v>
      </c>
      <c r="K53" s="38" t="s">
        <v>9375</v>
      </c>
      <c r="W53" s="213">
        <v>53</v>
      </c>
      <c r="X53" s="214">
        <v>6</v>
      </c>
    </row>
    <row r="54" spans="1:24" x14ac:dyDescent="0.25">
      <c r="A54" s="35" t="s">
        <v>108</v>
      </c>
      <c r="B54" s="36" t="s">
        <v>280</v>
      </c>
      <c r="C54" s="35">
        <v>0</v>
      </c>
      <c r="D54" s="36" t="s">
        <v>122</v>
      </c>
      <c r="E54" s="36" t="s">
        <v>275</v>
      </c>
      <c r="F54" s="36">
        <v>0.187</v>
      </c>
      <c r="G54" s="36" t="s">
        <v>281</v>
      </c>
      <c r="H54" s="36" t="s">
        <v>282</v>
      </c>
      <c r="I54" s="36" t="s">
        <v>283</v>
      </c>
      <c r="J54" s="36" t="s">
        <v>284</v>
      </c>
      <c r="K54" s="36" t="s">
        <v>510</v>
      </c>
      <c r="W54" s="213">
        <v>54</v>
      </c>
      <c r="X54" s="214">
        <v>6</v>
      </c>
    </row>
    <row r="55" spans="1:24" x14ac:dyDescent="0.25">
      <c r="A55" s="37" t="s">
        <v>108</v>
      </c>
      <c r="B55" s="38" t="s">
        <v>285</v>
      </c>
      <c r="C55" s="37">
        <v>0</v>
      </c>
      <c r="D55" s="38" t="s">
        <v>286</v>
      </c>
      <c r="E55" s="38" t="s">
        <v>287</v>
      </c>
      <c r="F55" s="38">
        <v>7.2999999999999995E-2</v>
      </c>
      <c r="G55" s="38" t="s">
        <v>288</v>
      </c>
      <c r="H55" s="38" t="s">
        <v>289</v>
      </c>
      <c r="I55" s="38" t="s">
        <v>290</v>
      </c>
      <c r="J55" s="38" t="s">
        <v>291</v>
      </c>
      <c r="K55" s="38" t="s">
        <v>9376</v>
      </c>
      <c r="W55" s="213">
        <v>55</v>
      </c>
      <c r="X55" s="214">
        <v>6</v>
      </c>
    </row>
    <row r="56" spans="1:24" x14ac:dyDescent="0.25">
      <c r="A56" s="35" t="s">
        <v>108</v>
      </c>
      <c r="B56" s="39" t="s">
        <v>292</v>
      </c>
      <c r="C56" s="35">
        <v>0</v>
      </c>
      <c r="D56" s="36" t="s">
        <v>293</v>
      </c>
      <c r="E56" s="36" t="s">
        <v>294</v>
      </c>
      <c r="F56" s="36">
        <v>8.5000000000000006E-2</v>
      </c>
      <c r="G56" s="36" t="s">
        <v>295</v>
      </c>
      <c r="H56" s="36" t="s">
        <v>296</v>
      </c>
      <c r="I56" s="36" t="s">
        <v>297</v>
      </c>
      <c r="J56" s="36" t="s">
        <v>298</v>
      </c>
      <c r="K56" s="36" t="s">
        <v>9377</v>
      </c>
      <c r="W56" s="213">
        <v>56</v>
      </c>
      <c r="X56" s="214">
        <v>6</v>
      </c>
    </row>
    <row r="57" spans="1:24" x14ac:dyDescent="0.25">
      <c r="A57" s="37" t="s">
        <v>108</v>
      </c>
      <c r="B57" s="38" t="s">
        <v>311</v>
      </c>
      <c r="C57" s="37">
        <v>0</v>
      </c>
      <c r="D57" s="38" t="s">
        <v>312</v>
      </c>
      <c r="E57" s="38" t="s">
        <v>313</v>
      </c>
      <c r="F57" s="38">
        <v>0.16800000000000001</v>
      </c>
      <c r="G57" s="38" t="s">
        <v>314</v>
      </c>
      <c r="H57" s="38" t="s">
        <v>315</v>
      </c>
      <c r="I57" s="38" t="s">
        <v>316</v>
      </c>
      <c r="J57" s="38" t="s">
        <v>317</v>
      </c>
      <c r="K57" s="38" t="s">
        <v>9378</v>
      </c>
      <c r="W57" s="213">
        <v>57</v>
      </c>
      <c r="X57" s="214">
        <v>6</v>
      </c>
    </row>
    <row r="58" spans="1:24" x14ac:dyDescent="0.25">
      <c r="A58" s="35" t="s">
        <v>108</v>
      </c>
      <c r="B58" s="36" t="s">
        <v>299</v>
      </c>
      <c r="C58" s="35">
        <v>0</v>
      </c>
      <c r="D58" s="36" t="s">
        <v>274</v>
      </c>
      <c r="E58" s="36" t="s">
        <v>300</v>
      </c>
      <c r="F58" s="36">
        <v>0.24299999999999999</v>
      </c>
      <c r="G58" s="36" t="s">
        <v>301</v>
      </c>
      <c r="H58" s="36" t="s">
        <v>302</v>
      </c>
      <c r="I58" s="36" t="s">
        <v>303</v>
      </c>
      <c r="J58" s="36" t="s">
        <v>304</v>
      </c>
      <c r="K58" s="36" t="s">
        <v>9379</v>
      </c>
      <c r="W58" s="213">
        <v>58</v>
      </c>
      <c r="X58" s="214">
        <v>6</v>
      </c>
    </row>
    <row r="59" spans="1:24" x14ac:dyDescent="0.25">
      <c r="A59" s="37" t="s">
        <v>108</v>
      </c>
      <c r="B59" s="38" t="s">
        <v>305</v>
      </c>
      <c r="C59" s="37">
        <v>0</v>
      </c>
      <c r="D59" s="38" t="s">
        <v>254</v>
      </c>
      <c r="E59" s="38" t="s">
        <v>306</v>
      </c>
      <c r="F59" s="38">
        <v>0.105</v>
      </c>
      <c r="G59" s="38" t="s">
        <v>307</v>
      </c>
      <c r="H59" s="38" t="s">
        <v>308</v>
      </c>
      <c r="I59" s="38" t="s">
        <v>309</v>
      </c>
      <c r="J59" s="38" t="s">
        <v>310</v>
      </c>
      <c r="K59" s="38" t="s">
        <v>510</v>
      </c>
      <c r="W59" s="213">
        <v>59</v>
      </c>
      <c r="X59" s="214">
        <v>6</v>
      </c>
    </row>
    <row r="60" spans="1:24" x14ac:dyDescent="0.25">
      <c r="A60" s="35" t="s">
        <v>108</v>
      </c>
      <c r="B60" s="36" t="s">
        <v>318</v>
      </c>
      <c r="C60" s="35">
        <v>0</v>
      </c>
      <c r="D60" s="36" t="s">
        <v>319</v>
      </c>
      <c r="E60" s="36" t="s">
        <v>320</v>
      </c>
      <c r="F60" s="36">
        <v>0.10299999999999999</v>
      </c>
      <c r="G60" s="36" t="s">
        <v>321</v>
      </c>
      <c r="H60" s="36" t="s">
        <v>322</v>
      </c>
      <c r="I60" s="36" t="s">
        <v>323</v>
      </c>
      <c r="J60" s="36" t="s">
        <v>324</v>
      </c>
      <c r="K60" s="36" t="s">
        <v>9380</v>
      </c>
      <c r="W60" s="213">
        <v>60</v>
      </c>
      <c r="X60" s="214">
        <v>6</v>
      </c>
    </row>
    <row r="61" spans="1:24" x14ac:dyDescent="0.25">
      <c r="A61" s="37" t="s">
        <v>108</v>
      </c>
      <c r="B61" s="38" t="s">
        <v>325</v>
      </c>
      <c r="C61" s="37">
        <v>0</v>
      </c>
      <c r="D61" s="38" t="s">
        <v>326</v>
      </c>
      <c r="E61" s="38" t="s">
        <v>327</v>
      </c>
      <c r="F61" s="38">
        <v>0.23799999999999999</v>
      </c>
      <c r="G61" s="38" t="s">
        <v>328</v>
      </c>
      <c r="H61" s="38" t="s">
        <v>329</v>
      </c>
      <c r="I61" s="38" t="s">
        <v>330</v>
      </c>
      <c r="J61" s="38" t="s">
        <v>331</v>
      </c>
      <c r="K61" s="38" t="s">
        <v>9381</v>
      </c>
      <c r="W61" s="213">
        <v>61</v>
      </c>
      <c r="X61" s="214">
        <v>6</v>
      </c>
    </row>
    <row r="62" spans="1:24" x14ac:dyDescent="0.25">
      <c r="A62" s="35" t="s">
        <v>108</v>
      </c>
      <c r="B62" s="36" t="s">
        <v>332</v>
      </c>
      <c r="C62" s="35">
        <v>0</v>
      </c>
      <c r="D62" s="36" t="s">
        <v>274</v>
      </c>
      <c r="E62" s="36" t="s">
        <v>333</v>
      </c>
      <c r="F62" s="36">
        <v>0.313</v>
      </c>
      <c r="G62" s="36" t="s">
        <v>334</v>
      </c>
      <c r="H62" s="36" t="s">
        <v>335</v>
      </c>
      <c r="I62" s="36" t="s">
        <v>336</v>
      </c>
      <c r="J62" s="36" t="s">
        <v>337</v>
      </c>
      <c r="K62" s="36" t="s">
        <v>9382</v>
      </c>
      <c r="W62" s="213">
        <v>62</v>
      </c>
      <c r="X62" s="214">
        <v>6</v>
      </c>
    </row>
    <row r="63" spans="1:24" x14ac:dyDescent="0.25">
      <c r="A63" s="37" t="s">
        <v>108</v>
      </c>
      <c r="B63" s="38" t="s">
        <v>338</v>
      </c>
      <c r="C63" s="37">
        <v>0</v>
      </c>
      <c r="D63" s="38" t="s">
        <v>339</v>
      </c>
      <c r="E63" s="38" t="s">
        <v>333</v>
      </c>
      <c r="F63" s="38">
        <v>0.251</v>
      </c>
      <c r="G63" s="38" t="s">
        <v>340</v>
      </c>
      <c r="H63" s="38" t="s">
        <v>341</v>
      </c>
      <c r="I63" s="38" t="s">
        <v>342</v>
      </c>
      <c r="J63" s="38" t="s">
        <v>343</v>
      </c>
      <c r="K63" s="38" t="s">
        <v>9383</v>
      </c>
      <c r="W63" s="213">
        <v>63</v>
      </c>
      <c r="X63" s="214">
        <v>6</v>
      </c>
    </row>
    <row r="64" spans="1:24" x14ac:dyDescent="0.25">
      <c r="A64" s="35" t="s">
        <v>108</v>
      </c>
      <c r="B64" s="36" t="s">
        <v>344</v>
      </c>
      <c r="C64" s="35">
        <v>0</v>
      </c>
      <c r="D64" s="36" t="s">
        <v>345</v>
      </c>
      <c r="E64" s="36" t="s">
        <v>346</v>
      </c>
      <c r="F64" s="36">
        <v>0.182</v>
      </c>
      <c r="G64" s="36" t="s">
        <v>347</v>
      </c>
      <c r="H64" s="36" t="s">
        <v>348</v>
      </c>
      <c r="I64" s="36" t="s">
        <v>349</v>
      </c>
      <c r="J64" s="36" t="s">
        <v>350</v>
      </c>
      <c r="K64" s="36" t="s">
        <v>9384</v>
      </c>
      <c r="W64" s="213">
        <v>64</v>
      </c>
      <c r="X64" s="214">
        <v>6</v>
      </c>
    </row>
    <row r="65" spans="1:24" x14ac:dyDescent="0.25">
      <c r="A65" s="37" t="s">
        <v>108</v>
      </c>
      <c r="B65" s="38" t="s">
        <v>351</v>
      </c>
      <c r="C65" s="37">
        <v>0</v>
      </c>
      <c r="D65" s="38" t="s">
        <v>352</v>
      </c>
      <c r="E65" s="38" t="s">
        <v>353</v>
      </c>
      <c r="F65" s="38">
        <v>0.23799999999999999</v>
      </c>
      <c r="G65" s="38" t="s">
        <v>354</v>
      </c>
      <c r="H65" s="38" t="s">
        <v>355</v>
      </c>
      <c r="I65" s="38" t="s">
        <v>356</v>
      </c>
      <c r="J65" s="38" t="s">
        <v>357</v>
      </c>
      <c r="K65" s="38" t="s">
        <v>9385</v>
      </c>
      <c r="W65" s="213">
        <v>65</v>
      </c>
      <c r="X65" s="214">
        <v>6</v>
      </c>
    </row>
    <row r="66" spans="1:24" x14ac:dyDescent="0.25">
      <c r="A66" s="35" t="s">
        <v>108</v>
      </c>
      <c r="B66" s="36" t="s">
        <v>358</v>
      </c>
      <c r="C66" s="35">
        <v>0</v>
      </c>
      <c r="D66" s="36" t="s">
        <v>240</v>
      </c>
      <c r="E66" s="36" t="s">
        <v>359</v>
      </c>
      <c r="F66" s="36">
        <v>0.20699999999999999</v>
      </c>
      <c r="G66" s="36" t="s">
        <v>360</v>
      </c>
      <c r="H66" s="36" t="s">
        <v>361</v>
      </c>
      <c r="I66" s="36" t="s">
        <v>362</v>
      </c>
      <c r="J66" s="36" t="s">
        <v>363</v>
      </c>
      <c r="K66" s="36" t="s">
        <v>9386</v>
      </c>
      <c r="W66" s="213">
        <v>66</v>
      </c>
      <c r="X66" s="214">
        <v>6</v>
      </c>
    </row>
    <row r="67" spans="1:24" x14ac:dyDescent="0.25">
      <c r="A67" s="37" t="s">
        <v>108</v>
      </c>
      <c r="B67" s="38" t="s">
        <v>364</v>
      </c>
      <c r="C67" s="37">
        <v>0</v>
      </c>
      <c r="D67" s="38" t="s">
        <v>365</v>
      </c>
      <c r="E67" s="38" t="s">
        <v>366</v>
      </c>
      <c r="F67" s="38">
        <v>0.23300000000000001</v>
      </c>
      <c r="G67" s="38" t="s">
        <v>367</v>
      </c>
      <c r="H67" s="38" t="s">
        <v>368</v>
      </c>
      <c r="I67" s="38" t="s">
        <v>369</v>
      </c>
      <c r="J67" s="38" t="s">
        <v>370</v>
      </c>
      <c r="K67" s="38" t="s">
        <v>9387</v>
      </c>
      <c r="W67" s="213">
        <v>67</v>
      </c>
      <c r="X67" s="214">
        <v>6</v>
      </c>
    </row>
    <row r="68" spans="1:24" x14ac:dyDescent="0.25">
      <c r="A68" s="35" t="s">
        <v>108</v>
      </c>
      <c r="B68" s="36" t="s">
        <v>371</v>
      </c>
      <c r="C68" s="35">
        <v>0</v>
      </c>
      <c r="D68" s="36" t="s">
        <v>185</v>
      </c>
      <c r="E68" s="36" t="s">
        <v>372</v>
      </c>
      <c r="F68" s="36">
        <v>0.34599999999999997</v>
      </c>
      <c r="G68" s="36" t="s">
        <v>373</v>
      </c>
      <c r="H68" s="36" t="s">
        <v>374</v>
      </c>
      <c r="I68" s="36" t="s">
        <v>375</v>
      </c>
      <c r="J68" s="36" t="s">
        <v>376</v>
      </c>
      <c r="K68" s="36" t="s">
        <v>9388</v>
      </c>
      <c r="W68" s="213">
        <v>68</v>
      </c>
      <c r="X68" s="214">
        <v>6</v>
      </c>
    </row>
    <row r="69" spans="1:24" x14ac:dyDescent="0.25">
      <c r="A69" s="37" t="s">
        <v>108</v>
      </c>
      <c r="B69" s="38" t="s">
        <v>377</v>
      </c>
      <c r="C69" s="37">
        <v>0</v>
      </c>
      <c r="D69" s="38" t="s">
        <v>365</v>
      </c>
      <c r="E69" s="38" t="s">
        <v>378</v>
      </c>
      <c r="F69" s="38">
        <v>0.17599999999999999</v>
      </c>
      <c r="G69" s="38" t="s">
        <v>379</v>
      </c>
      <c r="H69" s="38" t="s">
        <v>380</v>
      </c>
      <c r="I69" s="38" t="s">
        <v>381</v>
      </c>
      <c r="J69" s="38" t="s">
        <v>382</v>
      </c>
      <c r="K69" s="38" t="s">
        <v>9389</v>
      </c>
      <c r="W69" s="213">
        <v>69</v>
      </c>
      <c r="X69" s="214">
        <v>6</v>
      </c>
    </row>
    <row r="70" spans="1:24" x14ac:dyDescent="0.25">
      <c r="A70" s="35" t="s">
        <v>108</v>
      </c>
      <c r="B70" s="39" t="s">
        <v>383</v>
      </c>
      <c r="C70" s="35">
        <v>0</v>
      </c>
      <c r="D70" s="36" t="s">
        <v>384</v>
      </c>
      <c r="E70" s="36" t="s">
        <v>385</v>
      </c>
      <c r="F70" s="36">
        <v>0.186</v>
      </c>
      <c r="G70" s="36" t="s">
        <v>386</v>
      </c>
      <c r="H70" s="36" t="s">
        <v>387</v>
      </c>
      <c r="I70" s="36" t="s">
        <v>388</v>
      </c>
      <c r="J70" s="36" t="s">
        <v>389</v>
      </c>
      <c r="K70" s="36" t="s">
        <v>9390</v>
      </c>
      <c r="W70" s="213">
        <v>70</v>
      </c>
      <c r="X70" s="214">
        <v>6</v>
      </c>
    </row>
    <row r="71" spans="1:24" x14ac:dyDescent="0.25">
      <c r="A71" s="37" t="s">
        <v>108</v>
      </c>
      <c r="B71" s="38" t="s">
        <v>390</v>
      </c>
      <c r="C71" s="37">
        <v>0</v>
      </c>
      <c r="D71" s="38" t="s">
        <v>391</v>
      </c>
      <c r="E71" s="38" t="s">
        <v>392</v>
      </c>
      <c r="F71" s="38">
        <v>0.26500000000000001</v>
      </c>
      <c r="G71" s="38" t="s">
        <v>393</v>
      </c>
      <c r="H71" s="38" t="s">
        <v>394</v>
      </c>
      <c r="I71" s="38" t="s">
        <v>395</v>
      </c>
      <c r="J71" s="38" t="s">
        <v>396</v>
      </c>
      <c r="K71" s="38" t="s">
        <v>9391</v>
      </c>
      <c r="W71" s="213">
        <v>71</v>
      </c>
      <c r="X71" s="214">
        <v>6</v>
      </c>
    </row>
    <row r="72" spans="1:24" x14ac:dyDescent="0.25">
      <c r="A72" s="35" t="s">
        <v>108</v>
      </c>
      <c r="B72" s="36" t="s">
        <v>397</v>
      </c>
      <c r="C72" s="35">
        <v>0</v>
      </c>
      <c r="D72" s="36" t="s">
        <v>129</v>
      </c>
      <c r="E72" s="36" t="s">
        <v>398</v>
      </c>
      <c r="F72" s="36">
        <v>7.2999999999999995E-2</v>
      </c>
      <c r="G72" s="36" t="s">
        <v>399</v>
      </c>
      <c r="H72" s="36" t="s">
        <v>400</v>
      </c>
      <c r="I72" s="36" t="s">
        <v>401</v>
      </c>
      <c r="J72" s="36" t="s">
        <v>402</v>
      </c>
      <c r="K72" s="36" t="s">
        <v>510</v>
      </c>
      <c r="W72" s="213">
        <v>72</v>
      </c>
      <c r="X72" s="214">
        <v>6</v>
      </c>
    </row>
    <row r="73" spans="1:24" x14ac:dyDescent="0.25">
      <c r="A73" s="37" t="s">
        <v>108</v>
      </c>
      <c r="B73" s="38" t="s">
        <v>403</v>
      </c>
      <c r="C73" s="37">
        <v>0</v>
      </c>
      <c r="D73" s="38" t="s">
        <v>404</v>
      </c>
      <c r="E73" s="38" t="s">
        <v>405</v>
      </c>
      <c r="F73" s="38">
        <v>0.19400000000000001</v>
      </c>
      <c r="G73" s="38" t="s">
        <v>406</v>
      </c>
      <c r="H73" s="38" t="s">
        <v>407</v>
      </c>
      <c r="I73" s="38" t="s">
        <v>408</v>
      </c>
      <c r="J73" s="38" t="s">
        <v>409</v>
      </c>
      <c r="K73" s="38" t="s">
        <v>9392</v>
      </c>
      <c r="W73" s="213">
        <v>73</v>
      </c>
      <c r="X73" s="214">
        <v>6</v>
      </c>
    </row>
    <row r="74" spans="1:24" x14ac:dyDescent="0.25">
      <c r="A74" s="35" t="s">
        <v>108</v>
      </c>
      <c r="B74" s="36" t="s">
        <v>410</v>
      </c>
      <c r="C74" s="35">
        <v>0</v>
      </c>
      <c r="D74" s="36" t="s">
        <v>247</v>
      </c>
      <c r="E74" s="36" t="s">
        <v>411</v>
      </c>
      <c r="F74" s="36">
        <v>0.23400000000000001</v>
      </c>
      <c r="G74" s="36" t="s">
        <v>412</v>
      </c>
      <c r="H74" s="36" t="s">
        <v>413</v>
      </c>
      <c r="I74" s="36" t="s">
        <v>414</v>
      </c>
      <c r="J74" s="36" t="s">
        <v>415</v>
      </c>
      <c r="K74" s="36" t="s">
        <v>9393</v>
      </c>
      <c r="W74" s="213">
        <v>74</v>
      </c>
      <c r="X74" s="214">
        <v>6</v>
      </c>
    </row>
    <row r="75" spans="1:24" x14ac:dyDescent="0.25">
      <c r="A75" s="37" t="s">
        <v>108</v>
      </c>
      <c r="B75" s="38" t="s">
        <v>416</v>
      </c>
      <c r="C75" s="37">
        <v>0</v>
      </c>
      <c r="D75" s="38" t="s">
        <v>226</v>
      </c>
      <c r="E75" s="38" t="s">
        <v>417</v>
      </c>
      <c r="F75" s="38">
        <v>0.1</v>
      </c>
      <c r="G75" s="38" t="s">
        <v>418</v>
      </c>
      <c r="H75" s="38" t="s">
        <v>419</v>
      </c>
      <c r="I75" s="38" t="s">
        <v>420</v>
      </c>
      <c r="J75" s="38" t="s">
        <v>421</v>
      </c>
      <c r="K75" s="38" t="s">
        <v>510</v>
      </c>
      <c r="W75" s="213">
        <v>75</v>
      </c>
      <c r="X75" s="214">
        <v>6</v>
      </c>
    </row>
    <row r="76" spans="1:24" x14ac:dyDescent="0.25">
      <c r="A76" s="23" t="s">
        <v>17</v>
      </c>
      <c r="B76" s="24" t="s">
        <v>3229</v>
      </c>
      <c r="C76" s="23">
        <v>0</v>
      </c>
      <c r="D76" s="24" t="s">
        <v>1673</v>
      </c>
      <c r="E76" s="24" t="s">
        <v>3230</v>
      </c>
      <c r="F76" s="24">
        <v>0.53400000000000003</v>
      </c>
      <c r="G76" s="24" t="s">
        <v>3231</v>
      </c>
      <c r="H76" s="24" t="s">
        <v>3232</v>
      </c>
      <c r="I76" s="24" t="s">
        <v>3233</v>
      </c>
      <c r="J76" s="24" t="s">
        <v>3234</v>
      </c>
      <c r="K76" s="24" t="s">
        <v>510</v>
      </c>
      <c r="W76" s="213">
        <v>76</v>
      </c>
      <c r="X76" s="214">
        <v>4</v>
      </c>
    </row>
    <row r="77" spans="1:24" x14ac:dyDescent="0.25">
      <c r="A77" s="37" t="s">
        <v>108</v>
      </c>
      <c r="B77" s="38" t="s">
        <v>422</v>
      </c>
      <c r="C77" s="37">
        <v>0</v>
      </c>
      <c r="D77" s="38" t="s">
        <v>423</v>
      </c>
      <c r="E77" s="38" t="s">
        <v>424</v>
      </c>
      <c r="F77" s="38">
        <v>0.215</v>
      </c>
      <c r="G77" s="38" t="s">
        <v>425</v>
      </c>
      <c r="H77" s="38" t="s">
        <v>426</v>
      </c>
      <c r="I77" s="38" t="s">
        <v>427</v>
      </c>
      <c r="J77" s="38" t="s">
        <v>428</v>
      </c>
      <c r="K77" s="38" t="s">
        <v>9394</v>
      </c>
      <c r="W77" s="213">
        <v>77</v>
      </c>
      <c r="X77" s="214">
        <v>6</v>
      </c>
    </row>
    <row r="78" spans="1:24" x14ac:dyDescent="0.25">
      <c r="A78" s="39" t="s">
        <v>429</v>
      </c>
      <c r="B78" s="39" t="s">
        <v>430</v>
      </c>
      <c r="C78" s="35">
        <v>0</v>
      </c>
      <c r="D78" s="36" t="s">
        <v>431</v>
      </c>
      <c r="E78" s="36" t="s">
        <v>432</v>
      </c>
      <c r="F78" s="36">
        <v>0.25600000000000001</v>
      </c>
      <c r="G78" s="36" t="s">
        <v>433</v>
      </c>
      <c r="H78" s="36" t="s">
        <v>434</v>
      </c>
      <c r="I78" s="36" t="s">
        <v>435</v>
      </c>
      <c r="J78" s="36" t="s">
        <v>436</v>
      </c>
      <c r="K78" s="36" t="s">
        <v>9395</v>
      </c>
      <c r="W78" s="213">
        <v>78</v>
      </c>
      <c r="X78" s="214">
        <v>6</v>
      </c>
    </row>
    <row r="79" spans="1:24" x14ac:dyDescent="0.25">
      <c r="A79" s="37" t="s">
        <v>108</v>
      </c>
      <c r="B79" s="38" t="s">
        <v>437</v>
      </c>
      <c r="C79" s="37">
        <v>0</v>
      </c>
      <c r="D79" s="38" t="s">
        <v>205</v>
      </c>
      <c r="E79" s="38" t="s">
        <v>438</v>
      </c>
      <c r="F79" s="38">
        <v>0.255</v>
      </c>
      <c r="G79" s="38" t="s">
        <v>439</v>
      </c>
      <c r="H79" s="38" t="s">
        <v>440</v>
      </c>
      <c r="I79" s="38" t="s">
        <v>441</v>
      </c>
      <c r="J79" s="38" t="s">
        <v>442</v>
      </c>
      <c r="K79" s="38" t="s">
        <v>9396</v>
      </c>
      <c r="W79" s="213">
        <v>79</v>
      </c>
      <c r="X79" s="214">
        <v>6</v>
      </c>
    </row>
    <row r="80" spans="1:24" x14ac:dyDescent="0.25">
      <c r="A80" s="35" t="s">
        <v>108</v>
      </c>
      <c r="B80" s="36" t="s">
        <v>443</v>
      </c>
      <c r="C80" s="35">
        <v>0</v>
      </c>
      <c r="D80" s="36" t="s">
        <v>319</v>
      </c>
      <c r="E80" s="36" t="s">
        <v>444</v>
      </c>
      <c r="F80" s="36">
        <v>0.14399999999999999</v>
      </c>
      <c r="G80" s="36" t="s">
        <v>445</v>
      </c>
      <c r="H80" s="36" t="s">
        <v>446</v>
      </c>
      <c r="I80" s="36" t="s">
        <v>447</v>
      </c>
      <c r="J80" s="36" t="s">
        <v>448</v>
      </c>
      <c r="K80" s="36" t="s">
        <v>9397</v>
      </c>
      <c r="W80" s="213">
        <v>80</v>
      </c>
      <c r="X80" s="214">
        <v>6</v>
      </c>
    </row>
    <row r="81" spans="1:24" x14ac:dyDescent="0.25">
      <c r="A81" s="37" t="s">
        <v>108</v>
      </c>
      <c r="B81" s="43" t="s">
        <v>449</v>
      </c>
      <c r="C81" s="37">
        <v>0</v>
      </c>
      <c r="D81" s="38" t="s">
        <v>450</v>
      </c>
      <c r="E81" s="38" t="s">
        <v>451</v>
      </c>
      <c r="F81" s="38">
        <v>0.34</v>
      </c>
      <c r="G81" s="38" t="s">
        <v>452</v>
      </c>
      <c r="H81" s="38" t="s">
        <v>453</v>
      </c>
      <c r="I81" s="38" t="s">
        <v>454</v>
      </c>
      <c r="J81" s="38" t="s">
        <v>455</v>
      </c>
      <c r="K81" s="38" t="s">
        <v>9398</v>
      </c>
      <c r="W81" s="213">
        <v>81</v>
      </c>
      <c r="X81" s="214">
        <v>6</v>
      </c>
    </row>
    <row r="82" spans="1:24" x14ac:dyDescent="0.25">
      <c r="A82" s="35" t="s">
        <v>108</v>
      </c>
      <c r="B82" s="36" t="s">
        <v>456</v>
      </c>
      <c r="C82" s="35">
        <v>0</v>
      </c>
      <c r="D82" s="36" t="s">
        <v>129</v>
      </c>
      <c r="E82" s="36" t="s">
        <v>457</v>
      </c>
      <c r="F82" s="36">
        <v>0.246</v>
      </c>
      <c r="G82" s="36" t="s">
        <v>458</v>
      </c>
      <c r="H82" s="36" t="s">
        <v>459</v>
      </c>
      <c r="I82" s="36" t="s">
        <v>460</v>
      </c>
      <c r="J82" s="36" t="s">
        <v>461</v>
      </c>
      <c r="K82" s="36" t="s">
        <v>510</v>
      </c>
      <c r="W82" s="213">
        <v>82</v>
      </c>
      <c r="X82" s="214">
        <v>6</v>
      </c>
    </row>
    <row r="83" spans="1:24" x14ac:dyDescent="0.25">
      <c r="A83" s="37" t="s">
        <v>108</v>
      </c>
      <c r="B83" s="38" t="s">
        <v>462</v>
      </c>
      <c r="C83" s="37">
        <v>0</v>
      </c>
      <c r="D83" s="38" t="s">
        <v>326</v>
      </c>
      <c r="E83" s="38" t="s">
        <v>463</v>
      </c>
      <c r="F83" s="38">
        <v>0.105</v>
      </c>
      <c r="G83" s="38" t="s">
        <v>464</v>
      </c>
      <c r="H83" s="38" t="s">
        <v>465</v>
      </c>
      <c r="I83" s="38" t="s">
        <v>466</v>
      </c>
      <c r="J83" s="38" t="s">
        <v>467</v>
      </c>
      <c r="K83" s="38" t="s">
        <v>9399</v>
      </c>
      <c r="W83" s="213">
        <v>83</v>
      </c>
      <c r="X83" s="214">
        <v>6</v>
      </c>
    </row>
    <row r="84" spans="1:24" x14ac:dyDescent="0.25">
      <c r="A84" s="35" t="s">
        <v>108</v>
      </c>
      <c r="B84" s="36" t="s">
        <v>468</v>
      </c>
      <c r="C84" s="35">
        <v>0</v>
      </c>
      <c r="D84" s="36" t="s">
        <v>469</v>
      </c>
      <c r="E84" s="36" t="s">
        <v>470</v>
      </c>
      <c r="F84" s="36">
        <v>0.186</v>
      </c>
      <c r="G84" s="36" t="s">
        <v>471</v>
      </c>
      <c r="H84" s="36" t="s">
        <v>472</v>
      </c>
      <c r="I84" s="36" t="s">
        <v>473</v>
      </c>
      <c r="J84" s="36" t="s">
        <v>474</v>
      </c>
      <c r="K84" s="36" t="s">
        <v>9400</v>
      </c>
      <c r="W84" s="213">
        <v>84</v>
      </c>
      <c r="X84" s="214">
        <v>6</v>
      </c>
    </row>
    <row r="85" spans="1:24" x14ac:dyDescent="0.25">
      <c r="A85" s="37" t="s">
        <v>108</v>
      </c>
      <c r="B85" s="38" t="s">
        <v>475</v>
      </c>
      <c r="C85" s="37">
        <v>0</v>
      </c>
      <c r="D85" s="38" t="s">
        <v>178</v>
      </c>
      <c r="E85" s="38" t="s">
        <v>476</v>
      </c>
      <c r="F85" s="38">
        <v>4.2999999999999997E-2</v>
      </c>
      <c r="G85" s="38" t="s">
        <v>477</v>
      </c>
      <c r="H85" s="38" t="s">
        <v>478</v>
      </c>
      <c r="I85" s="38" t="s">
        <v>479</v>
      </c>
      <c r="J85" s="38" t="s">
        <v>480</v>
      </c>
      <c r="K85" s="38" t="s">
        <v>9401</v>
      </c>
      <c r="W85" s="213">
        <v>85</v>
      </c>
      <c r="X85" s="214">
        <v>6</v>
      </c>
    </row>
    <row r="86" spans="1:24" x14ac:dyDescent="0.25">
      <c r="A86" s="35" t="s">
        <v>108</v>
      </c>
      <c r="B86" s="36" t="s">
        <v>481</v>
      </c>
      <c r="C86" s="35">
        <v>0</v>
      </c>
      <c r="D86" s="36" t="s">
        <v>482</v>
      </c>
      <c r="E86" s="36" t="s">
        <v>483</v>
      </c>
      <c r="F86" s="36">
        <v>0.19600000000000001</v>
      </c>
      <c r="G86" s="36" t="s">
        <v>484</v>
      </c>
      <c r="H86" s="36" t="s">
        <v>485</v>
      </c>
      <c r="I86" s="36" t="s">
        <v>486</v>
      </c>
      <c r="J86" s="36" t="s">
        <v>487</v>
      </c>
      <c r="K86" s="36" t="s">
        <v>9402</v>
      </c>
      <c r="W86" s="213">
        <v>86</v>
      </c>
      <c r="X86" s="214">
        <v>6</v>
      </c>
    </row>
    <row r="87" spans="1:24" x14ac:dyDescent="0.25">
      <c r="A87" s="37" t="s">
        <v>108</v>
      </c>
      <c r="B87" s="38" t="s">
        <v>488</v>
      </c>
      <c r="C87" s="37">
        <v>0</v>
      </c>
      <c r="D87" s="38" t="s">
        <v>352</v>
      </c>
      <c r="E87" s="38" t="s">
        <v>489</v>
      </c>
      <c r="F87" s="38">
        <v>0.11700000000000001</v>
      </c>
      <c r="G87" s="38" t="s">
        <v>490</v>
      </c>
      <c r="H87" s="38" t="s">
        <v>491</v>
      </c>
      <c r="I87" s="38" t="s">
        <v>492</v>
      </c>
      <c r="J87" s="38" t="s">
        <v>493</v>
      </c>
      <c r="K87" s="38" t="s">
        <v>9391</v>
      </c>
      <c r="W87" s="213">
        <v>87</v>
      </c>
      <c r="X87" s="214">
        <v>6</v>
      </c>
    </row>
    <row r="88" spans="1:24" x14ac:dyDescent="0.25">
      <c r="A88" s="35" t="s">
        <v>108</v>
      </c>
      <c r="B88" s="36" t="s">
        <v>494</v>
      </c>
      <c r="C88" s="35">
        <v>0</v>
      </c>
      <c r="D88" s="36" t="s">
        <v>495</v>
      </c>
      <c r="E88" s="36" t="s">
        <v>496</v>
      </c>
      <c r="F88" s="36">
        <v>6.7000000000000004E-2</v>
      </c>
      <c r="G88" s="36" t="s">
        <v>497</v>
      </c>
      <c r="H88" s="36" t="s">
        <v>498</v>
      </c>
      <c r="I88" s="36" t="s">
        <v>499</v>
      </c>
      <c r="J88" s="36" t="s">
        <v>500</v>
      </c>
      <c r="K88" s="36" t="s">
        <v>9403</v>
      </c>
      <c r="W88" s="213">
        <v>88</v>
      </c>
      <c r="X88" s="214">
        <v>6</v>
      </c>
    </row>
    <row r="89" spans="1:24" x14ac:dyDescent="0.25">
      <c r="A89" s="37" t="s">
        <v>108</v>
      </c>
      <c r="B89" s="38" t="s">
        <v>501</v>
      </c>
      <c r="C89" s="37">
        <v>2</v>
      </c>
      <c r="D89" s="38" t="s">
        <v>502</v>
      </c>
      <c r="E89" s="38" t="s">
        <v>503</v>
      </c>
      <c r="F89" s="38">
        <v>8.2000000000000003E-2</v>
      </c>
      <c r="G89" s="38" t="s">
        <v>504</v>
      </c>
      <c r="H89" s="38" t="s">
        <v>505</v>
      </c>
      <c r="I89" s="38" t="s">
        <v>506</v>
      </c>
      <c r="J89" s="38" t="s">
        <v>507</v>
      </c>
      <c r="K89" s="38" t="s">
        <v>9404</v>
      </c>
      <c r="W89" s="213">
        <v>89</v>
      </c>
      <c r="X89" s="214">
        <v>6</v>
      </c>
    </row>
    <row r="90" spans="1:24" x14ac:dyDescent="0.25">
      <c r="A90" s="36" t="s">
        <v>0</v>
      </c>
      <c r="B90" s="35" t="s">
        <v>32</v>
      </c>
      <c r="C90" s="135" t="s">
        <v>508</v>
      </c>
      <c r="D90" s="36" t="s">
        <v>50</v>
      </c>
      <c r="E90" s="36" t="s">
        <v>509</v>
      </c>
      <c r="F90" s="36" t="s">
        <v>510</v>
      </c>
      <c r="G90" s="36" t="s">
        <v>510</v>
      </c>
      <c r="H90" s="40"/>
      <c r="I90" s="40"/>
      <c r="J90" s="40"/>
      <c r="K90" s="36" t="s">
        <v>510</v>
      </c>
      <c r="W90" s="213">
        <v>90</v>
      </c>
      <c r="X90" s="214">
        <v>6</v>
      </c>
    </row>
    <row r="91" spans="1:24" x14ac:dyDescent="0.25">
      <c r="A91" s="38" t="s">
        <v>0</v>
      </c>
      <c r="B91" s="37" t="s">
        <v>32</v>
      </c>
      <c r="C91" s="38" t="s">
        <v>511</v>
      </c>
      <c r="D91" s="38" t="s">
        <v>512</v>
      </c>
      <c r="E91" s="38" t="s">
        <v>513</v>
      </c>
      <c r="F91" s="38">
        <v>0.01</v>
      </c>
      <c r="G91" s="38" t="s">
        <v>510</v>
      </c>
      <c r="H91" s="42"/>
      <c r="I91" s="42"/>
      <c r="J91" s="42"/>
      <c r="K91" s="38" t="s">
        <v>510</v>
      </c>
      <c r="W91" s="213">
        <v>91</v>
      </c>
      <c r="X91" s="214">
        <v>6</v>
      </c>
    </row>
    <row r="92" spans="1:24" x14ac:dyDescent="0.25">
      <c r="A92" s="35" t="s">
        <v>108</v>
      </c>
      <c r="B92" s="36" t="s">
        <v>514</v>
      </c>
      <c r="C92" s="35">
        <v>0</v>
      </c>
      <c r="D92" s="36" t="s">
        <v>515</v>
      </c>
      <c r="E92" s="36" t="s">
        <v>516</v>
      </c>
      <c r="F92" s="36">
        <v>0.24199999999999999</v>
      </c>
      <c r="G92" s="36" t="s">
        <v>517</v>
      </c>
      <c r="H92" s="36" t="s">
        <v>518</v>
      </c>
      <c r="I92" s="36" t="s">
        <v>519</v>
      </c>
      <c r="J92" s="36" t="s">
        <v>520</v>
      </c>
      <c r="K92" s="36" t="s">
        <v>9405</v>
      </c>
      <c r="W92" s="213">
        <v>92</v>
      </c>
      <c r="X92" s="214">
        <v>6</v>
      </c>
    </row>
    <row r="93" spans="1:24" x14ac:dyDescent="0.25">
      <c r="A93" s="37" t="s">
        <v>108</v>
      </c>
      <c r="B93" s="38" t="s">
        <v>521</v>
      </c>
      <c r="C93" s="37">
        <v>0</v>
      </c>
      <c r="D93" s="38" t="s">
        <v>515</v>
      </c>
      <c r="E93" s="38" t="s">
        <v>522</v>
      </c>
      <c r="F93" s="38">
        <v>0.22700000000000001</v>
      </c>
      <c r="G93" s="38" t="s">
        <v>523</v>
      </c>
      <c r="H93" s="38" t="s">
        <v>524</v>
      </c>
      <c r="I93" s="38" t="s">
        <v>525</v>
      </c>
      <c r="J93" s="38" t="s">
        <v>526</v>
      </c>
      <c r="K93" s="38" t="s">
        <v>9406</v>
      </c>
      <c r="W93" s="213">
        <v>93</v>
      </c>
      <c r="X93" s="214">
        <v>6</v>
      </c>
    </row>
    <row r="94" spans="1:24" x14ac:dyDescent="0.25">
      <c r="A94" s="35" t="s">
        <v>108</v>
      </c>
      <c r="B94" s="36" t="s">
        <v>527</v>
      </c>
      <c r="C94" s="35">
        <v>0</v>
      </c>
      <c r="D94" s="36" t="s">
        <v>115</v>
      </c>
      <c r="E94" s="36" t="s">
        <v>528</v>
      </c>
      <c r="F94" s="36">
        <v>0.24099999999999999</v>
      </c>
      <c r="G94" s="36" t="s">
        <v>529</v>
      </c>
      <c r="H94" s="36" t="s">
        <v>530</v>
      </c>
      <c r="I94" s="36" t="s">
        <v>531</v>
      </c>
      <c r="J94" s="36" t="s">
        <v>532</v>
      </c>
      <c r="K94" s="36" t="s">
        <v>9407</v>
      </c>
      <c r="W94" s="213">
        <v>94</v>
      </c>
      <c r="X94" s="214">
        <v>6</v>
      </c>
    </row>
    <row r="95" spans="1:24" x14ac:dyDescent="0.25">
      <c r="A95" s="37" t="s">
        <v>108</v>
      </c>
      <c r="B95" s="38" t="s">
        <v>533</v>
      </c>
      <c r="C95" s="37">
        <v>0</v>
      </c>
      <c r="D95" s="38" t="s">
        <v>254</v>
      </c>
      <c r="E95" s="38" t="s">
        <v>534</v>
      </c>
      <c r="F95" s="38">
        <v>0.216</v>
      </c>
      <c r="G95" s="38" t="s">
        <v>535</v>
      </c>
      <c r="H95" s="38" t="s">
        <v>536</v>
      </c>
      <c r="I95" s="38" t="s">
        <v>537</v>
      </c>
      <c r="J95" s="38" t="s">
        <v>538</v>
      </c>
      <c r="K95" s="38" t="s">
        <v>510</v>
      </c>
      <c r="W95" s="213">
        <v>95</v>
      </c>
      <c r="X95" s="214">
        <v>6</v>
      </c>
    </row>
    <row r="96" spans="1:24" x14ac:dyDescent="0.25">
      <c r="A96" s="35" t="s">
        <v>108</v>
      </c>
      <c r="B96" s="36" t="s">
        <v>539</v>
      </c>
      <c r="C96" s="35">
        <v>0</v>
      </c>
      <c r="D96" s="36" t="s">
        <v>240</v>
      </c>
      <c r="E96" s="36" t="s">
        <v>540</v>
      </c>
      <c r="F96" s="36">
        <v>5.8999999999999997E-2</v>
      </c>
      <c r="G96" s="36" t="s">
        <v>541</v>
      </c>
      <c r="H96" s="36" t="s">
        <v>542</v>
      </c>
      <c r="I96" s="36" t="s">
        <v>543</v>
      </c>
      <c r="J96" s="36" t="s">
        <v>544</v>
      </c>
      <c r="K96" s="36" t="s">
        <v>9408</v>
      </c>
      <c r="W96" s="213">
        <v>96</v>
      </c>
      <c r="X96" s="214">
        <v>6</v>
      </c>
    </row>
    <row r="97" spans="1:24" x14ac:dyDescent="0.25">
      <c r="A97" s="37" t="s">
        <v>108</v>
      </c>
      <c r="B97" s="38" t="s">
        <v>545</v>
      </c>
      <c r="C97" s="37">
        <v>0</v>
      </c>
      <c r="D97" s="38" t="s">
        <v>469</v>
      </c>
      <c r="E97" s="38" t="s">
        <v>540</v>
      </c>
      <c r="F97" s="38">
        <v>0.14299999999999999</v>
      </c>
      <c r="G97" s="38" t="s">
        <v>546</v>
      </c>
      <c r="H97" s="38" t="s">
        <v>547</v>
      </c>
      <c r="I97" s="38" t="s">
        <v>548</v>
      </c>
      <c r="J97" s="38" t="s">
        <v>549</v>
      </c>
      <c r="K97" s="38" t="s">
        <v>9409</v>
      </c>
      <c r="W97" s="213">
        <v>97</v>
      </c>
      <c r="X97" s="214">
        <v>6</v>
      </c>
    </row>
    <row r="98" spans="1:24" x14ac:dyDescent="0.25">
      <c r="A98" s="35" t="s">
        <v>108</v>
      </c>
      <c r="B98" s="36" t="s">
        <v>550</v>
      </c>
      <c r="C98" s="35">
        <v>0</v>
      </c>
      <c r="D98" s="36" t="s">
        <v>212</v>
      </c>
      <c r="E98" s="36" t="s">
        <v>540</v>
      </c>
      <c r="F98" s="36">
        <v>0.28599999999999998</v>
      </c>
      <c r="G98" s="36" t="s">
        <v>551</v>
      </c>
      <c r="H98" s="36" t="s">
        <v>552</v>
      </c>
      <c r="I98" s="36" t="s">
        <v>553</v>
      </c>
      <c r="J98" s="36" t="s">
        <v>554</v>
      </c>
      <c r="K98" s="36" t="s">
        <v>9410</v>
      </c>
      <c r="W98" s="213">
        <v>98</v>
      </c>
      <c r="X98" s="214">
        <v>6</v>
      </c>
    </row>
    <row r="99" spans="1:24" x14ac:dyDescent="0.25">
      <c r="A99" s="37" t="s">
        <v>108</v>
      </c>
      <c r="B99" s="38" t="s">
        <v>555</v>
      </c>
      <c r="C99" s="37">
        <v>0</v>
      </c>
      <c r="D99" s="38" t="s">
        <v>423</v>
      </c>
      <c r="E99" s="38" t="s">
        <v>540</v>
      </c>
      <c r="F99" s="38">
        <v>0.13300000000000001</v>
      </c>
      <c r="G99" s="38" t="s">
        <v>556</v>
      </c>
      <c r="H99" s="38" t="s">
        <v>557</v>
      </c>
      <c r="I99" s="38" t="s">
        <v>558</v>
      </c>
      <c r="J99" s="38" t="s">
        <v>559</v>
      </c>
      <c r="K99" s="38" t="s">
        <v>9411</v>
      </c>
      <c r="W99" s="213">
        <v>99</v>
      </c>
      <c r="X99" s="214">
        <v>6</v>
      </c>
    </row>
    <row r="100" spans="1:24" x14ac:dyDescent="0.25">
      <c r="A100" s="35" t="s">
        <v>108</v>
      </c>
      <c r="B100" s="36" t="s">
        <v>560</v>
      </c>
      <c r="C100" s="35">
        <v>0</v>
      </c>
      <c r="D100" s="36" t="s">
        <v>561</v>
      </c>
      <c r="E100" s="36" t="s">
        <v>562</v>
      </c>
      <c r="F100" s="36">
        <v>0.129</v>
      </c>
      <c r="G100" s="36" t="s">
        <v>563</v>
      </c>
      <c r="H100" s="36" t="s">
        <v>564</v>
      </c>
      <c r="I100" s="36" t="s">
        <v>565</v>
      </c>
      <c r="J100" s="36" t="s">
        <v>566</v>
      </c>
      <c r="K100" s="36" t="s">
        <v>9412</v>
      </c>
      <c r="W100" s="213">
        <v>100</v>
      </c>
      <c r="X100" s="214">
        <v>6</v>
      </c>
    </row>
    <row r="101" spans="1:24" x14ac:dyDescent="0.25">
      <c r="A101" s="37" t="s">
        <v>108</v>
      </c>
      <c r="B101" s="38" t="s">
        <v>567</v>
      </c>
      <c r="C101" s="37">
        <v>0</v>
      </c>
      <c r="D101" s="38" t="s">
        <v>129</v>
      </c>
      <c r="E101" s="38" t="s">
        <v>568</v>
      </c>
      <c r="F101" s="38">
        <v>0.28299999999999997</v>
      </c>
      <c r="G101" s="38" t="s">
        <v>569</v>
      </c>
      <c r="H101" s="38" t="s">
        <v>570</v>
      </c>
      <c r="I101" s="38" t="s">
        <v>571</v>
      </c>
      <c r="J101" s="38" t="s">
        <v>572</v>
      </c>
      <c r="K101" s="38" t="s">
        <v>510</v>
      </c>
      <c r="W101" s="213">
        <v>101</v>
      </c>
      <c r="X101" s="214">
        <v>6</v>
      </c>
    </row>
    <row r="102" spans="1:24" x14ac:dyDescent="0.25">
      <c r="A102" s="35" t="s">
        <v>108</v>
      </c>
      <c r="B102" s="36" t="s">
        <v>573</v>
      </c>
      <c r="C102" s="35">
        <v>0</v>
      </c>
      <c r="D102" s="36" t="s">
        <v>326</v>
      </c>
      <c r="E102" s="36" t="s">
        <v>574</v>
      </c>
      <c r="F102" s="36">
        <v>3.6999999999999998E-2</v>
      </c>
      <c r="G102" s="36" t="s">
        <v>575</v>
      </c>
      <c r="H102" s="36" t="s">
        <v>577</v>
      </c>
      <c r="I102" s="36" t="s">
        <v>576</v>
      </c>
      <c r="J102" s="36" t="s">
        <v>578</v>
      </c>
      <c r="K102" s="36" t="s">
        <v>510</v>
      </c>
      <c r="W102" s="213">
        <v>102</v>
      </c>
      <c r="X102" s="214">
        <v>6</v>
      </c>
    </row>
    <row r="103" spans="1:24" x14ac:dyDescent="0.25">
      <c r="A103" s="37" t="s">
        <v>108</v>
      </c>
      <c r="B103" s="38" t="s">
        <v>579</v>
      </c>
      <c r="C103" s="37">
        <v>0</v>
      </c>
      <c r="D103" s="38" t="s">
        <v>226</v>
      </c>
      <c r="E103" s="38" t="s">
        <v>574</v>
      </c>
      <c r="F103" s="38">
        <v>0.23499999999999999</v>
      </c>
      <c r="G103" s="38" t="s">
        <v>580</v>
      </c>
      <c r="H103" s="38" t="s">
        <v>581</v>
      </c>
      <c r="I103" s="38" t="s">
        <v>582</v>
      </c>
      <c r="J103" s="38" t="s">
        <v>583</v>
      </c>
      <c r="K103" s="38" t="s">
        <v>9413</v>
      </c>
      <c r="W103" s="213">
        <v>103</v>
      </c>
      <c r="X103" s="214">
        <v>6</v>
      </c>
    </row>
    <row r="104" spans="1:24" x14ac:dyDescent="0.25">
      <c r="A104" s="35" t="s">
        <v>108</v>
      </c>
      <c r="B104" s="36" t="s">
        <v>584</v>
      </c>
      <c r="C104" s="35">
        <v>0</v>
      </c>
      <c r="D104" s="36" t="s">
        <v>365</v>
      </c>
      <c r="E104" s="36" t="s">
        <v>585</v>
      </c>
      <c r="F104" s="36">
        <v>0.156</v>
      </c>
      <c r="G104" s="36" t="s">
        <v>586</v>
      </c>
      <c r="H104" s="36" t="s">
        <v>587</v>
      </c>
      <c r="I104" s="36" t="s">
        <v>588</v>
      </c>
      <c r="J104" s="36" t="s">
        <v>589</v>
      </c>
      <c r="K104" s="36" t="s">
        <v>9414</v>
      </c>
      <c r="W104" s="213">
        <v>104</v>
      </c>
      <c r="X104" s="214">
        <v>6</v>
      </c>
    </row>
    <row r="105" spans="1:24" x14ac:dyDescent="0.25">
      <c r="A105" s="37" t="s">
        <v>108</v>
      </c>
      <c r="B105" s="38" t="s">
        <v>590</v>
      </c>
      <c r="C105" s="37">
        <v>0</v>
      </c>
      <c r="D105" s="38" t="s">
        <v>99</v>
      </c>
      <c r="E105" s="38" t="s">
        <v>591</v>
      </c>
      <c r="F105" s="38">
        <v>0.20899999999999999</v>
      </c>
      <c r="G105" s="38" t="s">
        <v>592</v>
      </c>
      <c r="H105" s="38" t="s">
        <v>593</v>
      </c>
      <c r="I105" s="38" t="s">
        <v>594</v>
      </c>
      <c r="J105" s="38" t="s">
        <v>595</v>
      </c>
      <c r="K105" s="38" t="s">
        <v>9356</v>
      </c>
      <c r="W105" s="213">
        <v>105</v>
      </c>
      <c r="X105" s="214">
        <v>6</v>
      </c>
    </row>
    <row r="106" spans="1:24" x14ac:dyDescent="0.25">
      <c r="A106" s="35" t="s">
        <v>108</v>
      </c>
      <c r="B106" s="36" t="s">
        <v>596</v>
      </c>
      <c r="C106" s="35">
        <v>0</v>
      </c>
      <c r="D106" s="36" t="s">
        <v>597</v>
      </c>
      <c r="E106" s="36" t="s">
        <v>591</v>
      </c>
      <c r="F106" s="36">
        <v>0.24299999999999999</v>
      </c>
      <c r="G106" s="36" t="s">
        <v>598</v>
      </c>
      <c r="H106" s="36" t="s">
        <v>599</v>
      </c>
      <c r="I106" s="36" t="s">
        <v>600</v>
      </c>
      <c r="J106" s="36" t="s">
        <v>601</v>
      </c>
      <c r="K106" s="36" t="s">
        <v>9415</v>
      </c>
      <c r="W106" s="213">
        <v>106</v>
      </c>
      <c r="X106" s="214">
        <v>6</v>
      </c>
    </row>
    <row r="107" spans="1:24" x14ac:dyDescent="0.25">
      <c r="A107" s="37" t="s">
        <v>108</v>
      </c>
      <c r="B107" s="38" t="s">
        <v>602</v>
      </c>
      <c r="C107" s="37">
        <v>0</v>
      </c>
      <c r="D107" s="38" t="s">
        <v>254</v>
      </c>
      <c r="E107" s="38" t="s">
        <v>603</v>
      </c>
      <c r="F107" s="38">
        <v>0.30299999999999999</v>
      </c>
      <c r="G107" s="38" t="s">
        <v>604</v>
      </c>
      <c r="H107" s="38" t="s">
        <v>605</v>
      </c>
      <c r="I107" s="38" t="s">
        <v>606</v>
      </c>
      <c r="J107" s="38" t="s">
        <v>607</v>
      </c>
      <c r="K107" s="38" t="s">
        <v>9416</v>
      </c>
      <c r="W107" s="213">
        <v>107</v>
      </c>
      <c r="X107" s="214">
        <v>6</v>
      </c>
    </row>
    <row r="108" spans="1:24" x14ac:dyDescent="0.25">
      <c r="A108" s="35" t="s">
        <v>108</v>
      </c>
      <c r="B108" s="36" t="s">
        <v>608</v>
      </c>
      <c r="C108" s="35">
        <v>0</v>
      </c>
      <c r="D108" s="36" t="s">
        <v>352</v>
      </c>
      <c r="E108" s="36" t="s">
        <v>609</v>
      </c>
      <c r="F108" s="36">
        <v>0.127</v>
      </c>
      <c r="G108" s="36" t="s">
        <v>610</v>
      </c>
      <c r="H108" s="36" t="s">
        <v>611</v>
      </c>
      <c r="I108" s="36" t="s">
        <v>612</v>
      </c>
      <c r="J108" s="36" t="s">
        <v>613</v>
      </c>
      <c r="K108" s="36" t="s">
        <v>9417</v>
      </c>
      <c r="W108" s="213">
        <v>108</v>
      </c>
      <c r="X108" s="214">
        <v>6</v>
      </c>
    </row>
    <row r="109" spans="1:24" x14ac:dyDescent="0.25">
      <c r="A109" s="37" t="s">
        <v>108</v>
      </c>
      <c r="B109" s="38" t="s">
        <v>614</v>
      </c>
      <c r="C109" s="37">
        <v>0</v>
      </c>
      <c r="D109" s="38" t="s">
        <v>247</v>
      </c>
      <c r="E109" s="38" t="s">
        <v>609</v>
      </c>
      <c r="F109" s="38">
        <v>0.04</v>
      </c>
      <c r="G109" s="38" t="s">
        <v>615</v>
      </c>
      <c r="H109" s="38" t="s">
        <v>616</v>
      </c>
      <c r="I109" s="38" t="s">
        <v>617</v>
      </c>
      <c r="J109" s="38" t="s">
        <v>618</v>
      </c>
      <c r="K109" s="38" t="s">
        <v>510</v>
      </c>
      <c r="W109" s="213">
        <v>109</v>
      </c>
      <c r="X109" s="214">
        <v>6</v>
      </c>
    </row>
    <row r="110" spans="1:24" x14ac:dyDescent="0.25">
      <c r="A110" s="35" t="s">
        <v>108</v>
      </c>
      <c r="B110" s="36" t="s">
        <v>619</v>
      </c>
      <c r="C110" s="35">
        <v>2</v>
      </c>
      <c r="D110" s="36" t="s">
        <v>482</v>
      </c>
      <c r="E110" s="36" t="s">
        <v>620</v>
      </c>
      <c r="F110" s="36">
        <v>0.14000000000000001</v>
      </c>
      <c r="G110" s="36" t="s">
        <v>621</v>
      </c>
      <c r="H110" s="36" t="s">
        <v>622</v>
      </c>
      <c r="I110" s="36" t="s">
        <v>623</v>
      </c>
      <c r="J110" s="36" t="s">
        <v>624</v>
      </c>
      <c r="K110" s="36" t="s">
        <v>9418</v>
      </c>
      <c r="W110" s="213">
        <v>110</v>
      </c>
      <c r="X110" s="214">
        <v>6</v>
      </c>
    </row>
    <row r="111" spans="1:24" x14ac:dyDescent="0.25">
      <c r="A111" s="38" t="s">
        <v>0</v>
      </c>
      <c r="B111" s="37" t="s">
        <v>32</v>
      </c>
      <c r="C111" s="38" t="s">
        <v>625</v>
      </c>
      <c r="D111" s="38" t="s">
        <v>626</v>
      </c>
      <c r="E111" s="38" t="s">
        <v>627</v>
      </c>
      <c r="F111" s="38" t="s">
        <v>510</v>
      </c>
      <c r="G111" s="38" t="s">
        <v>510</v>
      </c>
      <c r="H111" s="42"/>
      <c r="I111" s="42"/>
      <c r="J111" s="42"/>
      <c r="K111" s="38" t="s">
        <v>510</v>
      </c>
      <c r="W111" s="213">
        <v>111</v>
      </c>
      <c r="X111" s="214">
        <v>6</v>
      </c>
    </row>
    <row r="112" spans="1:24" x14ac:dyDescent="0.25">
      <c r="A112" s="36" t="s">
        <v>0</v>
      </c>
      <c r="B112" s="35" t="s">
        <v>32</v>
      </c>
      <c r="C112" s="36" t="s">
        <v>628</v>
      </c>
      <c r="D112" s="36" t="s">
        <v>626</v>
      </c>
      <c r="E112" s="36" t="s">
        <v>629</v>
      </c>
      <c r="F112" s="36" t="s">
        <v>510</v>
      </c>
      <c r="G112" s="36" t="s">
        <v>510</v>
      </c>
      <c r="H112" s="40"/>
      <c r="I112" s="40"/>
      <c r="J112" s="40"/>
      <c r="K112" s="36" t="s">
        <v>510</v>
      </c>
      <c r="W112" s="213">
        <v>112</v>
      </c>
      <c r="X112" s="214">
        <v>6</v>
      </c>
    </row>
    <row r="113" spans="1:24" x14ac:dyDescent="0.25">
      <c r="A113" s="37" t="s">
        <v>108</v>
      </c>
      <c r="B113" s="38" t="s">
        <v>630</v>
      </c>
      <c r="C113" s="37">
        <v>0</v>
      </c>
      <c r="D113" s="38" t="s">
        <v>597</v>
      </c>
      <c r="E113" s="38" t="s">
        <v>631</v>
      </c>
      <c r="F113" s="38">
        <v>0.23699999999999999</v>
      </c>
      <c r="G113" s="38" t="s">
        <v>632</v>
      </c>
      <c r="H113" s="38" t="s">
        <v>633</v>
      </c>
      <c r="I113" s="38" t="s">
        <v>634</v>
      </c>
      <c r="J113" s="38" t="s">
        <v>635</v>
      </c>
      <c r="K113" s="38" t="s">
        <v>9419</v>
      </c>
      <c r="W113" s="213">
        <v>113</v>
      </c>
      <c r="X113" s="214">
        <v>6</v>
      </c>
    </row>
    <row r="114" spans="1:24" x14ac:dyDescent="0.25">
      <c r="A114" s="35" t="s">
        <v>108</v>
      </c>
      <c r="B114" s="36" t="s">
        <v>636</v>
      </c>
      <c r="C114" s="35">
        <v>0</v>
      </c>
      <c r="D114" s="36" t="s">
        <v>345</v>
      </c>
      <c r="E114" s="36" t="s">
        <v>637</v>
      </c>
      <c r="F114" s="36">
        <v>6.7000000000000004E-2</v>
      </c>
      <c r="G114" s="36" t="s">
        <v>638</v>
      </c>
      <c r="H114" s="36" t="s">
        <v>639</v>
      </c>
      <c r="I114" s="36" t="s">
        <v>640</v>
      </c>
      <c r="J114" s="36" t="s">
        <v>641</v>
      </c>
      <c r="K114" s="36" t="s">
        <v>9420</v>
      </c>
      <c r="W114" s="213">
        <v>114</v>
      </c>
      <c r="X114" s="214">
        <v>6</v>
      </c>
    </row>
    <row r="115" spans="1:24" x14ac:dyDescent="0.25">
      <c r="A115" s="37" t="s">
        <v>108</v>
      </c>
      <c r="B115" s="38" t="s">
        <v>642</v>
      </c>
      <c r="C115" s="37">
        <v>1</v>
      </c>
      <c r="D115" s="38" t="s">
        <v>502</v>
      </c>
      <c r="E115" s="38" t="s">
        <v>643</v>
      </c>
      <c r="F115" s="38">
        <v>0.27200000000000002</v>
      </c>
      <c r="G115" s="38" t="s">
        <v>644</v>
      </c>
      <c r="H115" s="38" t="s">
        <v>645</v>
      </c>
      <c r="I115" s="38" t="s">
        <v>646</v>
      </c>
      <c r="J115" s="38" t="s">
        <v>647</v>
      </c>
      <c r="K115" s="38" t="s">
        <v>9421</v>
      </c>
      <c r="W115" s="213">
        <v>115</v>
      </c>
      <c r="X115" s="214">
        <v>6</v>
      </c>
    </row>
    <row r="116" spans="1:24" x14ac:dyDescent="0.25">
      <c r="A116" s="36" t="s">
        <v>0</v>
      </c>
      <c r="B116" s="35" t="s">
        <v>32</v>
      </c>
      <c r="C116" s="36" t="s">
        <v>648</v>
      </c>
      <c r="D116" s="36" t="s">
        <v>649</v>
      </c>
      <c r="E116" s="36" t="s">
        <v>650</v>
      </c>
      <c r="F116" s="36" t="s">
        <v>510</v>
      </c>
      <c r="G116" s="36" t="s">
        <v>510</v>
      </c>
      <c r="H116" s="40"/>
      <c r="I116" s="40"/>
      <c r="J116" s="40"/>
      <c r="K116" s="36" t="s">
        <v>510</v>
      </c>
      <c r="W116" s="213">
        <v>116</v>
      </c>
      <c r="X116" s="214">
        <v>6</v>
      </c>
    </row>
    <row r="117" spans="1:24" x14ac:dyDescent="0.25">
      <c r="A117" s="37" t="s">
        <v>108</v>
      </c>
      <c r="B117" s="43" t="s">
        <v>651</v>
      </c>
      <c r="C117" s="37">
        <v>0</v>
      </c>
      <c r="D117" s="38" t="s">
        <v>652</v>
      </c>
      <c r="E117" s="38" t="s">
        <v>653</v>
      </c>
      <c r="F117" s="38">
        <v>0.16500000000000001</v>
      </c>
      <c r="G117" s="38" t="s">
        <v>654</v>
      </c>
      <c r="H117" s="38" t="s">
        <v>655</v>
      </c>
      <c r="I117" s="38" t="s">
        <v>656</v>
      </c>
      <c r="J117" s="38" t="s">
        <v>657</v>
      </c>
      <c r="K117" s="38" t="s">
        <v>9422</v>
      </c>
      <c r="W117" s="213">
        <v>117</v>
      </c>
      <c r="X117" s="214">
        <v>6</v>
      </c>
    </row>
    <row r="118" spans="1:24" x14ac:dyDescent="0.25">
      <c r="A118" s="35" t="s">
        <v>108</v>
      </c>
      <c r="B118" s="36" t="s">
        <v>658</v>
      </c>
      <c r="C118" s="35">
        <v>0</v>
      </c>
      <c r="D118" s="36" t="s">
        <v>659</v>
      </c>
      <c r="E118" s="36" t="s">
        <v>660</v>
      </c>
      <c r="F118" s="36">
        <v>0.114</v>
      </c>
      <c r="G118" s="36" t="s">
        <v>661</v>
      </c>
      <c r="H118" s="36" t="s">
        <v>662</v>
      </c>
      <c r="I118" s="36" t="s">
        <v>663</v>
      </c>
      <c r="J118" s="36" t="s">
        <v>664</v>
      </c>
      <c r="K118" s="36" t="s">
        <v>9423</v>
      </c>
      <c r="W118" s="213">
        <v>118</v>
      </c>
      <c r="X118" s="214">
        <v>6</v>
      </c>
    </row>
    <row r="119" spans="1:24" x14ac:dyDescent="0.25">
      <c r="A119" s="107" t="s">
        <v>665</v>
      </c>
      <c r="B119" s="107" t="s">
        <v>666</v>
      </c>
      <c r="C119" s="106">
        <v>0</v>
      </c>
      <c r="D119" s="105" t="s">
        <v>667</v>
      </c>
      <c r="E119" s="105" t="s">
        <v>668</v>
      </c>
      <c r="F119" s="105">
        <v>7.9000000000000001E-2</v>
      </c>
      <c r="G119" s="105" t="s">
        <v>669</v>
      </c>
      <c r="H119" s="105" t="s">
        <v>670</v>
      </c>
      <c r="I119" s="105" t="s">
        <v>671</v>
      </c>
      <c r="J119" s="105" t="s">
        <v>672</v>
      </c>
      <c r="K119" s="105" t="s">
        <v>9424</v>
      </c>
      <c r="W119" s="213">
        <v>119</v>
      </c>
      <c r="X119" s="214">
        <v>13</v>
      </c>
    </row>
    <row r="120" spans="1:24" x14ac:dyDescent="0.25">
      <c r="A120" s="39" t="s">
        <v>725</v>
      </c>
      <c r="B120" s="39" t="s">
        <v>726</v>
      </c>
      <c r="C120" s="35">
        <v>0</v>
      </c>
      <c r="D120" s="36" t="s">
        <v>727</v>
      </c>
      <c r="E120" s="36" t="s">
        <v>668</v>
      </c>
      <c r="F120" s="36">
        <v>0.23100000000000001</v>
      </c>
      <c r="G120" s="36" t="s">
        <v>728</v>
      </c>
      <c r="H120" s="36" t="s">
        <v>729</v>
      </c>
      <c r="I120" s="36" t="s">
        <v>730</v>
      </c>
      <c r="J120" s="36" t="s">
        <v>731</v>
      </c>
      <c r="K120" s="36" t="s">
        <v>9425</v>
      </c>
      <c r="W120" s="213">
        <v>120</v>
      </c>
      <c r="X120" s="214">
        <v>6</v>
      </c>
    </row>
    <row r="121" spans="1:24" x14ac:dyDescent="0.25">
      <c r="A121" s="37" t="s">
        <v>108</v>
      </c>
      <c r="B121" s="38" t="s">
        <v>673</v>
      </c>
      <c r="C121" s="37">
        <v>0</v>
      </c>
      <c r="D121" s="38" t="s">
        <v>674</v>
      </c>
      <c r="E121" s="38" t="s">
        <v>668</v>
      </c>
      <c r="F121" s="38">
        <v>0.17599999999999999</v>
      </c>
      <c r="G121" s="38" t="s">
        <v>675</v>
      </c>
      <c r="H121" s="38" t="s">
        <v>676</v>
      </c>
      <c r="I121" s="38" t="s">
        <v>677</v>
      </c>
      <c r="J121" s="38" t="s">
        <v>678</v>
      </c>
      <c r="K121" s="38" t="s">
        <v>9426</v>
      </c>
      <c r="W121" s="213">
        <v>121</v>
      </c>
      <c r="X121" s="214">
        <v>6</v>
      </c>
    </row>
    <row r="122" spans="1:24" x14ac:dyDescent="0.25">
      <c r="A122" s="35" t="s">
        <v>108</v>
      </c>
      <c r="B122" s="36" t="s">
        <v>679</v>
      </c>
      <c r="C122" s="35">
        <v>0</v>
      </c>
      <c r="D122" s="36" t="s">
        <v>680</v>
      </c>
      <c r="E122" s="36" t="s">
        <v>668</v>
      </c>
      <c r="F122" s="36">
        <v>0.16300000000000001</v>
      </c>
      <c r="G122" s="36" t="s">
        <v>681</v>
      </c>
      <c r="H122" s="36" t="s">
        <v>682</v>
      </c>
      <c r="I122" s="36" t="s">
        <v>683</v>
      </c>
      <c r="J122" s="36" t="s">
        <v>684</v>
      </c>
      <c r="K122" s="36" t="s">
        <v>9427</v>
      </c>
      <c r="W122" s="213">
        <v>122</v>
      </c>
      <c r="X122" s="214">
        <v>6</v>
      </c>
    </row>
    <row r="123" spans="1:24" x14ac:dyDescent="0.25">
      <c r="A123" s="37" t="s">
        <v>108</v>
      </c>
      <c r="B123" s="38" t="s">
        <v>685</v>
      </c>
      <c r="C123" s="37">
        <v>0</v>
      </c>
      <c r="D123" s="38" t="s">
        <v>286</v>
      </c>
      <c r="E123" s="38" t="s">
        <v>686</v>
      </c>
      <c r="F123" s="38">
        <v>0.17599999999999999</v>
      </c>
      <c r="G123" s="38" t="s">
        <v>687</v>
      </c>
      <c r="H123" s="38" t="s">
        <v>688</v>
      </c>
      <c r="I123" s="38" t="s">
        <v>689</v>
      </c>
      <c r="J123" s="38" t="s">
        <v>690</v>
      </c>
      <c r="K123" s="38" t="s">
        <v>9428</v>
      </c>
      <c r="W123" s="213">
        <v>123</v>
      </c>
      <c r="X123" s="214">
        <v>6</v>
      </c>
    </row>
    <row r="124" spans="1:24" x14ac:dyDescent="0.25">
      <c r="A124" s="35" t="s">
        <v>108</v>
      </c>
      <c r="B124" s="36" t="s">
        <v>691</v>
      </c>
      <c r="C124" s="35">
        <v>0</v>
      </c>
      <c r="D124" s="36" t="s">
        <v>226</v>
      </c>
      <c r="E124" s="36" t="s">
        <v>692</v>
      </c>
      <c r="F124" s="36">
        <v>0.108</v>
      </c>
      <c r="G124" s="36" t="s">
        <v>693</v>
      </c>
      <c r="H124" s="36" t="s">
        <v>694</v>
      </c>
      <c r="I124" s="36" t="s">
        <v>695</v>
      </c>
      <c r="J124" s="36" t="s">
        <v>696</v>
      </c>
      <c r="K124" s="36" t="s">
        <v>510</v>
      </c>
      <c r="W124" s="213">
        <v>124</v>
      </c>
      <c r="X124" s="214">
        <v>6</v>
      </c>
    </row>
    <row r="125" spans="1:24" x14ac:dyDescent="0.25">
      <c r="A125" s="37" t="s">
        <v>108</v>
      </c>
      <c r="B125" s="38" t="s">
        <v>697</v>
      </c>
      <c r="C125" s="37">
        <v>0</v>
      </c>
      <c r="D125" s="38" t="s">
        <v>274</v>
      </c>
      <c r="E125" s="38" t="s">
        <v>698</v>
      </c>
      <c r="F125" s="38">
        <v>0.33200000000000002</v>
      </c>
      <c r="G125" s="38" t="s">
        <v>699</v>
      </c>
      <c r="H125" s="38" t="s">
        <v>700</v>
      </c>
      <c r="I125" s="38" t="s">
        <v>701</v>
      </c>
      <c r="J125" s="38" t="s">
        <v>702</v>
      </c>
      <c r="K125" s="38" t="s">
        <v>510</v>
      </c>
      <c r="W125" s="213">
        <v>125</v>
      </c>
      <c r="X125" s="214">
        <v>6</v>
      </c>
    </row>
    <row r="126" spans="1:24" x14ac:dyDescent="0.25">
      <c r="A126" s="35" t="s">
        <v>108</v>
      </c>
      <c r="B126" s="36" t="s">
        <v>703</v>
      </c>
      <c r="C126" s="35">
        <v>0</v>
      </c>
      <c r="D126" s="36" t="s">
        <v>515</v>
      </c>
      <c r="E126" s="36" t="s">
        <v>698</v>
      </c>
      <c r="F126" s="36">
        <v>0.151</v>
      </c>
      <c r="G126" s="36" t="s">
        <v>704</v>
      </c>
      <c r="H126" s="36" t="s">
        <v>705</v>
      </c>
      <c r="I126" s="36" t="s">
        <v>706</v>
      </c>
      <c r="J126" s="36" t="s">
        <v>707</v>
      </c>
      <c r="K126" s="36" t="s">
        <v>9429</v>
      </c>
      <c r="W126" s="213">
        <v>126</v>
      </c>
      <c r="X126" s="214">
        <v>6</v>
      </c>
    </row>
    <row r="127" spans="1:24" x14ac:dyDescent="0.25">
      <c r="A127" s="37" t="s">
        <v>108</v>
      </c>
      <c r="B127" s="38" t="s">
        <v>708</v>
      </c>
      <c r="C127" s="37">
        <v>0</v>
      </c>
      <c r="D127" s="38" t="s">
        <v>515</v>
      </c>
      <c r="E127" s="38" t="s">
        <v>709</v>
      </c>
      <c r="F127" s="38">
        <v>0.24</v>
      </c>
      <c r="G127" s="38" t="s">
        <v>710</v>
      </c>
      <c r="H127" s="38" t="s">
        <v>711</v>
      </c>
      <c r="I127" s="38" t="s">
        <v>712</v>
      </c>
      <c r="J127" s="38" t="s">
        <v>713</v>
      </c>
      <c r="K127" s="38" t="s">
        <v>9430</v>
      </c>
      <c r="W127" s="213">
        <v>127</v>
      </c>
      <c r="X127" s="214">
        <v>6</v>
      </c>
    </row>
    <row r="128" spans="1:24" x14ac:dyDescent="0.25">
      <c r="A128" s="35" t="s">
        <v>108</v>
      </c>
      <c r="B128" s="36" t="s">
        <v>714</v>
      </c>
      <c r="C128" s="35">
        <v>0</v>
      </c>
      <c r="D128" s="36" t="s">
        <v>339</v>
      </c>
      <c r="E128" s="36" t="s">
        <v>715</v>
      </c>
      <c r="F128" s="36">
        <v>0.17599999999999999</v>
      </c>
      <c r="G128" s="36" t="s">
        <v>716</v>
      </c>
      <c r="H128" s="36" t="s">
        <v>717</v>
      </c>
      <c r="I128" s="36" t="s">
        <v>718</v>
      </c>
      <c r="J128" s="36" t="s">
        <v>719</v>
      </c>
      <c r="K128" s="36" t="s">
        <v>9431</v>
      </c>
      <c r="W128" s="213">
        <v>128</v>
      </c>
      <c r="X128" s="214">
        <v>6</v>
      </c>
    </row>
    <row r="129" spans="1:24" x14ac:dyDescent="0.25">
      <c r="A129" s="37" t="s">
        <v>108</v>
      </c>
      <c r="B129" s="38" t="s">
        <v>720</v>
      </c>
      <c r="C129" s="37">
        <v>0</v>
      </c>
      <c r="D129" s="38" t="s">
        <v>240</v>
      </c>
      <c r="E129" s="38" t="s">
        <v>715</v>
      </c>
      <c r="F129" s="38">
        <v>0.187</v>
      </c>
      <c r="G129" s="38" t="s">
        <v>721</v>
      </c>
      <c r="H129" s="38" t="s">
        <v>722</v>
      </c>
      <c r="I129" s="38" t="s">
        <v>723</v>
      </c>
      <c r="J129" s="38" t="s">
        <v>724</v>
      </c>
      <c r="K129" s="38" t="s">
        <v>9361</v>
      </c>
      <c r="W129" s="213">
        <v>129</v>
      </c>
      <c r="X129" s="214">
        <v>6</v>
      </c>
    </row>
    <row r="130" spans="1:24" x14ac:dyDescent="0.25">
      <c r="A130" s="35" t="s">
        <v>108</v>
      </c>
      <c r="B130" s="36" t="s">
        <v>732</v>
      </c>
      <c r="C130" s="35">
        <v>2</v>
      </c>
      <c r="D130" s="36" t="s">
        <v>158</v>
      </c>
      <c r="E130" s="36" t="s">
        <v>733</v>
      </c>
      <c r="F130" s="36">
        <v>0.251</v>
      </c>
      <c r="G130" s="36" t="s">
        <v>737</v>
      </c>
      <c r="H130" s="36" t="s">
        <v>734</v>
      </c>
      <c r="I130" s="36" t="s">
        <v>735</v>
      </c>
      <c r="J130" s="36" t="s">
        <v>736</v>
      </c>
      <c r="K130" s="36" t="s">
        <v>9432</v>
      </c>
      <c r="W130" s="213">
        <v>130</v>
      </c>
      <c r="X130" s="214">
        <v>6</v>
      </c>
    </row>
    <row r="131" spans="1:24" x14ac:dyDescent="0.25">
      <c r="A131" s="38" t="s">
        <v>0</v>
      </c>
      <c r="B131" s="37" t="s">
        <v>32</v>
      </c>
      <c r="C131" s="38" t="s">
        <v>738</v>
      </c>
      <c r="D131" s="38" t="s">
        <v>50</v>
      </c>
      <c r="E131" s="38" t="s">
        <v>627</v>
      </c>
      <c r="F131" s="38" t="s">
        <v>510</v>
      </c>
      <c r="G131" s="38" t="s">
        <v>510</v>
      </c>
      <c r="H131" s="42"/>
      <c r="I131" s="42"/>
      <c r="J131" s="42"/>
      <c r="K131" s="38" t="s">
        <v>510</v>
      </c>
      <c r="W131" s="213">
        <v>131</v>
      </c>
      <c r="X131" s="214">
        <v>6</v>
      </c>
    </row>
    <row r="132" spans="1:24" x14ac:dyDescent="0.25">
      <c r="A132" s="36" t="s">
        <v>0</v>
      </c>
      <c r="B132" s="35" t="s">
        <v>32</v>
      </c>
      <c r="C132" s="36" t="s">
        <v>739</v>
      </c>
      <c r="D132" s="36" t="s">
        <v>740</v>
      </c>
      <c r="E132" s="36" t="s">
        <v>741</v>
      </c>
      <c r="F132" s="36" t="s">
        <v>510</v>
      </c>
      <c r="G132" s="36" t="s">
        <v>510</v>
      </c>
      <c r="H132" s="40"/>
      <c r="I132" s="40"/>
      <c r="J132" s="40"/>
      <c r="K132" s="36" t="s">
        <v>510</v>
      </c>
      <c r="W132" s="213">
        <v>132</v>
      </c>
      <c r="X132" s="214">
        <v>6</v>
      </c>
    </row>
    <row r="133" spans="1:24" x14ac:dyDescent="0.25">
      <c r="A133" s="37" t="s">
        <v>108</v>
      </c>
      <c r="B133" s="38" t="s">
        <v>742</v>
      </c>
      <c r="C133" s="37">
        <v>0</v>
      </c>
      <c r="D133" s="38" t="s">
        <v>743</v>
      </c>
      <c r="E133" s="38" t="s">
        <v>744</v>
      </c>
      <c r="F133" s="38">
        <v>0.115</v>
      </c>
      <c r="G133" s="38" t="s">
        <v>745</v>
      </c>
      <c r="H133" s="38" t="s">
        <v>746</v>
      </c>
      <c r="I133" s="38" t="s">
        <v>747</v>
      </c>
      <c r="J133" s="38" t="s">
        <v>748</v>
      </c>
      <c r="K133" s="38" t="s">
        <v>9433</v>
      </c>
      <c r="W133" s="213">
        <v>133</v>
      </c>
      <c r="X133" s="214">
        <v>6</v>
      </c>
    </row>
    <row r="134" spans="1:24" x14ac:dyDescent="0.25">
      <c r="A134" s="35" t="s">
        <v>108</v>
      </c>
      <c r="B134" s="36" t="s">
        <v>749</v>
      </c>
      <c r="C134" s="35">
        <v>0</v>
      </c>
      <c r="D134" s="36" t="s">
        <v>254</v>
      </c>
      <c r="E134" s="36" t="s">
        <v>750</v>
      </c>
      <c r="F134" s="36">
        <v>0.156</v>
      </c>
      <c r="G134" s="36" t="s">
        <v>751</v>
      </c>
      <c r="H134" s="36" t="s">
        <v>752</v>
      </c>
      <c r="I134" s="36" t="s">
        <v>753</v>
      </c>
      <c r="J134" s="36" t="s">
        <v>754</v>
      </c>
      <c r="K134" s="36" t="s">
        <v>9434</v>
      </c>
      <c r="W134" s="213">
        <v>134</v>
      </c>
      <c r="X134" s="214">
        <v>6</v>
      </c>
    </row>
    <row r="135" spans="1:24" x14ac:dyDescent="0.25">
      <c r="A135" s="37" t="s">
        <v>108</v>
      </c>
      <c r="B135" s="38" t="s">
        <v>755</v>
      </c>
      <c r="C135" s="37">
        <v>0</v>
      </c>
      <c r="D135" s="38" t="s">
        <v>345</v>
      </c>
      <c r="E135" s="38" t="s">
        <v>756</v>
      </c>
      <c r="F135" s="38">
        <v>0.14000000000000001</v>
      </c>
      <c r="G135" s="38" t="s">
        <v>757</v>
      </c>
      <c r="H135" s="38" t="s">
        <v>758</v>
      </c>
      <c r="I135" s="38" t="s">
        <v>759</v>
      </c>
      <c r="J135" s="38" t="s">
        <v>760</v>
      </c>
      <c r="K135" s="38" t="s">
        <v>9435</v>
      </c>
      <c r="W135" s="213">
        <v>135</v>
      </c>
      <c r="X135" s="214">
        <v>6</v>
      </c>
    </row>
    <row r="136" spans="1:24" x14ac:dyDescent="0.25">
      <c r="A136" s="35" t="s">
        <v>108</v>
      </c>
      <c r="B136" s="36" t="s">
        <v>761</v>
      </c>
      <c r="C136" s="35">
        <v>0</v>
      </c>
      <c r="D136" s="36" t="s">
        <v>345</v>
      </c>
      <c r="E136" s="36" t="s">
        <v>762</v>
      </c>
      <c r="F136" s="36">
        <v>0.21099999999999999</v>
      </c>
      <c r="G136" s="36" t="s">
        <v>763</v>
      </c>
      <c r="H136" s="36" t="s">
        <v>764</v>
      </c>
      <c r="I136" s="36" t="s">
        <v>765</v>
      </c>
      <c r="J136" s="36" t="s">
        <v>766</v>
      </c>
      <c r="K136" s="36" t="s">
        <v>9436</v>
      </c>
      <c r="W136" s="213">
        <v>136</v>
      </c>
      <c r="X136" s="214">
        <v>6</v>
      </c>
    </row>
    <row r="137" spans="1:24" x14ac:dyDescent="0.25">
      <c r="A137" s="37" t="s">
        <v>108</v>
      </c>
      <c r="B137" s="38" t="s">
        <v>767</v>
      </c>
      <c r="C137" s="37">
        <v>1</v>
      </c>
      <c r="D137" s="38" t="s">
        <v>768</v>
      </c>
      <c r="E137" s="38" t="s">
        <v>769</v>
      </c>
      <c r="F137" s="38">
        <v>4.1000000000000002E-2</v>
      </c>
      <c r="G137" s="38" t="s">
        <v>770</v>
      </c>
      <c r="H137" s="38" t="s">
        <v>771</v>
      </c>
      <c r="I137" s="38" t="s">
        <v>772</v>
      </c>
      <c r="J137" s="38" t="s">
        <v>773</v>
      </c>
      <c r="K137" s="38" t="s">
        <v>9422</v>
      </c>
      <c r="W137" s="213">
        <v>137</v>
      </c>
      <c r="X137" s="214">
        <v>6</v>
      </c>
    </row>
    <row r="138" spans="1:24" x14ac:dyDescent="0.25">
      <c r="A138" s="36" t="s">
        <v>0</v>
      </c>
      <c r="B138" s="35" t="s">
        <v>32</v>
      </c>
      <c r="C138" s="36" t="s">
        <v>774</v>
      </c>
      <c r="D138" s="36" t="s">
        <v>649</v>
      </c>
      <c r="E138" s="36" t="s">
        <v>659</v>
      </c>
      <c r="F138" s="36" t="s">
        <v>510</v>
      </c>
      <c r="G138" s="36" t="s">
        <v>510</v>
      </c>
      <c r="H138" s="40"/>
      <c r="I138" s="40"/>
      <c r="J138" s="40"/>
      <c r="K138" s="36" t="s">
        <v>510</v>
      </c>
      <c r="W138" s="213">
        <v>138</v>
      </c>
      <c r="X138" s="214">
        <v>6</v>
      </c>
    </row>
    <row r="139" spans="1:24" x14ac:dyDescent="0.25">
      <c r="A139" s="37" t="s">
        <v>108</v>
      </c>
      <c r="B139" s="38" t="s">
        <v>775</v>
      </c>
      <c r="C139" s="37">
        <v>0</v>
      </c>
      <c r="D139" s="38" t="s">
        <v>326</v>
      </c>
      <c r="E139" s="38" t="s">
        <v>776</v>
      </c>
      <c r="F139" s="38">
        <v>0.21199999999999999</v>
      </c>
      <c r="G139" s="38" t="s">
        <v>777</v>
      </c>
      <c r="H139" s="38" t="s">
        <v>778</v>
      </c>
      <c r="I139" s="38" t="s">
        <v>779</v>
      </c>
      <c r="J139" s="38" t="s">
        <v>780</v>
      </c>
      <c r="K139" s="38" t="s">
        <v>9437</v>
      </c>
      <c r="W139" s="213">
        <v>139</v>
      </c>
      <c r="X139" s="214">
        <v>6</v>
      </c>
    </row>
    <row r="140" spans="1:24" x14ac:dyDescent="0.25">
      <c r="A140" s="35" t="s">
        <v>108</v>
      </c>
      <c r="B140" s="36" t="s">
        <v>781</v>
      </c>
      <c r="C140" s="35">
        <v>0</v>
      </c>
      <c r="D140" s="36" t="s">
        <v>782</v>
      </c>
      <c r="E140" s="36" t="s">
        <v>783</v>
      </c>
      <c r="F140" s="36">
        <v>0.13500000000000001</v>
      </c>
      <c r="G140" s="36" t="s">
        <v>784</v>
      </c>
      <c r="H140" s="36" t="s">
        <v>785</v>
      </c>
      <c r="I140" s="36" t="s">
        <v>786</v>
      </c>
      <c r="J140" s="36" t="s">
        <v>787</v>
      </c>
      <c r="K140" s="36" t="s">
        <v>9438</v>
      </c>
      <c r="W140" s="213">
        <v>140</v>
      </c>
      <c r="X140" s="214">
        <v>6</v>
      </c>
    </row>
    <row r="141" spans="1:24" x14ac:dyDescent="0.25">
      <c r="A141" s="37" t="s">
        <v>108</v>
      </c>
      <c r="B141" s="38" t="s">
        <v>788</v>
      </c>
      <c r="C141" s="37">
        <v>0</v>
      </c>
      <c r="D141" s="38" t="s">
        <v>339</v>
      </c>
      <c r="E141" s="38" t="s">
        <v>789</v>
      </c>
      <c r="F141" s="38">
        <v>0.23200000000000001</v>
      </c>
      <c r="G141" s="38" t="s">
        <v>790</v>
      </c>
      <c r="H141" s="38" t="s">
        <v>791</v>
      </c>
      <c r="I141" s="38" t="s">
        <v>792</v>
      </c>
      <c r="J141" s="38" t="s">
        <v>793</v>
      </c>
      <c r="K141" s="38" t="s">
        <v>9439</v>
      </c>
      <c r="W141" s="213">
        <v>141</v>
      </c>
      <c r="X141" s="214">
        <v>6</v>
      </c>
    </row>
    <row r="142" spans="1:24" x14ac:dyDescent="0.25">
      <c r="A142" s="35" t="s">
        <v>108</v>
      </c>
      <c r="B142" s="36" t="s">
        <v>794</v>
      </c>
      <c r="C142" s="35">
        <v>0</v>
      </c>
      <c r="D142" s="36" t="s">
        <v>122</v>
      </c>
      <c r="E142" s="36" t="s">
        <v>795</v>
      </c>
      <c r="F142" s="36">
        <v>0.104</v>
      </c>
      <c r="G142" s="36" t="s">
        <v>796</v>
      </c>
      <c r="H142" s="36" t="s">
        <v>797</v>
      </c>
      <c r="I142" s="36" t="s">
        <v>798</v>
      </c>
      <c r="J142" s="36" t="s">
        <v>799</v>
      </c>
      <c r="K142" s="36" t="s">
        <v>510</v>
      </c>
      <c r="W142" s="213">
        <v>142</v>
      </c>
      <c r="X142" s="214">
        <v>6</v>
      </c>
    </row>
    <row r="143" spans="1:24" x14ac:dyDescent="0.25">
      <c r="A143" s="37" t="s">
        <v>108</v>
      </c>
      <c r="B143" s="38" t="s">
        <v>800</v>
      </c>
      <c r="C143" s="37">
        <v>0</v>
      </c>
      <c r="D143" s="38" t="s">
        <v>172</v>
      </c>
      <c r="E143" s="38" t="s">
        <v>801</v>
      </c>
      <c r="F143" s="38">
        <v>0.17100000000000001</v>
      </c>
      <c r="G143" s="38" t="s">
        <v>802</v>
      </c>
      <c r="H143" s="38" t="s">
        <v>803</v>
      </c>
      <c r="I143" s="38" t="s">
        <v>804</v>
      </c>
      <c r="J143" s="38" t="s">
        <v>805</v>
      </c>
      <c r="K143" s="38" t="s">
        <v>9440</v>
      </c>
      <c r="W143" s="213">
        <v>143</v>
      </c>
      <c r="X143" s="214">
        <v>6</v>
      </c>
    </row>
    <row r="144" spans="1:24" x14ac:dyDescent="0.25">
      <c r="A144" s="35" t="s">
        <v>108</v>
      </c>
      <c r="B144" s="36" t="s">
        <v>806</v>
      </c>
      <c r="C144" s="35">
        <v>0</v>
      </c>
      <c r="D144" s="36" t="s">
        <v>99</v>
      </c>
      <c r="E144" s="36" t="s">
        <v>807</v>
      </c>
      <c r="F144" s="36">
        <v>8.7999999999999995E-2</v>
      </c>
      <c r="G144" s="36" t="s">
        <v>808</v>
      </c>
      <c r="H144" s="36" t="s">
        <v>809</v>
      </c>
      <c r="I144" s="36" t="s">
        <v>810</v>
      </c>
      <c r="J144" s="36" t="s">
        <v>811</v>
      </c>
      <c r="K144" s="36" t="s">
        <v>9393</v>
      </c>
      <c r="W144" s="213">
        <v>144</v>
      </c>
      <c r="X144" s="214">
        <v>6</v>
      </c>
    </row>
    <row r="145" spans="1:24" x14ac:dyDescent="0.25">
      <c r="A145" s="37" t="s">
        <v>108</v>
      </c>
      <c r="B145" s="38" t="s">
        <v>812</v>
      </c>
      <c r="C145" s="37">
        <v>1</v>
      </c>
      <c r="D145" s="38" t="s">
        <v>144</v>
      </c>
      <c r="E145" s="38" t="s">
        <v>813</v>
      </c>
      <c r="F145" s="38">
        <v>0.10199999999999999</v>
      </c>
      <c r="G145" s="38" t="s">
        <v>814</v>
      </c>
      <c r="H145" s="38" t="s">
        <v>815</v>
      </c>
      <c r="I145" s="38" t="s">
        <v>816</v>
      </c>
      <c r="J145" s="38" t="s">
        <v>817</v>
      </c>
      <c r="K145" s="38" t="s">
        <v>9441</v>
      </c>
      <c r="W145" s="213">
        <v>145</v>
      </c>
      <c r="X145" s="214">
        <v>6</v>
      </c>
    </row>
    <row r="146" spans="1:24" x14ac:dyDescent="0.25">
      <c r="A146" s="36" t="s">
        <v>0</v>
      </c>
      <c r="B146" s="35" t="s">
        <v>32</v>
      </c>
      <c r="C146" s="36" t="s">
        <v>818</v>
      </c>
      <c r="D146" s="36" t="s">
        <v>819</v>
      </c>
      <c r="E146" s="36" t="s">
        <v>820</v>
      </c>
      <c r="F146" s="36">
        <v>5.0000000000000001E-3</v>
      </c>
      <c r="G146" s="36" t="s">
        <v>510</v>
      </c>
      <c r="H146" s="40"/>
      <c r="I146" s="40"/>
      <c r="J146" s="40"/>
      <c r="K146" s="36" t="s">
        <v>9365</v>
      </c>
      <c r="W146" s="213">
        <v>146</v>
      </c>
      <c r="X146" s="214">
        <v>6</v>
      </c>
    </row>
    <row r="147" spans="1:24" x14ac:dyDescent="0.25">
      <c r="A147" s="37" t="s">
        <v>108</v>
      </c>
      <c r="B147" s="43" t="s">
        <v>821</v>
      </c>
      <c r="C147" s="37">
        <v>0</v>
      </c>
      <c r="D147" s="38" t="s">
        <v>822</v>
      </c>
      <c r="E147" s="38" t="s">
        <v>823</v>
      </c>
      <c r="F147" s="38">
        <v>0.13400000000000001</v>
      </c>
      <c r="G147" s="38" t="s">
        <v>824</v>
      </c>
      <c r="H147" s="38" t="s">
        <v>825</v>
      </c>
      <c r="I147" s="38" t="s">
        <v>826</v>
      </c>
      <c r="J147" s="38" t="s">
        <v>827</v>
      </c>
      <c r="K147" s="38" t="s">
        <v>9442</v>
      </c>
      <c r="W147" s="213">
        <v>147</v>
      </c>
      <c r="X147" s="214">
        <v>6</v>
      </c>
    </row>
    <row r="148" spans="1:24" x14ac:dyDescent="0.25">
      <c r="A148" s="35" t="s">
        <v>108</v>
      </c>
      <c r="B148" s="36" t="s">
        <v>828</v>
      </c>
      <c r="C148" s="35">
        <v>0</v>
      </c>
      <c r="D148" s="36" t="s">
        <v>423</v>
      </c>
      <c r="E148" s="36" t="s">
        <v>829</v>
      </c>
      <c r="F148" s="36">
        <v>4.8000000000000001E-2</v>
      </c>
      <c r="G148" s="36" t="s">
        <v>830</v>
      </c>
      <c r="H148" s="36" t="s">
        <v>831</v>
      </c>
      <c r="I148" s="36" t="s">
        <v>832</v>
      </c>
      <c r="J148" s="36" t="s">
        <v>833</v>
      </c>
      <c r="K148" s="36" t="s">
        <v>9443</v>
      </c>
      <c r="W148" s="213">
        <v>148</v>
      </c>
      <c r="X148" s="214">
        <v>6</v>
      </c>
    </row>
    <row r="149" spans="1:24" x14ac:dyDescent="0.25">
      <c r="A149" s="37" t="s">
        <v>108</v>
      </c>
      <c r="B149" s="38" t="s">
        <v>834</v>
      </c>
      <c r="C149" s="37">
        <v>0</v>
      </c>
      <c r="D149" s="38" t="s">
        <v>144</v>
      </c>
      <c r="E149" s="38" t="s">
        <v>835</v>
      </c>
      <c r="F149" s="38">
        <v>9.1999999999999998E-2</v>
      </c>
      <c r="G149" s="38" t="s">
        <v>836</v>
      </c>
      <c r="H149" s="38" t="s">
        <v>837</v>
      </c>
      <c r="I149" s="38" t="s">
        <v>838</v>
      </c>
      <c r="J149" s="38" t="s">
        <v>839</v>
      </c>
      <c r="K149" s="38" t="s">
        <v>9444</v>
      </c>
      <c r="W149" s="213">
        <v>149</v>
      </c>
      <c r="X149" s="214">
        <v>6</v>
      </c>
    </row>
    <row r="150" spans="1:24" x14ac:dyDescent="0.25">
      <c r="A150" s="35" t="s">
        <v>108</v>
      </c>
      <c r="B150" s="36" t="s">
        <v>840</v>
      </c>
      <c r="C150" s="35">
        <v>0</v>
      </c>
      <c r="D150" s="36" t="s">
        <v>326</v>
      </c>
      <c r="E150" s="36" t="s">
        <v>841</v>
      </c>
      <c r="F150" s="36">
        <v>0.16400000000000001</v>
      </c>
      <c r="G150" s="36" t="s">
        <v>842</v>
      </c>
      <c r="H150" s="36" t="s">
        <v>843</v>
      </c>
      <c r="I150" s="36" t="s">
        <v>844</v>
      </c>
      <c r="J150" s="36" t="s">
        <v>845</v>
      </c>
      <c r="K150" s="36" t="s">
        <v>9366</v>
      </c>
      <c r="W150" s="213">
        <v>150</v>
      </c>
      <c r="X150" s="214">
        <v>6</v>
      </c>
    </row>
    <row r="151" spans="1:24" x14ac:dyDescent="0.25">
      <c r="A151" s="37" t="s">
        <v>108</v>
      </c>
      <c r="B151" s="38" t="s">
        <v>846</v>
      </c>
      <c r="C151" s="37">
        <v>0</v>
      </c>
      <c r="D151" s="38" t="s">
        <v>312</v>
      </c>
      <c r="E151" s="38" t="s">
        <v>847</v>
      </c>
      <c r="F151" s="38">
        <v>0.16500000000000001</v>
      </c>
      <c r="G151" s="38" t="s">
        <v>848</v>
      </c>
      <c r="H151" s="38" t="s">
        <v>849</v>
      </c>
      <c r="I151" s="38" t="s">
        <v>850</v>
      </c>
      <c r="J151" s="38" t="s">
        <v>851</v>
      </c>
      <c r="K151" s="38" t="s">
        <v>9445</v>
      </c>
      <c r="W151" s="213">
        <v>151</v>
      </c>
      <c r="X151" s="214">
        <v>6</v>
      </c>
    </row>
    <row r="152" spans="1:24" x14ac:dyDescent="0.25">
      <c r="A152" s="35" t="s">
        <v>108</v>
      </c>
      <c r="B152" s="36" t="s">
        <v>852</v>
      </c>
      <c r="C152" s="35">
        <v>0</v>
      </c>
      <c r="D152" s="36" t="s">
        <v>254</v>
      </c>
      <c r="E152" s="36" t="s">
        <v>854</v>
      </c>
      <c r="F152" s="36">
        <v>0.16500000000000001</v>
      </c>
      <c r="G152" s="36" t="s">
        <v>855</v>
      </c>
      <c r="H152" s="36" t="s">
        <v>856</v>
      </c>
      <c r="I152" s="36" t="s">
        <v>857</v>
      </c>
      <c r="J152" s="36" t="s">
        <v>858</v>
      </c>
      <c r="K152" s="36" t="s">
        <v>9446</v>
      </c>
      <c r="W152" s="213">
        <v>152</v>
      </c>
      <c r="X152" s="214">
        <v>6</v>
      </c>
    </row>
    <row r="153" spans="1:24" x14ac:dyDescent="0.25">
      <c r="A153" s="37" t="s">
        <v>108</v>
      </c>
      <c r="B153" s="38" t="s">
        <v>859</v>
      </c>
      <c r="C153" s="37">
        <v>0</v>
      </c>
      <c r="D153" s="38" t="s">
        <v>339</v>
      </c>
      <c r="E153" s="38" t="s">
        <v>860</v>
      </c>
      <c r="F153" s="38">
        <v>0.13100000000000001</v>
      </c>
      <c r="G153" s="38" t="s">
        <v>861</v>
      </c>
      <c r="H153" s="38" t="s">
        <v>862</v>
      </c>
      <c r="I153" s="38" t="s">
        <v>863</v>
      </c>
      <c r="J153" s="38" t="s">
        <v>864</v>
      </c>
      <c r="K153" s="38" t="s">
        <v>9447</v>
      </c>
      <c r="W153" s="213">
        <v>153</v>
      </c>
      <c r="X153" s="214">
        <v>6</v>
      </c>
    </row>
    <row r="154" spans="1:24" x14ac:dyDescent="0.25">
      <c r="A154" s="35" t="s">
        <v>108</v>
      </c>
      <c r="B154" s="36" t="s">
        <v>865</v>
      </c>
      <c r="C154" s="35">
        <v>0</v>
      </c>
      <c r="D154" s="36" t="s">
        <v>866</v>
      </c>
      <c r="E154" s="36" t="s">
        <v>867</v>
      </c>
      <c r="F154" s="36">
        <v>6.4000000000000001E-2</v>
      </c>
      <c r="G154" s="36" t="s">
        <v>868</v>
      </c>
      <c r="H154" s="36" t="s">
        <v>869</v>
      </c>
      <c r="I154" s="36" t="s">
        <v>870</v>
      </c>
      <c r="J154" s="36" t="s">
        <v>871</v>
      </c>
      <c r="K154" s="36" t="s">
        <v>510</v>
      </c>
      <c r="W154" s="213">
        <v>154</v>
      </c>
      <c r="X154" s="214">
        <v>6</v>
      </c>
    </row>
    <row r="155" spans="1:24" x14ac:dyDescent="0.25">
      <c r="A155" s="37" t="s">
        <v>108</v>
      </c>
      <c r="B155" s="38" t="s">
        <v>872</v>
      </c>
      <c r="C155" s="37">
        <v>0</v>
      </c>
      <c r="D155" s="38" t="s">
        <v>185</v>
      </c>
      <c r="E155" s="38" t="s">
        <v>873</v>
      </c>
      <c r="F155" s="38">
        <v>0.22800000000000001</v>
      </c>
      <c r="G155" s="38" t="s">
        <v>874</v>
      </c>
      <c r="H155" s="38" t="s">
        <v>875</v>
      </c>
      <c r="I155" s="38" t="s">
        <v>876</v>
      </c>
      <c r="J155" s="38" t="s">
        <v>877</v>
      </c>
      <c r="K155" s="38" t="s">
        <v>9448</v>
      </c>
      <c r="W155" s="213">
        <v>155</v>
      </c>
      <c r="X155" s="214">
        <v>6</v>
      </c>
    </row>
    <row r="156" spans="1:24" x14ac:dyDescent="0.25">
      <c r="A156" s="35" t="s">
        <v>108</v>
      </c>
      <c r="B156" s="36" t="s">
        <v>878</v>
      </c>
      <c r="C156" s="35">
        <v>0</v>
      </c>
      <c r="D156" s="36" t="s">
        <v>339</v>
      </c>
      <c r="E156" s="36" t="s">
        <v>879</v>
      </c>
      <c r="F156" s="36">
        <v>2.8000000000000001E-2</v>
      </c>
      <c r="G156" s="36" t="s">
        <v>880</v>
      </c>
      <c r="H156" s="36" t="s">
        <v>881</v>
      </c>
      <c r="I156" s="36" t="s">
        <v>882</v>
      </c>
      <c r="J156" s="36" t="s">
        <v>883</v>
      </c>
      <c r="K156" s="36" t="s">
        <v>9449</v>
      </c>
      <c r="W156" s="213">
        <v>156</v>
      </c>
      <c r="X156" s="214">
        <v>6</v>
      </c>
    </row>
    <row r="157" spans="1:24" x14ac:dyDescent="0.25">
      <c r="A157" s="37" t="s">
        <v>108</v>
      </c>
      <c r="B157" s="38" t="s">
        <v>884</v>
      </c>
      <c r="C157" s="37">
        <v>0</v>
      </c>
      <c r="D157" s="38" t="s">
        <v>158</v>
      </c>
      <c r="E157" s="38" t="s">
        <v>885</v>
      </c>
      <c r="F157" s="38">
        <v>9.1999999999999998E-2</v>
      </c>
      <c r="G157" s="38" t="s">
        <v>886</v>
      </c>
      <c r="H157" s="38" t="s">
        <v>887</v>
      </c>
      <c r="I157" s="38" t="s">
        <v>888</v>
      </c>
      <c r="J157" s="38" t="s">
        <v>889</v>
      </c>
      <c r="K157" s="38" t="s">
        <v>510</v>
      </c>
      <c r="W157" s="213">
        <v>157</v>
      </c>
      <c r="X157" s="214">
        <v>6</v>
      </c>
    </row>
    <row r="158" spans="1:24" x14ac:dyDescent="0.25">
      <c r="A158" s="35" t="s">
        <v>108</v>
      </c>
      <c r="B158" s="36" t="s">
        <v>890</v>
      </c>
      <c r="C158" s="35">
        <v>0</v>
      </c>
      <c r="D158" s="36" t="s">
        <v>404</v>
      </c>
      <c r="E158" s="36" t="s">
        <v>885</v>
      </c>
      <c r="F158" s="36">
        <v>0.34</v>
      </c>
      <c r="G158" s="36" t="s">
        <v>891</v>
      </c>
      <c r="H158" s="36" t="s">
        <v>892</v>
      </c>
      <c r="I158" s="36" t="s">
        <v>893</v>
      </c>
      <c r="J158" s="36" t="s">
        <v>894</v>
      </c>
      <c r="K158" s="36" t="s">
        <v>9450</v>
      </c>
      <c r="W158" s="213">
        <v>158</v>
      </c>
      <c r="X158" s="214">
        <v>6</v>
      </c>
    </row>
    <row r="159" spans="1:24" x14ac:dyDescent="0.25">
      <c r="A159" s="37" t="s">
        <v>108</v>
      </c>
      <c r="B159" s="38" t="s">
        <v>895</v>
      </c>
      <c r="C159" s="37">
        <v>0</v>
      </c>
      <c r="D159" s="38" t="s">
        <v>129</v>
      </c>
      <c r="E159" s="38" t="s">
        <v>896</v>
      </c>
      <c r="F159" s="38">
        <v>0.17799999999999999</v>
      </c>
      <c r="G159" s="38" t="s">
        <v>897</v>
      </c>
      <c r="H159" s="38" t="s">
        <v>898</v>
      </c>
      <c r="I159" s="38" t="s">
        <v>899</v>
      </c>
      <c r="J159" s="38" t="s">
        <v>900</v>
      </c>
      <c r="K159" s="38" t="s">
        <v>510</v>
      </c>
      <c r="W159" s="213">
        <v>159</v>
      </c>
      <c r="X159" s="214">
        <v>6</v>
      </c>
    </row>
    <row r="160" spans="1:24" x14ac:dyDescent="0.25">
      <c r="A160" s="35" t="s">
        <v>108</v>
      </c>
      <c r="B160" s="36" t="s">
        <v>901</v>
      </c>
      <c r="C160" s="35">
        <v>0</v>
      </c>
      <c r="D160" s="36" t="s">
        <v>274</v>
      </c>
      <c r="E160" s="36" t="s">
        <v>902</v>
      </c>
      <c r="F160" s="36">
        <v>6.5000000000000002E-2</v>
      </c>
      <c r="G160" s="36" t="s">
        <v>903</v>
      </c>
      <c r="H160" s="36" t="s">
        <v>904</v>
      </c>
      <c r="I160" s="36" t="s">
        <v>905</v>
      </c>
      <c r="J160" s="36" t="s">
        <v>906</v>
      </c>
      <c r="K160" s="36" t="s">
        <v>510</v>
      </c>
      <c r="W160" s="213">
        <v>160</v>
      </c>
      <c r="X160" s="214">
        <v>6</v>
      </c>
    </row>
    <row r="161" spans="1:24" x14ac:dyDescent="0.25">
      <c r="A161" s="37" t="s">
        <v>108</v>
      </c>
      <c r="B161" s="38" t="s">
        <v>907</v>
      </c>
      <c r="C161" s="37">
        <v>0</v>
      </c>
      <c r="D161" s="38" t="s">
        <v>185</v>
      </c>
      <c r="E161" s="38" t="s">
        <v>908</v>
      </c>
      <c r="F161" s="38">
        <v>0.14799999999999999</v>
      </c>
      <c r="G161" s="38" t="s">
        <v>909</v>
      </c>
      <c r="H161" s="38" t="s">
        <v>910</v>
      </c>
      <c r="I161" s="38" t="s">
        <v>911</v>
      </c>
      <c r="J161" s="38" t="s">
        <v>912</v>
      </c>
      <c r="K161" s="38" t="s">
        <v>510</v>
      </c>
      <c r="W161" s="213">
        <v>161</v>
      </c>
      <c r="X161" s="214">
        <v>6</v>
      </c>
    </row>
    <row r="162" spans="1:24" x14ac:dyDescent="0.25">
      <c r="A162" s="35" t="s">
        <v>108</v>
      </c>
      <c r="B162" s="36" t="s">
        <v>913</v>
      </c>
      <c r="C162" s="35">
        <v>0</v>
      </c>
      <c r="D162" s="36" t="s">
        <v>319</v>
      </c>
      <c r="E162" s="36" t="s">
        <v>914</v>
      </c>
      <c r="F162" s="36">
        <v>0.161</v>
      </c>
      <c r="G162" s="36" t="s">
        <v>915</v>
      </c>
      <c r="H162" s="36" t="s">
        <v>916</v>
      </c>
      <c r="I162" s="36" t="s">
        <v>917</v>
      </c>
      <c r="J162" s="36" t="s">
        <v>918</v>
      </c>
      <c r="K162" s="36" t="s">
        <v>9451</v>
      </c>
      <c r="W162" s="213">
        <v>162</v>
      </c>
      <c r="X162" s="214">
        <v>6</v>
      </c>
    </row>
    <row r="163" spans="1:24" x14ac:dyDescent="0.25">
      <c r="A163" s="37" t="s">
        <v>108</v>
      </c>
      <c r="B163" s="38" t="s">
        <v>919</v>
      </c>
      <c r="C163" s="37">
        <v>0</v>
      </c>
      <c r="D163" s="38" t="s">
        <v>469</v>
      </c>
      <c r="E163" s="38" t="s">
        <v>920</v>
      </c>
      <c r="F163" s="38">
        <v>4.1000000000000002E-2</v>
      </c>
      <c r="G163" s="38" t="s">
        <v>921</v>
      </c>
      <c r="H163" s="38" t="s">
        <v>922</v>
      </c>
      <c r="I163" s="38" t="s">
        <v>923</v>
      </c>
      <c r="J163" s="38" t="s">
        <v>924</v>
      </c>
      <c r="K163" s="38" t="s">
        <v>510</v>
      </c>
      <c r="W163" s="213">
        <v>163</v>
      </c>
      <c r="X163" s="214">
        <v>6</v>
      </c>
    </row>
    <row r="164" spans="1:24" x14ac:dyDescent="0.25">
      <c r="A164" s="35" t="s">
        <v>108</v>
      </c>
      <c r="B164" s="36" t="s">
        <v>931</v>
      </c>
      <c r="C164" s="35">
        <v>1</v>
      </c>
      <c r="D164" s="36" t="s">
        <v>339</v>
      </c>
      <c r="E164" s="36" t="s">
        <v>932</v>
      </c>
      <c r="F164" s="36">
        <v>0.14799999999999999</v>
      </c>
      <c r="G164" s="36" t="s">
        <v>933</v>
      </c>
      <c r="H164" s="36" t="s">
        <v>934</v>
      </c>
      <c r="I164" s="36" t="s">
        <v>935</v>
      </c>
      <c r="J164" s="36" t="s">
        <v>936</v>
      </c>
      <c r="K164" s="36" t="s">
        <v>9452</v>
      </c>
      <c r="W164" s="213">
        <v>164</v>
      </c>
      <c r="X164" s="214">
        <v>6</v>
      </c>
    </row>
    <row r="165" spans="1:24" x14ac:dyDescent="0.25">
      <c r="A165" s="38" t="s">
        <v>0</v>
      </c>
      <c r="B165" s="37" t="s">
        <v>32</v>
      </c>
      <c r="C165" s="136" t="s">
        <v>937</v>
      </c>
      <c r="D165" s="38" t="s">
        <v>938</v>
      </c>
      <c r="E165" s="38" t="s">
        <v>939</v>
      </c>
      <c r="F165" s="38">
        <v>0.12</v>
      </c>
      <c r="G165" s="38" t="s">
        <v>510</v>
      </c>
      <c r="H165" s="42"/>
      <c r="I165" s="42"/>
      <c r="J165" s="42"/>
      <c r="K165" s="38" t="s">
        <v>510</v>
      </c>
      <c r="W165" s="213">
        <v>165</v>
      </c>
      <c r="X165" s="214">
        <v>6</v>
      </c>
    </row>
    <row r="166" spans="1:24" x14ac:dyDescent="0.25">
      <c r="A166" s="35" t="s">
        <v>108</v>
      </c>
      <c r="B166" s="36" t="s">
        <v>925</v>
      </c>
      <c r="C166" s="35">
        <v>0</v>
      </c>
      <c r="D166" s="36" t="s">
        <v>404</v>
      </c>
      <c r="E166" s="36" t="s">
        <v>926</v>
      </c>
      <c r="F166" s="36">
        <v>0.10199999999999999</v>
      </c>
      <c r="G166" s="36" t="s">
        <v>927</v>
      </c>
      <c r="H166" s="36" t="s">
        <v>928</v>
      </c>
      <c r="I166" s="36" t="s">
        <v>929</v>
      </c>
      <c r="J166" s="36" t="s">
        <v>930</v>
      </c>
      <c r="K166" s="36" t="s">
        <v>9453</v>
      </c>
      <c r="W166" s="213">
        <v>166</v>
      </c>
      <c r="X166" s="214">
        <v>6</v>
      </c>
    </row>
    <row r="167" spans="1:24" x14ac:dyDescent="0.25">
      <c r="A167" s="37" t="s">
        <v>108</v>
      </c>
      <c r="B167" s="38" t="s">
        <v>940</v>
      </c>
      <c r="C167" s="37">
        <v>0</v>
      </c>
      <c r="D167" s="38" t="s">
        <v>404</v>
      </c>
      <c r="E167" s="38" t="s">
        <v>941</v>
      </c>
      <c r="F167" s="38">
        <v>0.14000000000000001</v>
      </c>
      <c r="G167" s="38" t="s">
        <v>942</v>
      </c>
      <c r="H167" s="38" t="s">
        <v>943</v>
      </c>
      <c r="I167" s="38" t="s">
        <v>944</v>
      </c>
      <c r="J167" s="38" t="s">
        <v>945</v>
      </c>
      <c r="K167" s="38" t="s">
        <v>9373</v>
      </c>
      <c r="W167" s="213">
        <v>167</v>
      </c>
      <c r="X167" s="214">
        <v>6</v>
      </c>
    </row>
    <row r="168" spans="1:24" x14ac:dyDescent="0.25">
      <c r="A168" s="35" t="s">
        <v>108</v>
      </c>
      <c r="B168" s="39" t="s">
        <v>946</v>
      </c>
      <c r="C168" s="35">
        <v>0</v>
      </c>
      <c r="D168" s="36" t="s">
        <v>947</v>
      </c>
      <c r="E168" s="36" t="s">
        <v>948</v>
      </c>
      <c r="F168" s="36">
        <v>0.14899999999999999</v>
      </c>
      <c r="G168" s="36" t="s">
        <v>949</v>
      </c>
      <c r="H168" s="36" t="s">
        <v>950</v>
      </c>
      <c r="I168" s="36" t="s">
        <v>951</v>
      </c>
      <c r="J168" s="36" t="s">
        <v>952</v>
      </c>
      <c r="K168" s="36" t="s">
        <v>9454</v>
      </c>
      <c r="W168" s="213">
        <v>168</v>
      </c>
      <c r="X168" s="214">
        <v>6</v>
      </c>
    </row>
    <row r="169" spans="1:24" x14ac:dyDescent="0.25">
      <c r="A169" s="37" t="s">
        <v>108</v>
      </c>
      <c r="B169" s="43" t="s">
        <v>953</v>
      </c>
      <c r="C169" s="37">
        <v>0</v>
      </c>
      <c r="D169" s="38" t="s">
        <v>431</v>
      </c>
      <c r="E169" s="38" t="s">
        <v>954</v>
      </c>
      <c r="F169" s="38">
        <v>7.5999999999999998E-2</v>
      </c>
      <c r="G169" s="38" t="s">
        <v>955</v>
      </c>
      <c r="H169" s="38" t="s">
        <v>956</v>
      </c>
      <c r="I169" s="38" t="s">
        <v>957</v>
      </c>
      <c r="J169" s="38" t="s">
        <v>958</v>
      </c>
      <c r="K169" s="38" t="s">
        <v>9455</v>
      </c>
      <c r="W169" s="213">
        <v>169</v>
      </c>
      <c r="X169" s="214">
        <v>6</v>
      </c>
    </row>
    <row r="170" spans="1:24" x14ac:dyDescent="0.25">
      <c r="A170" s="35" t="s">
        <v>108</v>
      </c>
      <c r="B170" s="36" t="s">
        <v>959</v>
      </c>
      <c r="C170" s="35">
        <v>0</v>
      </c>
      <c r="D170" s="36" t="s">
        <v>782</v>
      </c>
      <c r="E170" s="36" t="s">
        <v>960</v>
      </c>
      <c r="F170" s="36">
        <v>0.153</v>
      </c>
      <c r="G170" s="36" t="s">
        <v>961</v>
      </c>
      <c r="H170" s="36" t="s">
        <v>962</v>
      </c>
      <c r="I170" s="36" t="s">
        <v>963</v>
      </c>
      <c r="J170" s="36" t="s">
        <v>964</v>
      </c>
      <c r="K170" s="36" t="s">
        <v>510</v>
      </c>
      <c r="W170" s="213">
        <v>170</v>
      </c>
      <c r="X170" s="214">
        <v>6</v>
      </c>
    </row>
    <row r="171" spans="1:24" x14ac:dyDescent="0.25">
      <c r="A171" s="37" t="s">
        <v>108</v>
      </c>
      <c r="B171" s="38" t="s">
        <v>965</v>
      </c>
      <c r="C171" s="37">
        <v>0</v>
      </c>
      <c r="D171" s="38" t="s">
        <v>966</v>
      </c>
      <c r="E171" s="38" t="s">
        <v>967</v>
      </c>
      <c r="F171" s="38">
        <v>3.7999999999999999E-2</v>
      </c>
      <c r="G171" s="38" t="s">
        <v>968</v>
      </c>
      <c r="H171" s="38" t="s">
        <v>969</v>
      </c>
      <c r="I171" s="38" t="s">
        <v>970</v>
      </c>
      <c r="J171" s="38" t="s">
        <v>971</v>
      </c>
      <c r="K171" s="38" t="s">
        <v>9456</v>
      </c>
      <c r="W171" s="213">
        <v>171</v>
      </c>
      <c r="X171" s="214">
        <v>6</v>
      </c>
    </row>
    <row r="172" spans="1:24" x14ac:dyDescent="0.25">
      <c r="A172" s="35" t="s">
        <v>108</v>
      </c>
      <c r="B172" s="36" t="s">
        <v>972</v>
      </c>
      <c r="C172" s="35">
        <v>0</v>
      </c>
      <c r="D172" s="36" t="s">
        <v>853</v>
      </c>
      <c r="E172" s="36" t="s">
        <v>973</v>
      </c>
      <c r="F172" s="36">
        <v>0.14599999999999999</v>
      </c>
      <c r="G172" s="36" t="s">
        <v>974</v>
      </c>
      <c r="H172" s="36" t="s">
        <v>975</v>
      </c>
      <c r="I172" s="36" t="s">
        <v>976</v>
      </c>
      <c r="J172" s="36" t="s">
        <v>977</v>
      </c>
      <c r="K172" s="36" t="s">
        <v>510</v>
      </c>
      <c r="W172" s="213">
        <v>172</v>
      </c>
      <c r="X172" s="214">
        <v>6</v>
      </c>
    </row>
    <row r="173" spans="1:24" x14ac:dyDescent="0.25">
      <c r="A173" s="37" t="s">
        <v>108</v>
      </c>
      <c r="B173" s="38" t="s">
        <v>978</v>
      </c>
      <c r="C173" s="37">
        <v>0</v>
      </c>
      <c r="D173" s="38" t="s">
        <v>274</v>
      </c>
      <c r="E173" s="38" t="s">
        <v>979</v>
      </c>
      <c r="F173" s="38">
        <v>0.25</v>
      </c>
      <c r="G173" s="38" t="s">
        <v>980</v>
      </c>
      <c r="H173" s="38" t="s">
        <v>981</v>
      </c>
      <c r="I173" s="38" t="s">
        <v>982</v>
      </c>
      <c r="J173" s="38" t="s">
        <v>983</v>
      </c>
      <c r="K173" s="38" t="s">
        <v>9457</v>
      </c>
      <c r="W173" s="213">
        <v>173</v>
      </c>
      <c r="X173" s="214">
        <v>6</v>
      </c>
    </row>
    <row r="174" spans="1:24" x14ac:dyDescent="0.25">
      <c r="A174" s="35" t="s">
        <v>108</v>
      </c>
      <c r="B174" s="36" t="s">
        <v>984</v>
      </c>
      <c r="C174" s="35">
        <v>0</v>
      </c>
      <c r="D174" s="36" t="s">
        <v>115</v>
      </c>
      <c r="E174" s="36" t="s">
        <v>985</v>
      </c>
      <c r="F174" s="36">
        <v>0.13700000000000001</v>
      </c>
      <c r="G174" s="36" t="s">
        <v>986</v>
      </c>
      <c r="H174" s="36" t="s">
        <v>987</v>
      </c>
      <c r="I174" s="36" t="s">
        <v>988</v>
      </c>
      <c r="J174" s="36" t="s">
        <v>989</v>
      </c>
      <c r="K174" s="36" t="s">
        <v>9458</v>
      </c>
      <c r="W174" s="213">
        <v>174</v>
      </c>
      <c r="X174" s="214">
        <v>6</v>
      </c>
    </row>
    <row r="175" spans="1:24" x14ac:dyDescent="0.25">
      <c r="A175" s="37" t="s">
        <v>108</v>
      </c>
      <c r="B175" s="43" t="s">
        <v>990</v>
      </c>
      <c r="C175" s="37">
        <v>0</v>
      </c>
      <c r="D175" s="38" t="s">
        <v>991</v>
      </c>
      <c r="E175" s="38" t="s">
        <v>992</v>
      </c>
      <c r="F175" s="38">
        <v>0.10199999999999999</v>
      </c>
      <c r="G175" s="38" t="s">
        <v>993</v>
      </c>
      <c r="H175" s="38" t="s">
        <v>994</v>
      </c>
      <c r="I175" s="38" t="s">
        <v>995</v>
      </c>
      <c r="J175" s="38" t="s">
        <v>996</v>
      </c>
      <c r="K175" s="38" t="s">
        <v>9459</v>
      </c>
      <c r="W175" s="213">
        <v>175</v>
      </c>
      <c r="X175" s="214">
        <v>6</v>
      </c>
    </row>
    <row r="176" spans="1:24" x14ac:dyDescent="0.25">
      <c r="A176" s="35" t="s">
        <v>108</v>
      </c>
      <c r="B176" s="36" t="s">
        <v>997</v>
      </c>
      <c r="C176" s="35">
        <v>0</v>
      </c>
      <c r="D176" s="36" t="s">
        <v>144</v>
      </c>
      <c r="E176" s="36" t="s">
        <v>998</v>
      </c>
      <c r="F176" s="36">
        <v>0.22500000000000001</v>
      </c>
      <c r="G176" s="36" t="s">
        <v>999</v>
      </c>
      <c r="H176" s="36" t="s">
        <v>1000</v>
      </c>
      <c r="I176" s="36" t="s">
        <v>1001</v>
      </c>
      <c r="J176" s="36" t="s">
        <v>1002</v>
      </c>
      <c r="K176" s="36" t="s">
        <v>510</v>
      </c>
      <c r="W176" s="213">
        <v>176</v>
      </c>
      <c r="X176" s="214">
        <v>6</v>
      </c>
    </row>
    <row r="177" spans="1:24" x14ac:dyDescent="0.25">
      <c r="A177" s="37" t="s">
        <v>108</v>
      </c>
      <c r="B177" s="38" t="s">
        <v>1003</v>
      </c>
      <c r="C177" s="37">
        <v>0</v>
      </c>
      <c r="D177" s="38" t="s">
        <v>274</v>
      </c>
      <c r="E177" s="38" t="s">
        <v>1004</v>
      </c>
      <c r="F177" s="38">
        <v>0.108</v>
      </c>
      <c r="G177" s="38" t="s">
        <v>1005</v>
      </c>
      <c r="H177" s="38" t="s">
        <v>1006</v>
      </c>
      <c r="I177" s="38" t="s">
        <v>1007</v>
      </c>
      <c r="J177" s="38" t="s">
        <v>1008</v>
      </c>
      <c r="K177" s="38" t="s">
        <v>9460</v>
      </c>
      <c r="W177" s="213">
        <v>177</v>
      </c>
      <c r="X177" s="214">
        <v>6</v>
      </c>
    </row>
    <row r="178" spans="1:24" x14ac:dyDescent="0.25">
      <c r="A178" s="35" t="s">
        <v>108</v>
      </c>
      <c r="B178" s="36" t="s">
        <v>1009</v>
      </c>
      <c r="C178" s="35">
        <v>0</v>
      </c>
      <c r="D178" s="36" t="s">
        <v>853</v>
      </c>
      <c r="E178" s="36" t="s">
        <v>1010</v>
      </c>
      <c r="F178" s="36">
        <v>0.159</v>
      </c>
      <c r="G178" s="36" t="s">
        <v>1011</v>
      </c>
      <c r="H178" s="36" t="s">
        <v>1012</v>
      </c>
      <c r="I178" s="36" t="s">
        <v>1013</v>
      </c>
      <c r="J178" s="36" t="s">
        <v>1014</v>
      </c>
      <c r="K178" s="36" t="s">
        <v>510</v>
      </c>
      <c r="W178" s="213">
        <v>178</v>
      </c>
      <c r="X178" s="214">
        <v>6</v>
      </c>
    </row>
    <row r="179" spans="1:24" x14ac:dyDescent="0.25">
      <c r="A179" s="37" t="s">
        <v>108</v>
      </c>
      <c r="B179" s="43" t="s">
        <v>1015</v>
      </c>
      <c r="C179" s="37">
        <v>0</v>
      </c>
      <c r="D179" s="38" t="s">
        <v>1016</v>
      </c>
      <c r="E179" s="38" t="s">
        <v>1017</v>
      </c>
      <c r="F179" s="38">
        <v>7.4999999999999997E-2</v>
      </c>
      <c r="G179" s="38" t="s">
        <v>1018</v>
      </c>
      <c r="H179" s="38" t="s">
        <v>1019</v>
      </c>
      <c r="I179" s="38" t="s">
        <v>1020</v>
      </c>
      <c r="J179" s="38" t="s">
        <v>1021</v>
      </c>
      <c r="K179" s="38" t="s">
        <v>9383</v>
      </c>
      <c r="W179" s="213">
        <v>179</v>
      </c>
      <c r="X179" s="214">
        <v>6</v>
      </c>
    </row>
    <row r="180" spans="1:24" x14ac:dyDescent="0.25">
      <c r="A180" s="35" t="s">
        <v>108</v>
      </c>
      <c r="B180" s="36" t="s">
        <v>1022</v>
      </c>
      <c r="C180" s="35">
        <v>0</v>
      </c>
      <c r="D180" s="36" t="s">
        <v>240</v>
      </c>
      <c r="E180" s="36" t="s">
        <v>1023</v>
      </c>
      <c r="F180" s="36">
        <v>0.106</v>
      </c>
      <c r="G180" s="36" t="s">
        <v>1024</v>
      </c>
      <c r="H180" s="36" t="s">
        <v>1025</v>
      </c>
      <c r="I180" s="36" t="s">
        <v>1026</v>
      </c>
      <c r="J180" s="36" t="s">
        <v>1027</v>
      </c>
      <c r="K180" s="36" t="s">
        <v>9461</v>
      </c>
      <c r="W180" s="213">
        <v>180</v>
      </c>
      <c r="X180" s="214">
        <v>6</v>
      </c>
    </row>
    <row r="181" spans="1:24" x14ac:dyDescent="0.25">
      <c r="A181" s="37" t="s">
        <v>108</v>
      </c>
      <c r="B181" s="38" t="s">
        <v>1028</v>
      </c>
      <c r="C181" s="37">
        <v>0</v>
      </c>
      <c r="D181" s="38" t="s">
        <v>515</v>
      </c>
      <c r="E181" s="38" t="s">
        <v>1029</v>
      </c>
      <c r="F181" s="38">
        <v>0.20799999999999999</v>
      </c>
      <c r="G181" s="38" t="s">
        <v>1030</v>
      </c>
      <c r="H181" s="38" t="s">
        <v>1031</v>
      </c>
      <c r="I181" s="38" t="s">
        <v>1032</v>
      </c>
      <c r="J181" s="38" t="s">
        <v>1033</v>
      </c>
      <c r="K181" s="38" t="s">
        <v>510</v>
      </c>
      <c r="W181" s="213">
        <v>181</v>
      </c>
      <c r="X181" s="214">
        <v>6</v>
      </c>
    </row>
    <row r="182" spans="1:24" x14ac:dyDescent="0.25">
      <c r="A182" s="35" t="s">
        <v>108</v>
      </c>
      <c r="B182" s="36" t="s">
        <v>1034</v>
      </c>
      <c r="C182" s="35">
        <v>0</v>
      </c>
      <c r="D182" s="36" t="s">
        <v>178</v>
      </c>
      <c r="E182" s="36" t="s">
        <v>1029</v>
      </c>
      <c r="F182" s="36">
        <v>9.7000000000000003E-2</v>
      </c>
      <c r="G182" s="36" t="s">
        <v>1035</v>
      </c>
      <c r="H182" s="36" t="s">
        <v>1036</v>
      </c>
      <c r="I182" s="36" t="s">
        <v>1037</v>
      </c>
      <c r="J182" s="36" t="s">
        <v>1038</v>
      </c>
      <c r="K182" s="36" t="s">
        <v>510</v>
      </c>
      <c r="W182" s="213">
        <v>182</v>
      </c>
      <c r="X182" s="214">
        <v>6</v>
      </c>
    </row>
    <row r="183" spans="1:24" x14ac:dyDescent="0.25">
      <c r="A183" s="37" t="s">
        <v>108</v>
      </c>
      <c r="B183" s="38" t="s">
        <v>1039</v>
      </c>
      <c r="C183" s="37">
        <v>0</v>
      </c>
      <c r="D183" s="38" t="s">
        <v>782</v>
      </c>
      <c r="E183" s="38" t="s">
        <v>1040</v>
      </c>
      <c r="F183" s="38">
        <v>0.105</v>
      </c>
      <c r="G183" s="38" t="s">
        <v>1041</v>
      </c>
      <c r="H183" s="38" t="s">
        <v>1042</v>
      </c>
      <c r="I183" s="38" t="s">
        <v>1043</v>
      </c>
      <c r="J183" s="38" t="s">
        <v>1044</v>
      </c>
      <c r="K183" s="38" t="s">
        <v>9462</v>
      </c>
      <c r="W183" s="213">
        <v>183</v>
      </c>
      <c r="X183" s="214">
        <v>6</v>
      </c>
    </row>
    <row r="184" spans="1:24" x14ac:dyDescent="0.25">
      <c r="A184" s="35" t="s">
        <v>108</v>
      </c>
      <c r="B184" s="36" t="s">
        <v>1045</v>
      </c>
      <c r="C184" s="35">
        <v>0</v>
      </c>
      <c r="D184" s="36" t="s">
        <v>1046</v>
      </c>
      <c r="E184" s="36" t="s">
        <v>1047</v>
      </c>
      <c r="F184" s="36">
        <v>5.2999999999999999E-2</v>
      </c>
      <c r="G184" s="36" t="s">
        <v>1048</v>
      </c>
      <c r="H184" s="36" t="s">
        <v>1049</v>
      </c>
      <c r="I184" s="36" t="s">
        <v>1050</v>
      </c>
      <c r="J184" s="36" t="s">
        <v>1051</v>
      </c>
      <c r="K184" s="36" t="s">
        <v>510</v>
      </c>
      <c r="W184" s="213">
        <v>184</v>
      </c>
      <c r="X184" s="214">
        <v>6</v>
      </c>
    </row>
    <row r="185" spans="1:24" x14ac:dyDescent="0.25">
      <c r="A185" s="37" t="s">
        <v>108</v>
      </c>
      <c r="B185" s="38" t="s">
        <v>1052</v>
      </c>
      <c r="C185" s="37">
        <v>0</v>
      </c>
      <c r="D185" s="38" t="s">
        <v>782</v>
      </c>
      <c r="E185" s="38" t="s">
        <v>1047</v>
      </c>
      <c r="F185" s="38">
        <v>1.7999999999999999E-2</v>
      </c>
      <c r="G185" s="38" t="s">
        <v>1053</v>
      </c>
      <c r="H185" s="38" t="s">
        <v>1054</v>
      </c>
      <c r="I185" s="38" t="s">
        <v>1055</v>
      </c>
      <c r="J185" s="38" t="s">
        <v>1056</v>
      </c>
      <c r="K185" s="38" t="s">
        <v>9463</v>
      </c>
      <c r="W185" s="213">
        <v>185</v>
      </c>
      <c r="X185" s="214">
        <v>6</v>
      </c>
    </row>
    <row r="186" spans="1:24" x14ac:dyDescent="0.25">
      <c r="A186" s="35" t="s">
        <v>108</v>
      </c>
      <c r="B186" s="36" t="s">
        <v>1057</v>
      </c>
      <c r="C186" s="35">
        <v>0</v>
      </c>
      <c r="D186" s="36" t="s">
        <v>345</v>
      </c>
      <c r="E186" s="36" t="s">
        <v>1047</v>
      </c>
      <c r="F186" s="36">
        <v>7.2999999999999995E-2</v>
      </c>
      <c r="G186" s="36" t="s">
        <v>1058</v>
      </c>
      <c r="H186" s="36" t="s">
        <v>1059</v>
      </c>
      <c r="I186" s="36" t="s">
        <v>1060</v>
      </c>
      <c r="J186" s="36" t="s">
        <v>1061</v>
      </c>
      <c r="K186" s="36" t="s">
        <v>510</v>
      </c>
      <c r="W186" s="213">
        <v>186</v>
      </c>
      <c r="X186" s="214">
        <v>6</v>
      </c>
    </row>
    <row r="187" spans="1:24" x14ac:dyDescent="0.25">
      <c r="A187" s="37" t="s">
        <v>108</v>
      </c>
      <c r="B187" s="38" t="s">
        <v>1062</v>
      </c>
      <c r="C187" s="37">
        <v>0</v>
      </c>
      <c r="D187" s="38" t="s">
        <v>853</v>
      </c>
      <c r="E187" s="38" t="s">
        <v>1063</v>
      </c>
      <c r="F187" s="38">
        <v>0.193</v>
      </c>
      <c r="G187" s="38" t="s">
        <v>1064</v>
      </c>
      <c r="H187" s="38" t="s">
        <v>1065</v>
      </c>
      <c r="I187" s="38" t="s">
        <v>1066</v>
      </c>
      <c r="J187" s="38" t="s">
        <v>1067</v>
      </c>
      <c r="K187" s="38" t="s">
        <v>510</v>
      </c>
      <c r="W187" s="213">
        <v>187</v>
      </c>
      <c r="X187" s="214">
        <v>6</v>
      </c>
    </row>
    <row r="188" spans="1:24" x14ac:dyDescent="0.25">
      <c r="A188" s="35" t="s">
        <v>108</v>
      </c>
      <c r="B188" s="36" t="s">
        <v>1068</v>
      </c>
      <c r="C188" s="35">
        <v>0</v>
      </c>
      <c r="D188" s="36" t="s">
        <v>680</v>
      </c>
      <c r="E188" s="36" t="s">
        <v>1063</v>
      </c>
      <c r="F188" s="36">
        <v>0.17799999999999999</v>
      </c>
      <c r="G188" s="36" t="s">
        <v>1069</v>
      </c>
      <c r="H188" s="36" t="s">
        <v>1070</v>
      </c>
      <c r="I188" s="36" t="s">
        <v>1071</v>
      </c>
      <c r="J188" s="36" t="s">
        <v>1072</v>
      </c>
      <c r="K188" s="36" t="s">
        <v>9401</v>
      </c>
      <c r="W188" s="213">
        <v>188</v>
      </c>
      <c r="X188" s="214">
        <v>6</v>
      </c>
    </row>
    <row r="189" spans="1:24" x14ac:dyDescent="0.25">
      <c r="A189" s="37" t="s">
        <v>108</v>
      </c>
      <c r="B189" s="38" t="s">
        <v>1073</v>
      </c>
      <c r="C189" s="37">
        <v>0</v>
      </c>
      <c r="D189" s="38" t="s">
        <v>853</v>
      </c>
      <c r="E189" s="38" t="s">
        <v>1074</v>
      </c>
      <c r="F189" s="38">
        <v>6.2E-2</v>
      </c>
      <c r="G189" s="38" t="s">
        <v>1075</v>
      </c>
      <c r="H189" s="38" t="s">
        <v>1076</v>
      </c>
      <c r="I189" s="38" t="s">
        <v>1077</v>
      </c>
      <c r="J189" s="38" t="s">
        <v>1078</v>
      </c>
      <c r="K189" s="38" t="s">
        <v>510</v>
      </c>
      <c r="W189" s="213">
        <v>189</v>
      </c>
      <c r="X189" s="214">
        <v>6</v>
      </c>
    </row>
    <row r="190" spans="1:24" x14ac:dyDescent="0.25">
      <c r="A190" s="35" t="s">
        <v>108</v>
      </c>
      <c r="B190" s="39" t="s">
        <v>1079</v>
      </c>
      <c r="C190" s="35">
        <v>0</v>
      </c>
      <c r="D190" s="36" t="s">
        <v>293</v>
      </c>
      <c r="E190" s="36" t="s">
        <v>1080</v>
      </c>
      <c r="F190" s="36">
        <v>0.107</v>
      </c>
      <c r="G190" s="36" t="s">
        <v>1081</v>
      </c>
      <c r="H190" s="36" t="s">
        <v>1082</v>
      </c>
      <c r="I190" s="36" t="s">
        <v>1083</v>
      </c>
      <c r="J190" s="36" t="s">
        <v>1084</v>
      </c>
      <c r="K190" s="36" t="s">
        <v>9464</v>
      </c>
      <c r="W190" s="213">
        <v>190</v>
      </c>
      <c r="X190" s="214">
        <v>6</v>
      </c>
    </row>
    <row r="191" spans="1:24" x14ac:dyDescent="0.25">
      <c r="A191" s="37" t="s">
        <v>108</v>
      </c>
      <c r="B191" s="38" t="s">
        <v>1085</v>
      </c>
      <c r="C191" s="37">
        <v>0</v>
      </c>
      <c r="D191" s="38" t="s">
        <v>319</v>
      </c>
      <c r="E191" s="38" t="s">
        <v>1080</v>
      </c>
      <c r="F191" s="38">
        <v>0.221</v>
      </c>
      <c r="G191" s="38" t="s">
        <v>1086</v>
      </c>
      <c r="H191" s="38" t="s">
        <v>1087</v>
      </c>
      <c r="I191" s="38" t="s">
        <v>1088</v>
      </c>
      <c r="J191" s="38" t="s">
        <v>1089</v>
      </c>
      <c r="K191" s="38" t="s">
        <v>9465</v>
      </c>
      <c r="W191" s="213">
        <v>191</v>
      </c>
      <c r="X191" s="214">
        <v>6</v>
      </c>
    </row>
    <row r="192" spans="1:24" x14ac:dyDescent="0.25">
      <c r="A192" s="35" t="s">
        <v>108</v>
      </c>
      <c r="B192" s="36" t="s">
        <v>1104</v>
      </c>
      <c r="C192" s="35">
        <v>0</v>
      </c>
      <c r="D192" s="36" t="s">
        <v>659</v>
      </c>
      <c r="E192" s="36" t="s">
        <v>1105</v>
      </c>
      <c r="F192" s="36">
        <v>8.3000000000000004E-2</v>
      </c>
      <c r="G192" s="36" t="s">
        <v>1106</v>
      </c>
      <c r="H192" s="36" t="s">
        <v>1107</v>
      </c>
      <c r="I192" s="36" t="s">
        <v>1108</v>
      </c>
      <c r="J192" s="36" t="s">
        <v>1109</v>
      </c>
      <c r="K192" s="36" t="s">
        <v>9466</v>
      </c>
      <c r="W192" s="213">
        <v>192</v>
      </c>
      <c r="X192" s="214">
        <v>6</v>
      </c>
    </row>
    <row r="193" spans="1:24" x14ac:dyDescent="0.25">
      <c r="A193" s="37" t="s">
        <v>108</v>
      </c>
      <c r="B193" s="38" t="s">
        <v>1110</v>
      </c>
      <c r="C193" s="37">
        <v>0</v>
      </c>
      <c r="D193" s="38" t="s">
        <v>185</v>
      </c>
      <c r="E193" s="38" t="s">
        <v>1111</v>
      </c>
      <c r="F193" s="38">
        <v>0.13300000000000001</v>
      </c>
      <c r="G193" s="38" t="s">
        <v>1112</v>
      </c>
      <c r="H193" s="38" t="s">
        <v>1113</v>
      </c>
      <c r="I193" s="38" t="s">
        <v>1114</v>
      </c>
      <c r="J193" s="38" t="s">
        <v>1115</v>
      </c>
      <c r="K193" s="38" t="s">
        <v>510</v>
      </c>
      <c r="W193" s="213">
        <v>193</v>
      </c>
      <c r="X193" s="214">
        <v>6</v>
      </c>
    </row>
    <row r="194" spans="1:24" x14ac:dyDescent="0.25">
      <c r="A194" s="35" t="s">
        <v>108</v>
      </c>
      <c r="B194" s="39" t="s">
        <v>1116</v>
      </c>
      <c r="C194" s="35">
        <v>3</v>
      </c>
      <c r="D194" s="36" t="s">
        <v>165</v>
      </c>
      <c r="E194" s="36" t="s">
        <v>1117</v>
      </c>
      <c r="F194" s="36">
        <v>0.20899999999999999</v>
      </c>
      <c r="G194" s="36" t="s">
        <v>1118</v>
      </c>
      <c r="H194" s="36" t="s">
        <v>1119</v>
      </c>
      <c r="I194" s="36" t="s">
        <v>1120</v>
      </c>
      <c r="J194" s="36" t="s">
        <v>1121</v>
      </c>
      <c r="K194" s="36" t="s">
        <v>9467</v>
      </c>
      <c r="W194" s="213">
        <v>194</v>
      </c>
      <c r="X194" s="214">
        <v>6</v>
      </c>
    </row>
    <row r="195" spans="1:24" x14ac:dyDescent="0.25">
      <c r="A195" s="38" t="s">
        <v>0</v>
      </c>
      <c r="B195" s="37" t="s">
        <v>32</v>
      </c>
      <c r="C195" s="141" t="s">
        <v>1122</v>
      </c>
      <c r="D195" s="38" t="s">
        <v>649</v>
      </c>
      <c r="E195" s="38" t="s">
        <v>1123</v>
      </c>
      <c r="F195" s="38">
        <v>0.33</v>
      </c>
      <c r="G195" s="38" t="s">
        <v>510</v>
      </c>
      <c r="H195" s="38"/>
      <c r="I195" s="38"/>
      <c r="J195" s="38"/>
      <c r="K195" s="38" t="s">
        <v>510</v>
      </c>
      <c r="W195" s="213">
        <v>195</v>
      </c>
      <c r="X195" s="214">
        <v>6</v>
      </c>
    </row>
    <row r="196" spans="1:24" x14ac:dyDescent="0.25">
      <c r="A196" s="36" t="s">
        <v>0</v>
      </c>
      <c r="B196" s="35" t="s">
        <v>32</v>
      </c>
      <c r="C196" s="143" t="s">
        <v>1124</v>
      </c>
      <c r="D196" s="36" t="s">
        <v>649</v>
      </c>
      <c r="E196" s="36" t="s">
        <v>1125</v>
      </c>
      <c r="F196" s="36">
        <v>0.03</v>
      </c>
      <c r="G196" s="36" t="s">
        <v>510</v>
      </c>
      <c r="H196" s="36"/>
      <c r="I196" s="36"/>
      <c r="J196" s="36"/>
      <c r="K196" s="36" t="s">
        <v>510</v>
      </c>
      <c r="W196" s="213">
        <v>196</v>
      </c>
      <c r="X196" s="214">
        <v>6</v>
      </c>
    </row>
    <row r="197" spans="1:24" x14ac:dyDescent="0.25">
      <c r="A197" s="38" t="s">
        <v>0</v>
      </c>
      <c r="B197" s="37" t="s">
        <v>32</v>
      </c>
      <c r="C197" s="141" t="s">
        <v>1126</v>
      </c>
      <c r="D197" s="38" t="s">
        <v>50</v>
      </c>
      <c r="E197" s="38" t="s">
        <v>1127</v>
      </c>
      <c r="F197" s="38">
        <v>8.4000000000000005E-2</v>
      </c>
      <c r="G197" s="38" t="s">
        <v>510</v>
      </c>
      <c r="H197" s="38"/>
      <c r="I197" s="38"/>
      <c r="J197" s="38"/>
      <c r="K197" s="38" t="s">
        <v>510</v>
      </c>
      <c r="W197" s="213">
        <v>197</v>
      </c>
      <c r="X197" s="214">
        <v>6</v>
      </c>
    </row>
    <row r="198" spans="1:24" x14ac:dyDescent="0.25">
      <c r="A198" s="35" t="s">
        <v>108</v>
      </c>
      <c r="B198" s="36" t="s">
        <v>1128</v>
      </c>
      <c r="C198" s="35">
        <v>0</v>
      </c>
      <c r="D198" s="36" t="s">
        <v>254</v>
      </c>
      <c r="E198" s="36" t="s">
        <v>1129</v>
      </c>
      <c r="F198" s="36">
        <v>0.27200000000000002</v>
      </c>
      <c r="G198" s="36" t="s">
        <v>1130</v>
      </c>
      <c r="H198" s="36" t="s">
        <v>1131</v>
      </c>
      <c r="I198" s="36" t="s">
        <v>1132</v>
      </c>
      <c r="J198" s="36" t="s">
        <v>1133</v>
      </c>
      <c r="K198" s="36" t="s">
        <v>510</v>
      </c>
      <c r="W198" s="213">
        <v>198</v>
      </c>
      <c r="X198" s="214">
        <v>6</v>
      </c>
    </row>
    <row r="199" spans="1:24" x14ac:dyDescent="0.25">
      <c r="A199" s="37" t="s">
        <v>108</v>
      </c>
      <c r="B199" s="38" t="s">
        <v>1134</v>
      </c>
      <c r="C199" s="37">
        <v>0</v>
      </c>
      <c r="D199" s="38" t="s">
        <v>469</v>
      </c>
      <c r="E199" s="38" t="s">
        <v>1135</v>
      </c>
      <c r="F199" s="38">
        <v>0.20399999999999999</v>
      </c>
      <c r="G199" s="38" t="s">
        <v>1136</v>
      </c>
      <c r="H199" s="38" t="s">
        <v>1137</v>
      </c>
      <c r="I199" s="38" t="s">
        <v>1138</v>
      </c>
      <c r="J199" s="38" t="s">
        <v>1139</v>
      </c>
      <c r="K199" s="38" t="s">
        <v>510</v>
      </c>
      <c r="W199" s="213">
        <v>199</v>
      </c>
      <c r="X199" s="214">
        <v>6</v>
      </c>
    </row>
    <row r="200" spans="1:24" x14ac:dyDescent="0.25">
      <c r="A200" s="35" t="s">
        <v>108</v>
      </c>
      <c r="B200" s="36" t="s">
        <v>1140</v>
      </c>
      <c r="C200" s="35">
        <v>0</v>
      </c>
      <c r="D200" s="36" t="s">
        <v>423</v>
      </c>
      <c r="E200" s="36" t="s">
        <v>1141</v>
      </c>
      <c r="F200" s="36">
        <v>0.13300000000000001</v>
      </c>
      <c r="G200" s="36" t="s">
        <v>1142</v>
      </c>
      <c r="H200" s="36" t="s">
        <v>1143</v>
      </c>
      <c r="I200" s="36" t="s">
        <v>1144</v>
      </c>
      <c r="J200" s="36" t="s">
        <v>1145</v>
      </c>
      <c r="K200" s="36" t="s">
        <v>9468</v>
      </c>
      <c r="W200" s="213">
        <v>200</v>
      </c>
      <c r="X200" s="214">
        <v>6</v>
      </c>
    </row>
    <row r="201" spans="1:24" x14ac:dyDescent="0.25">
      <c r="A201" s="37" t="s">
        <v>108</v>
      </c>
      <c r="B201" s="38" t="s">
        <v>1153</v>
      </c>
      <c r="C201" s="37">
        <v>0</v>
      </c>
      <c r="D201" s="38" t="s">
        <v>1154</v>
      </c>
      <c r="E201" s="38" t="s">
        <v>1155</v>
      </c>
      <c r="F201" s="38">
        <v>0.128</v>
      </c>
      <c r="G201" s="38" t="s">
        <v>1156</v>
      </c>
      <c r="H201" s="38" t="s">
        <v>1157</v>
      </c>
      <c r="I201" s="38" t="s">
        <v>1158</v>
      </c>
      <c r="J201" s="38" t="s">
        <v>1159</v>
      </c>
      <c r="K201" s="38" t="s">
        <v>9469</v>
      </c>
      <c r="W201" s="213">
        <v>201</v>
      </c>
      <c r="X201" s="214">
        <v>6</v>
      </c>
    </row>
    <row r="202" spans="1:24" x14ac:dyDescent="0.25">
      <c r="A202" s="35" t="s">
        <v>108</v>
      </c>
      <c r="B202" s="36" t="s">
        <v>1160</v>
      </c>
      <c r="C202" s="35">
        <v>0</v>
      </c>
      <c r="D202" s="36" t="s">
        <v>597</v>
      </c>
      <c r="E202" s="36" t="s">
        <v>1155</v>
      </c>
      <c r="F202" s="36">
        <v>2.8000000000000001E-2</v>
      </c>
      <c r="G202" s="36" t="s">
        <v>1161</v>
      </c>
      <c r="H202" s="36" t="s">
        <v>1162</v>
      </c>
      <c r="I202" s="36" t="s">
        <v>1163</v>
      </c>
      <c r="J202" s="36" t="s">
        <v>1164</v>
      </c>
      <c r="K202" s="36" t="s">
        <v>9470</v>
      </c>
      <c r="W202" s="213">
        <v>202</v>
      </c>
      <c r="X202" s="214">
        <v>6</v>
      </c>
    </row>
    <row r="203" spans="1:24" x14ac:dyDescent="0.25">
      <c r="A203" s="43" t="s">
        <v>1090</v>
      </c>
      <c r="B203" s="43" t="s">
        <v>1091</v>
      </c>
      <c r="C203" s="37">
        <v>0</v>
      </c>
      <c r="D203" s="38" t="s">
        <v>1092</v>
      </c>
      <c r="E203" s="38" t="s">
        <v>1093</v>
      </c>
      <c r="F203" s="38">
        <v>0.11899999999999999</v>
      </c>
      <c r="G203" s="38" t="s">
        <v>1094</v>
      </c>
      <c r="H203" s="38" t="s">
        <v>1095</v>
      </c>
      <c r="I203" s="38" t="s">
        <v>1096</v>
      </c>
      <c r="J203" s="38" t="s">
        <v>1097</v>
      </c>
      <c r="K203" s="38" t="s">
        <v>9471</v>
      </c>
      <c r="W203" s="213">
        <v>203</v>
      </c>
      <c r="X203" s="214">
        <v>6</v>
      </c>
    </row>
    <row r="204" spans="1:24" x14ac:dyDescent="0.25">
      <c r="A204" s="35" t="s">
        <v>108</v>
      </c>
      <c r="B204" s="39" t="s">
        <v>1148</v>
      </c>
      <c r="C204" s="35">
        <v>0</v>
      </c>
      <c r="D204" s="36" t="s">
        <v>1146</v>
      </c>
      <c r="E204" s="36" t="s">
        <v>1147</v>
      </c>
      <c r="F204" s="36">
        <v>0.13200000000000001</v>
      </c>
      <c r="G204" s="36" t="s">
        <v>1149</v>
      </c>
      <c r="H204" s="36" t="s">
        <v>1150</v>
      </c>
      <c r="I204" s="36" t="s">
        <v>1151</v>
      </c>
      <c r="J204" s="36" t="s">
        <v>1152</v>
      </c>
      <c r="K204" s="36" t="s">
        <v>9472</v>
      </c>
      <c r="W204" s="213">
        <v>204</v>
      </c>
      <c r="X204" s="214">
        <v>6</v>
      </c>
    </row>
    <row r="205" spans="1:24" x14ac:dyDescent="0.25">
      <c r="A205" s="37" t="s">
        <v>108</v>
      </c>
      <c r="B205" s="38" t="s">
        <v>1165</v>
      </c>
      <c r="C205" s="37">
        <v>0</v>
      </c>
      <c r="D205" s="38" t="s">
        <v>597</v>
      </c>
      <c r="E205" s="38" t="s">
        <v>1166</v>
      </c>
      <c r="F205" s="38">
        <v>0.182</v>
      </c>
      <c r="G205" s="38" t="s">
        <v>1167</v>
      </c>
      <c r="H205" s="38" t="s">
        <v>1168</v>
      </c>
      <c r="I205" s="38" t="s">
        <v>1169</v>
      </c>
      <c r="J205" s="38" t="s">
        <v>1170</v>
      </c>
      <c r="K205" s="38" t="s">
        <v>9473</v>
      </c>
      <c r="W205" s="213">
        <v>205</v>
      </c>
      <c r="X205" s="214">
        <v>6</v>
      </c>
    </row>
    <row r="206" spans="1:24" x14ac:dyDescent="0.25">
      <c r="A206" s="35" t="s">
        <v>108</v>
      </c>
      <c r="B206" s="36" t="s">
        <v>1171</v>
      </c>
      <c r="C206" s="35">
        <v>0</v>
      </c>
      <c r="D206" s="36" t="s">
        <v>226</v>
      </c>
      <c r="E206" s="36" t="s">
        <v>1166</v>
      </c>
      <c r="F206" s="36">
        <v>0.17</v>
      </c>
      <c r="G206" s="36" t="s">
        <v>1172</v>
      </c>
      <c r="H206" s="36" t="s">
        <v>1173</v>
      </c>
      <c r="I206" s="36" t="s">
        <v>1174</v>
      </c>
      <c r="J206" s="36" t="s">
        <v>1175</v>
      </c>
      <c r="K206" s="36" t="s">
        <v>9474</v>
      </c>
      <c r="W206" s="213">
        <v>206</v>
      </c>
      <c r="X206" s="214">
        <v>6</v>
      </c>
    </row>
    <row r="207" spans="1:24" x14ac:dyDescent="0.25">
      <c r="A207" s="37" t="s">
        <v>108</v>
      </c>
      <c r="B207" s="38" t="s">
        <v>1176</v>
      </c>
      <c r="C207" s="37">
        <v>0</v>
      </c>
      <c r="D207" s="38" t="s">
        <v>326</v>
      </c>
      <c r="E207" s="38" t="s">
        <v>1099</v>
      </c>
      <c r="F207" s="38">
        <v>0.11799999999999999</v>
      </c>
      <c r="G207" s="38" t="s">
        <v>1177</v>
      </c>
      <c r="H207" s="38" t="s">
        <v>1178</v>
      </c>
      <c r="I207" s="38" t="s">
        <v>1179</v>
      </c>
      <c r="J207" s="38" t="s">
        <v>1180</v>
      </c>
      <c r="K207" s="38" t="s">
        <v>9475</v>
      </c>
      <c r="W207" s="213">
        <v>207</v>
      </c>
      <c r="X207" s="214">
        <v>6</v>
      </c>
    </row>
    <row r="208" spans="1:24" x14ac:dyDescent="0.25">
      <c r="A208" s="35" t="s">
        <v>108</v>
      </c>
      <c r="B208" s="41" t="s">
        <v>1098</v>
      </c>
      <c r="C208" s="35">
        <v>0</v>
      </c>
      <c r="D208" s="36" t="s">
        <v>84</v>
      </c>
      <c r="E208" s="36" t="s">
        <v>1099</v>
      </c>
      <c r="F208" s="36">
        <v>0.246</v>
      </c>
      <c r="G208" s="36" t="s">
        <v>1100</v>
      </c>
      <c r="H208" s="36" t="s">
        <v>1101</v>
      </c>
      <c r="I208" s="36" t="s">
        <v>1102</v>
      </c>
      <c r="J208" s="36" t="s">
        <v>1103</v>
      </c>
      <c r="K208" s="36" t="s">
        <v>510</v>
      </c>
      <c r="W208" s="213">
        <v>208</v>
      </c>
      <c r="X208" s="214">
        <v>6</v>
      </c>
    </row>
    <row r="209" spans="1:24" x14ac:dyDescent="0.25">
      <c r="A209" s="37" t="s">
        <v>108</v>
      </c>
      <c r="B209" s="38" t="s">
        <v>1181</v>
      </c>
      <c r="C209" s="37">
        <v>0</v>
      </c>
      <c r="D209" s="38" t="s">
        <v>345</v>
      </c>
      <c r="E209" s="38" t="s">
        <v>1099</v>
      </c>
      <c r="F209" s="38">
        <v>0.13200000000000001</v>
      </c>
      <c r="G209" s="38" t="s">
        <v>1182</v>
      </c>
      <c r="H209" s="38" t="s">
        <v>1183</v>
      </c>
      <c r="I209" s="38" t="s">
        <v>1184</v>
      </c>
      <c r="J209" s="38" t="s">
        <v>1185</v>
      </c>
      <c r="K209" s="38" t="s">
        <v>9476</v>
      </c>
      <c r="W209" s="213">
        <v>209</v>
      </c>
      <c r="X209" s="214">
        <v>6</v>
      </c>
    </row>
    <row r="210" spans="1:24" x14ac:dyDescent="0.25">
      <c r="A210" s="35" t="s">
        <v>108</v>
      </c>
      <c r="B210" s="36" t="s">
        <v>1186</v>
      </c>
      <c r="C210" s="35">
        <v>0</v>
      </c>
      <c r="D210" s="36" t="s">
        <v>659</v>
      </c>
      <c r="E210" s="36" t="s">
        <v>1187</v>
      </c>
      <c r="F210" s="36">
        <v>5.8000000000000003E-2</v>
      </c>
      <c r="G210" s="36" t="s">
        <v>1188</v>
      </c>
      <c r="H210" s="36" t="s">
        <v>1189</v>
      </c>
      <c r="I210" s="36" t="s">
        <v>1190</v>
      </c>
      <c r="J210" s="36" t="s">
        <v>1191</v>
      </c>
      <c r="K210" s="36" t="s">
        <v>510</v>
      </c>
      <c r="W210" s="213">
        <v>210</v>
      </c>
      <c r="X210" s="214">
        <v>6</v>
      </c>
    </row>
    <row r="211" spans="1:24" x14ac:dyDescent="0.25">
      <c r="A211" s="37" t="s">
        <v>108</v>
      </c>
      <c r="B211" s="38" t="s">
        <v>1192</v>
      </c>
      <c r="C211" s="37">
        <v>0</v>
      </c>
      <c r="D211" s="38" t="s">
        <v>247</v>
      </c>
      <c r="E211" s="38" t="s">
        <v>1193</v>
      </c>
      <c r="F211" s="38">
        <v>4.4999999999999998E-2</v>
      </c>
      <c r="G211" s="38" t="s">
        <v>1194</v>
      </c>
      <c r="H211" s="38" t="s">
        <v>1195</v>
      </c>
      <c r="I211" s="38" t="s">
        <v>1196</v>
      </c>
      <c r="J211" s="38" t="s">
        <v>1197</v>
      </c>
      <c r="K211" s="38" t="s">
        <v>510</v>
      </c>
      <c r="W211" s="213">
        <v>211</v>
      </c>
      <c r="X211" s="214">
        <v>6</v>
      </c>
    </row>
    <row r="212" spans="1:24" x14ac:dyDescent="0.25">
      <c r="A212" s="35" t="s">
        <v>108</v>
      </c>
      <c r="B212" s="36" t="s">
        <v>1198</v>
      </c>
      <c r="C212" s="35">
        <v>0</v>
      </c>
      <c r="D212" s="36" t="s">
        <v>172</v>
      </c>
      <c r="E212" s="36" t="s">
        <v>1193</v>
      </c>
      <c r="F212" s="36">
        <v>0.26</v>
      </c>
      <c r="G212" s="36" t="s">
        <v>1199</v>
      </c>
      <c r="H212" s="36" t="s">
        <v>1200</v>
      </c>
      <c r="I212" s="36" t="s">
        <v>1201</v>
      </c>
      <c r="J212" s="36" t="s">
        <v>1202</v>
      </c>
      <c r="K212" s="36" t="s">
        <v>9460</v>
      </c>
      <c r="W212" s="213">
        <v>212</v>
      </c>
      <c r="X212" s="214">
        <v>6</v>
      </c>
    </row>
    <row r="213" spans="1:24" x14ac:dyDescent="0.25">
      <c r="A213" s="37" t="s">
        <v>108</v>
      </c>
      <c r="B213" s="38" t="s">
        <v>1203</v>
      </c>
      <c r="C213" s="37">
        <v>0</v>
      </c>
      <c r="D213" s="38" t="s">
        <v>597</v>
      </c>
      <c r="E213" s="38" t="s">
        <v>1204</v>
      </c>
      <c r="F213" s="38">
        <v>0.158</v>
      </c>
      <c r="G213" s="38" t="s">
        <v>1205</v>
      </c>
      <c r="H213" s="38" t="s">
        <v>1206</v>
      </c>
      <c r="I213" s="38" t="s">
        <v>1207</v>
      </c>
      <c r="J213" s="38" t="s">
        <v>1208</v>
      </c>
      <c r="K213" s="38" t="s">
        <v>9477</v>
      </c>
      <c r="W213" s="213">
        <v>213</v>
      </c>
      <c r="X213" s="214">
        <v>6</v>
      </c>
    </row>
    <row r="214" spans="1:24" x14ac:dyDescent="0.25">
      <c r="A214" s="35" t="s">
        <v>108</v>
      </c>
      <c r="B214" s="39" t="s">
        <v>1209</v>
      </c>
      <c r="C214" s="35">
        <v>1</v>
      </c>
      <c r="D214" s="36" t="s">
        <v>1210</v>
      </c>
      <c r="E214" s="36" t="s">
        <v>1211</v>
      </c>
      <c r="F214" s="36">
        <v>0.221</v>
      </c>
      <c r="G214" s="36" t="s">
        <v>1212</v>
      </c>
      <c r="H214" s="36" t="s">
        <v>1213</v>
      </c>
      <c r="I214" s="36" t="s">
        <v>1214</v>
      </c>
      <c r="J214" s="36" t="s">
        <v>1215</v>
      </c>
      <c r="K214" s="36" t="s">
        <v>9478</v>
      </c>
      <c r="W214" s="213">
        <v>214</v>
      </c>
      <c r="X214" s="214">
        <v>6</v>
      </c>
    </row>
    <row r="215" spans="1:24" x14ac:dyDescent="0.25">
      <c r="A215" s="38" t="s">
        <v>0</v>
      </c>
      <c r="B215" s="37" t="s">
        <v>32</v>
      </c>
      <c r="C215" s="141" t="s">
        <v>1216</v>
      </c>
      <c r="D215" s="38" t="s">
        <v>740</v>
      </c>
      <c r="E215" s="38" t="s">
        <v>1217</v>
      </c>
      <c r="F215" s="38">
        <v>4.2999999999999997E-2</v>
      </c>
      <c r="G215" s="38" t="s">
        <v>1218</v>
      </c>
      <c r="H215" s="42"/>
      <c r="I215" s="42"/>
      <c r="J215" s="42"/>
      <c r="K215" s="38" t="s">
        <v>510</v>
      </c>
      <c r="W215" s="213">
        <v>215</v>
      </c>
      <c r="X215" s="214">
        <v>6</v>
      </c>
    </row>
    <row r="216" spans="1:24" x14ac:dyDescent="0.25">
      <c r="A216" s="35" t="s">
        <v>108</v>
      </c>
      <c r="B216" s="36" t="s">
        <v>1219</v>
      </c>
      <c r="C216" s="35">
        <v>1</v>
      </c>
      <c r="D216" s="36" t="s">
        <v>1220</v>
      </c>
      <c r="E216" s="36" t="s">
        <v>1211</v>
      </c>
      <c r="F216" s="36">
        <v>0.10299999999999999</v>
      </c>
      <c r="G216" s="36" t="s">
        <v>1221</v>
      </c>
      <c r="H216" s="36" t="s">
        <v>1222</v>
      </c>
      <c r="I216" s="36" t="s">
        <v>1223</v>
      </c>
      <c r="J216" s="36" t="s">
        <v>1224</v>
      </c>
      <c r="K216" s="36" t="s">
        <v>9479</v>
      </c>
      <c r="W216" s="213">
        <v>216</v>
      </c>
      <c r="X216" s="214">
        <v>6</v>
      </c>
    </row>
    <row r="217" spans="1:24" x14ac:dyDescent="0.25">
      <c r="A217" s="38" t="s">
        <v>0</v>
      </c>
      <c r="B217" s="37" t="s">
        <v>32</v>
      </c>
      <c r="C217" s="136" t="s">
        <v>1225</v>
      </c>
      <c r="D217" s="38" t="s">
        <v>64</v>
      </c>
      <c r="E217" s="38" t="s">
        <v>1226</v>
      </c>
      <c r="F217" s="38" t="s">
        <v>510</v>
      </c>
      <c r="G217" s="38" t="s">
        <v>510</v>
      </c>
      <c r="H217" s="42"/>
      <c r="I217" s="42"/>
      <c r="J217" s="42"/>
      <c r="K217" s="38" t="s">
        <v>510</v>
      </c>
      <c r="W217" s="213">
        <v>217</v>
      </c>
      <c r="X217" s="214">
        <v>6</v>
      </c>
    </row>
    <row r="218" spans="1:24" x14ac:dyDescent="0.25">
      <c r="A218" s="35" t="s">
        <v>108</v>
      </c>
      <c r="B218" s="36" t="s">
        <v>1227</v>
      </c>
      <c r="C218" s="35">
        <v>0</v>
      </c>
      <c r="D218" s="36" t="s">
        <v>365</v>
      </c>
      <c r="E218" s="36" t="s">
        <v>1228</v>
      </c>
      <c r="F218" s="36">
        <v>0.31</v>
      </c>
      <c r="G218" s="36" t="s">
        <v>1229</v>
      </c>
      <c r="H218" s="36" t="s">
        <v>1230</v>
      </c>
      <c r="I218" s="36" t="s">
        <v>1231</v>
      </c>
      <c r="J218" s="36" t="s">
        <v>1232</v>
      </c>
      <c r="K218" s="36" t="s">
        <v>9480</v>
      </c>
      <c r="W218" s="213">
        <v>218</v>
      </c>
      <c r="X218" s="214">
        <v>6</v>
      </c>
    </row>
    <row r="219" spans="1:24" x14ac:dyDescent="0.25">
      <c r="A219" s="37" t="s">
        <v>108</v>
      </c>
      <c r="B219" s="38" t="s">
        <v>1233</v>
      </c>
      <c r="C219" s="37">
        <v>0</v>
      </c>
      <c r="D219" s="38" t="s">
        <v>469</v>
      </c>
      <c r="E219" s="38" t="s">
        <v>1228</v>
      </c>
      <c r="F219" s="38">
        <v>7.3999999999999996E-2</v>
      </c>
      <c r="G219" s="38" t="s">
        <v>1234</v>
      </c>
      <c r="H219" s="38" t="s">
        <v>1235</v>
      </c>
      <c r="I219" s="38" t="s">
        <v>1236</v>
      </c>
      <c r="J219" s="38" t="s">
        <v>1237</v>
      </c>
      <c r="K219" s="38" t="s">
        <v>510</v>
      </c>
      <c r="W219" s="213">
        <v>219</v>
      </c>
      <c r="X219" s="214">
        <v>6</v>
      </c>
    </row>
    <row r="220" spans="1:24" x14ac:dyDescent="0.25">
      <c r="A220" s="35" t="s">
        <v>108</v>
      </c>
      <c r="B220" s="36" t="s">
        <v>1238</v>
      </c>
      <c r="C220" s="35">
        <v>0</v>
      </c>
      <c r="D220" s="36" t="s">
        <v>1239</v>
      </c>
      <c r="E220" s="36" t="s">
        <v>1240</v>
      </c>
      <c r="F220" s="36">
        <v>0.18</v>
      </c>
      <c r="G220" s="36" t="s">
        <v>1241</v>
      </c>
      <c r="H220" s="36" t="s">
        <v>1242</v>
      </c>
      <c r="I220" s="36" t="s">
        <v>1243</v>
      </c>
      <c r="J220" s="36" t="s">
        <v>1244</v>
      </c>
      <c r="K220" s="36" t="s">
        <v>510</v>
      </c>
      <c r="W220" s="213">
        <v>220</v>
      </c>
      <c r="X220" s="214">
        <v>6</v>
      </c>
    </row>
    <row r="221" spans="1:24" x14ac:dyDescent="0.25">
      <c r="A221" s="37" t="s">
        <v>108</v>
      </c>
      <c r="B221" s="43" t="s">
        <v>1245</v>
      </c>
      <c r="C221" s="37">
        <v>0</v>
      </c>
      <c r="D221" s="38" t="s">
        <v>261</v>
      </c>
      <c r="E221" s="38" t="s">
        <v>1246</v>
      </c>
      <c r="F221" s="38">
        <v>9.1999999999999998E-2</v>
      </c>
      <c r="G221" s="38" t="s">
        <v>1247</v>
      </c>
      <c r="H221" s="38" t="s">
        <v>1248</v>
      </c>
      <c r="I221" s="38" t="s">
        <v>1249</v>
      </c>
      <c r="J221" s="38" t="s">
        <v>1250</v>
      </c>
      <c r="K221" s="38" t="s">
        <v>9481</v>
      </c>
      <c r="W221" s="213">
        <v>221</v>
      </c>
      <c r="X221" s="214">
        <v>6</v>
      </c>
    </row>
    <row r="222" spans="1:24" x14ac:dyDescent="0.25">
      <c r="A222" s="35" t="s">
        <v>108</v>
      </c>
      <c r="B222" s="36" t="s">
        <v>1251</v>
      </c>
      <c r="C222" s="35">
        <v>0</v>
      </c>
      <c r="D222" s="36" t="s">
        <v>247</v>
      </c>
      <c r="E222" s="36" t="s">
        <v>1252</v>
      </c>
      <c r="F222" s="36">
        <v>8.0000000000000002E-3</v>
      </c>
      <c r="G222" s="36" t="s">
        <v>1253</v>
      </c>
      <c r="H222" s="36" t="s">
        <v>1254</v>
      </c>
      <c r="I222" s="36" t="s">
        <v>1255</v>
      </c>
      <c r="J222" s="36" t="s">
        <v>1256</v>
      </c>
      <c r="K222" s="36" t="s">
        <v>9482</v>
      </c>
      <c r="W222" s="213">
        <v>222</v>
      </c>
      <c r="X222" s="214">
        <v>6</v>
      </c>
    </row>
    <row r="223" spans="1:24" x14ac:dyDescent="0.25">
      <c r="A223" s="37" t="s">
        <v>108</v>
      </c>
      <c r="B223" s="43" t="s">
        <v>1257</v>
      </c>
      <c r="C223" s="37">
        <v>0</v>
      </c>
      <c r="D223" s="38" t="s">
        <v>1258</v>
      </c>
      <c r="E223" s="38" t="s">
        <v>1259</v>
      </c>
      <c r="F223" s="38">
        <v>0.185</v>
      </c>
      <c r="G223" s="38" t="s">
        <v>1260</v>
      </c>
      <c r="H223" s="38" t="s">
        <v>1261</v>
      </c>
      <c r="I223" s="38" t="s">
        <v>1262</v>
      </c>
      <c r="J223" s="38" t="s">
        <v>1263</v>
      </c>
      <c r="K223" s="38" t="s">
        <v>9483</v>
      </c>
      <c r="W223" s="213">
        <v>223</v>
      </c>
      <c r="X223" s="214">
        <v>6</v>
      </c>
    </row>
    <row r="224" spans="1:24" x14ac:dyDescent="0.25">
      <c r="A224" s="35" t="s">
        <v>108</v>
      </c>
      <c r="B224" s="36" t="s">
        <v>1264</v>
      </c>
      <c r="C224" s="35">
        <v>0</v>
      </c>
      <c r="D224" s="36" t="s">
        <v>240</v>
      </c>
      <c r="E224" s="36" t="s">
        <v>1265</v>
      </c>
      <c r="F224" s="36">
        <v>0.191</v>
      </c>
      <c r="G224" s="36" t="s">
        <v>1266</v>
      </c>
      <c r="H224" s="36" t="s">
        <v>1267</v>
      </c>
      <c r="I224" s="36" t="s">
        <v>1268</v>
      </c>
      <c r="J224" s="36" t="s">
        <v>1269</v>
      </c>
      <c r="K224" s="36" t="s">
        <v>510</v>
      </c>
      <c r="W224" s="213">
        <v>224</v>
      </c>
      <c r="X224" s="214">
        <v>6</v>
      </c>
    </row>
    <row r="225" spans="1:24" x14ac:dyDescent="0.25">
      <c r="A225" s="37" t="s">
        <v>108</v>
      </c>
      <c r="B225" s="38" t="s">
        <v>1270</v>
      </c>
      <c r="C225" s="37">
        <v>0</v>
      </c>
      <c r="D225" s="38" t="s">
        <v>144</v>
      </c>
      <c r="E225" s="38" t="s">
        <v>1271</v>
      </c>
      <c r="F225" s="38">
        <v>0.159</v>
      </c>
      <c r="G225" s="38" t="s">
        <v>1272</v>
      </c>
      <c r="H225" s="38" t="s">
        <v>1273</v>
      </c>
      <c r="I225" s="38" t="s">
        <v>1274</v>
      </c>
      <c r="J225" s="38" t="s">
        <v>1275</v>
      </c>
      <c r="K225" s="38" t="s">
        <v>9484</v>
      </c>
      <c r="W225" s="213">
        <v>225</v>
      </c>
      <c r="X225" s="214">
        <v>6</v>
      </c>
    </row>
    <row r="226" spans="1:24" x14ac:dyDescent="0.25">
      <c r="A226" s="35" t="s">
        <v>108</v>
      </c>
      <c r="B226" s="36" t="s">
        <v>1276</v>
      </c>
      <c r="C226" s="35">
        <v>0</v>
      </c>
      <c r="D226" s="36" t="s">
        <v>326</v>
      </c>
      <c r="E226" s="36" t="s">
        <v>1277</v>
      </c>
      <c r="F226" s="36">
        <v>9.5000000000000001E-2</v>
      </c>
      <c r="G226" s="36" t="s">
        <v>1278</v>
      </c>
      <c r="H226" s="36" t="s">
        <v>1279</v>
      </c>
      <c r="I226" s="36" t="s">
        <v>1280</v>
      </c>
      <c r="J226" s="36" t="s">
        <v>1281</v>
      </c>
      <c r="K226" s="36" t="s">
        <v>9485</v>
      </c>
      <c r="W226" s="213">
        <v>226</v>
      </c>
      <c r="X226" s="214">
        <v>6</v>
      </c>
    </row>
    <row r="227" spans="1:24" x14ac:dyDescent="0.25">
      <c r="A227" s="37" t="s">
        <v>108</v>
      </c>
      <c r="B227" s="38" t="s">
        <v>1282</v>
      </c>
      <c r="C227" s="37">
        <v>0</v>
      </c>
      <c r="D227" s="38" t="s">
        <v>339</v>
      </c>
      <c r="E227" s="38" t="s">
        <v>1283</v>
      </c>
      <c r="F227" s="38">
        <v>0.16700000000000001</v>
      </c>
      <c r="G227" s="38" t="s">
        <v>1284</v>
      </c>
      <c r="H227" s="38" t="s">
        <v>1285</v>
      </c>
      <c r="I227" s="38" t="s">
        <v>1286</v>
      </c>
      <c r="J227" s="38" t="s">
        <v>1287</v>
      </c>
      <c r="K227" s="38" t="s">
        <v>9486</v>
      </c>
      <c r="W227" s="213">
        <v>227</v>
      </c>
      <c r="X227" s="214">
        <v>6</v>
      </c>
    </row>
    <row r="228" spans="1:24" x14ac:dyDescent="0.25">
      <c r="A228" s="35" t="s">
        <v>108</v>
      </c>
      <c r="B228" s="36" t="s">
        <v>1288</v>
      </c>
      <c r="C228" s="35">
        <v>0</v>
      </c>
      <c r="D228" s="36" t="s">
        <v>469</v>
      </c>
      <c r="E228" s="36" t="s">
        <v>1289</v>
      </c>
      <c r="F228" s="36">
        <v>0.16</v>
      </c>
      <c r="G228" s="36" t="s">
        <v>1290</v>
      </c>
      <c r="H228" s="36" t="s">
        <v>1291</v>
      </c>
      <c r="I228" s="36" t="s">
        <v>1292</v>
      </c>
      <c r="J228" s="36" t="s">
        <v>1293</v>
      </c>
      <c r="K228" s="36" t="s">
        <v>9410</v>
      </c>
      <c r="W228" s="213">
        <v>228</v>
      </c>
      <c r="X228" s="214">
        <v>6</v>
      </c>
    </row>
    <row r="229" spans="1:24" x14ac:dyDescent="0.25">
      <c r="A229" s="37" t="s">
        <v>108</v>
      </c>
      <c r="B229" s="38" t="s">
        <v>1294</v>
      </c>
      <c r="C229" s="37">
        <v>0</v>
      </c>
      <c r="D229" s="38" t="s">
        <v>274</v>
      </c>
      <c r="E229" s="38" t="s">
        <v>1295</v>
      </c>
      <c r="F229" s="38">
        <v>0.159</v>
      </c>
      <c r="G229" s="38" t="s">
        <v>1296</v>
      </c>
      <c r="H229" s="38" t="s">
        <v>1297</v>
      </c>
      <c r="I229" s="38" t="s">
        <v>1298</v>
      </c>
      <c r="J229" s="38" t="s">
        <v>1299</v>
      </c>
      <c r="K229" s="38" t="s">
        <v>9487</v>
      </c>
      <c r="W229" s="213">
        <v>229</v>
      </c>
      <c r="X229" s="214">
        <v>6</v>
      </c>
    </row>
    <row r="230" spans="1:24" x14ac:dyDescent="0.25">
      <c r="A230" s="35" t="s">
        <v>108</v>
      </c>
      <c r="B230" s="36" t="s">
        <v>1300</v>
      </c>
      <c r="C230" s="35">
        <v>0</v>
      </c>
      <c r="D230" s="36" t="s">
        <v>274</v>
      </c>
      <c r="E230" s="36" t="s">
        <v>1301</v>
      </c>
      <c r="F230" s="36">
        <v>0.104</v>
      </c>
      <c r="G230" s="36" t="s">
        <v>1302</v>
      </c>
      <c r="H230" s="36" t="s">
        <v>1303</v>
      </c>
      <c r="I230" s="36" t="s">
        <v>1304</v>
      </c>
      <c r="J230" s="36" t="s">
        <v>1305</v>
      </c>
      <c r="K230" s="36" t="s">
        <v>9488</v>
      </c>
      <c r="W230" s="213">
        <v>230</v>
      </c>
      <c r="X230" s="214">
        <v>6</v>
      </c>
    </row>
    <row r="231" spans="1:24" x14ac:dyDescent="0.25">
      <c r="A231" s="37" t="s">
        <v>108</v>
      </c>
      <c r="B231" s="38" t="s">
        <v>1306</v>
      </c>
      <c r="C231" s="37">
        <v>0</v>
      </c>
      <c r="D231" s="38" t="s">
        <v>345</v>
      </c>
      <c r="E231" s="38" t="s">
        <v>1301</v>
      </c>
      <c r="F231" s="38">
        <v>0.16800000000000001</v>
      </c>
      <c r="G231" s="38" t="s">
        <v>1307</v>
      </c>
      <c r="H231" s="38" t="s">
        <v>1308</v>
      </c>
      <c r="I231" s="38" t="s">
        <v>1309</v>
      </c>
      <c r="J231" s="38" t="s">
        <v>1310</v>
      </c>
      <c r="K231" s="38" t="s">
        <v>510</v>
      </c>
      <c r="W231" s="213">
        <v>231</v>
      </c>
      <c r="X231" s="214">
        <v>6</v>
      </c>
    </row>
    <row r="232" spans="1:24" x14ac:dyDescent="0.25">
      <c r="A232" s="35" t="s">
        <v>108</v>
      </c>
      <c r="B232" s="36" t="s">
        <v>1311</v>
      </c>
      <c r="C232" s="35">
        <v>0</v>
      </c>
      <c r="D232" s="36" t="s">
        <v>515</v>
      </c>
      <c r="E232" s="36" t="s">
        <v>1312</v>
      </c>
      <c r="F232" s="36">
        <v>7.2999999999999995E-2</v>
      </c>
      <c r="G232" s="36" t="s">
        <v>1313</v>
      </c>
      <c r="H232" s="36" t="s">
        <v>1314</v>
      </c>
      <c r="I232" s="36" t="s">
        <v>1315</v>
      </c>
      <c r="J232" s="36" t="s">
        <v>1316</v>
      </c>
      <c r="K232" s="36" t="s">
        <v>510</v>
      </c>
      <c r="W232" s="213">
        <v>232</v>
      </c>
      <c r="X232" s="214">
        <v>6</v>
      </c>
    </row>
    <row r="233" spans="1:24" x14ac:dyDescent="0.25">
      <c r="A233" s="37" t="s">
        <v>108</v>
      </c>
      <c r="B233" s="43" t="s">
        <v>1317</v>
      </c>
      <c r="C233" s="37">
        <v>1</v>
      </c>
      <c r="D233" s="38" t="s">
        <v>1318</v>
      </c>
      <c r="E233" s="38" t="s">
        <v>1319</v>
      </c>
      <c r="F233" s="38">
        <v>1.7999999999999999E-2</v>
      </c>
      <c r="G233" s="38" t="s">
        <v>1320</v>
      </c>
      <c r="H233" s="38" t="s">
        <v>1321</v>
      </c>
      <c r="I233" s="38" t="s">
        <v>1322</v>
      </c>
      <c r="J233" s="38" t="s">
        <v>1323</v>
      </c>
      <c r="K233" s="38" t="s">
        <v>9489</v>
      </c>
      <c r="W233" s="213">
        <v>233</v>
      </c>
      <c r="X233" s="214">
        <v>6</v>
      </c>
    </row>
    <row r="234" spans="1:24" x14ac:dyDescent="0.25">
      <c r="A234" s="36" t="s">
        <v>0</v>
      </c>
      <c r="B234" s="35" t="s">
        <v>32</v>
      </c>
      <c r="C234" s="143" t="s">
        <v>1324</v>
      </c>
      <c r="D234" s="36" t="s">
        <v>626</v>
      </c>
      <c r="E234" s="36" t="s">
        <v>1325</v>
      </c>
      <c r="F234" s="36" t="s">
        <v>510</v>
      </c>
      <c r="G234" s="36" t="s">
        <v>510</v>
      </c>
      <c r="H234" s="40"/>
      <c r="I234" s="40"/>
      <c r="J234" s="40"/>
      <c r="K234" s="36" t="s">
        <v>510</v>
      </c>
      <c r="W234" s="213">
        <v>234</v>
      </c>
      <c r="X234" s="214">
        <v>6</v>
      </c>
    </row>
    <row r="235" spans="1:24" x14ac:dyDescent="0.25">
      <c r="A235" s="37" t="s">
        <v>108</v>
      </c>
      <c r="B235" s="38" t="s">
        <v>1326</v>
      </c>
      <c r="C235" s="37">
        <v>0</v>
      </c>
      <c r="D235" s="38" t="s">
        <v>502</v>
      </c>
      <c r="E235" s="38" t="s">
        <v>1327</v>
      </c>
      <c r="F235" s="38">
        <v>7.6999999999999999E-2</v>
      </c>
      <c r="G235" s="38" t="s">
        <v>1328</v>
      </c>
      <c r="H235" s="38" t="s">
        <v>1329</v>
      </c>
      <c r="I235" s="38" t="s">
        <v>1330</v>
      </c>
      <c r="J235" s="38" t="s">
        <v>1331</v>
      </c>
      <c r="K235" s="38" t="s">
        <v>9490</v>
      </c>
      <c r="W235" s="213">
        <v>235</v>
      </c>
      <c r="X235" s="214">
        <v>6</v>
      </c>
    </row>
    <row r="236" spans="1:24" x14ac:dyDescent="0.25">
      <c r="A236" s="35" t="s">
        <v>108</v>
      </c>
      <c r="B236" s="36" t="s">
        <v>1332</v>
      </c>
      <c r="C236" s="35">
        <v>0</v>
      </c>
      <c r="D236" s="36" t="s">
        <v>107</v>
      </c>
      <c r="E236" s="36" t="s">
        <v>1333</v>
      </c>
      <c r="F236" s="36">
        <v>0.16900000000000001</v>
      </c>
      <c r="G236" s="36" t="s">
        <v>1334</v>
      </c>
      <c r="H236" s="36" t="s">
        <v>1335</v>
      </c>
      <c r="I236" s="36" t="s">
        <v>1336</v>
      </c>
      <c r="J236" s="36" t="s">
        <v>1337</v>
      </c>
      <c r="K236" s="36" t="s">
        <v>510</v>
      </c>
      <c r="W236" s="213">
        <v>236</v>
      </c>
      <c r="X236" s="214">
        <v>6</v>
      </c>
    </row>
    <row r="237" spans="1:24" x14ac:dyDescent="0.25">
      <c r="A237" s="37" t="s">
        <v>108</v>
      </c>
      <c r="B237" s="38" t="s">
        <v>1338</v>
      </c>
      <c r="C237" s="37">
        <v>0</v>
      </c>
      <c r="D237" s="38" t="s">
        <v>254</v>
      </c>
      <c r="E237" s="38" t="s">
        <v>1339</v>
      </c>
      <c r="F237" s="38">
        <v>0.14599999999999999</v>
      </c>
      <c r="G237" s="38" t="s">
        <v>1340</v>
      </c>
      <c r="H237" s="38" t="s">
        <v>1341</v>
      </c>
      <c r="I237" s="38" t="s">
        <v>1342</v>
      </c>
      <c r="J237" s="38" t="s">
        <v>1343</v>
      </c>
      <c r="K237" s="38" t="s">
        <v>9491</v>
      </c>
      <c r="W237" s="213">
        <v>237</v>
      </c>
      <c r="X237" s="214">
        <v>6</v>
      </c>
    </row>
    <row r="238" spans="1:24" x14ac:dyDescent="0.25">
      <c r="A238" s="35" t="s">
        <v>108</v>
      </c>
      <c r="B238" s="36" t="s">
        <v>1344</v>
      </c>
      <c r="C238" s="35">
        <v>0</v>
      </c>
      <c r="D238" s="36" t="s">
        <v>515</v>
      </c>
      <c r="E238" s="36" t="s">
        <v>1345</v>
      </c>
      <c r="F238" s="36">
        <v>0.09</v>
      </c>
      <c r="G238" s="36" t="s">
        <v>1346</v>
      </c>
      <c r="H238" s="36" t="s">
        <v>1347</v>
      </c>
      <c r="I238" s="36" t="s">
        <v>1348</v>
      </c>
      <c r="J238" s="36" t="s">
        <v>1349</v>
      </c>
      <c r="K238" s="36" t="s">
        <v>9492</v>
      </c>
      <c r="W238" s="213">
        <v>238</v>
      </c>
      <c r="X238" s="214">
        <v>6</v>
      </c>
    </row>
    <row r="239" spans="1:24" x14ac:dyDescent="0.25">
      <c r="A239" s="37" t="s">
        <v>108</v>
      </c>
      <c r="B239" s="38" t="s">
        <v>1350</v>
      </c>
      <c r="C239" s="37">
        <v>0</v>
      </c>
      <c r="D239" s="38" t="s">
        <v>144</v>
      </c>
      <c r="E239" s="38" t="s">
        <v>1351</v>
      </c>
      <c r="F239" s="38">
        <v>7.0999999999999994E-2</v>
      </c>
      <c r="G239" s="38" t="s">
        <v>1352</v>
      </c>
      <c r="H239" s="38" t="s">
        <v>1353</v>
      </c>
      <c r="I239" s="38" t="s">
        <v>1354</v>
      </c>
      <c r="J239" s="38" t="s">
        <v>1355</v>
      </c>
      <c r="K239" s="38" t="s">
        <v>9493</v>
      </c>
      <c r="W239" s="213">
        <v>239</v>
      </c>
      <c r="X239" s="214">
        <v>6</v>
      </c>
    </row>
    <row r="240" spans="1:24" x14ac:dyDescent="0.25">
      <c r="A240" s="35" t="s">
        <v>108</v>
      </c>
      <c r="B240" s="36" t="s">
        <v>1356</v>
      </c>
      <c r="C240" s="35">
        <v>0</v>
      </c>
      <c r="D240" s="36" t="s">
        <v>286</v>
      </c>
      <c r="E240" s="36" t="s">
        <v>1357</v>
      </c>
      <c r="F240" s="36">
        <v>0.11700000000000001</v>
      </c>
      <c r="G240" s="36" t="s">
        <v>1358</v>
      </c>
      <c r="H240" s="36" t="s">
        <v>1359</v>
      </c>
      <c r="I240" s="36" t="s">
        <v>1360</v>
      </c>
      <c r="J240" s="36" t="s">
        <v>1361</v>
      </c>
      <c r="K240" s="36" t="s">
        <v>510</v>
      </c>
      <c r="W240" s="213">
        <v>240</v>
      </c>
      <c r="X240" s="214">
        <v>6</v>
      </c>
    </row>
    <row r="241" spans="1:24" x14ac:dyDescent="0.25">
      <c r="A241" s="37" t="s">
        <v>108</v>
      </c>
      <c r="B241" s="38" t="s">
        <v>1362</v>
      </c>
      <c r="C241" s="37">
        <v>0</v>
      </c>
      <c r="D241" s="38" t="s">
        <v>743</v>
      </c>
      <c r="E241" s="38" t="s">
        <v>1363</v>
      </c>
      <c r="F241" s="38">
        <v>0.151</v>
      </c>
      <c r="G241" s="38" t="s">
        <v>1364</v>
      </c>
      <c r="H241" s="38" t="s">
        <v>1365</v>
      </c>
      <c r="I241" s="38" t="s">
        <v>1366</v>
      </c>
      <c r="J241" s="38" t="s">
        <v>1367</v>
      </c>
      <c r="K241" s="38" t="s">
        <v>9482</v>
      </c>
      <c r="W241" s="213">
        <v>241</v>
      </c>
      <c r="X241" s="214">
        <v>6</v>
      </c>
    </row>
    <row r="242" spans="1:24" x14ac:dyDescent="0.25">
      <c r="A242" s="35" t="s">
        <v>108</v>
      </c>
      <c r="B242" s="36" t="s">
        <v>1368</v>
      </c>
      <c r="C242" s="35">
        <v>0</v>
      </c>
      <c r="D242" s="36" t="s">
        <v>115</v>
      </c>
      <c r="E242" s="36" t="s">
        <v>1369</v>
      </c>
      <c r="F242" s="36">
        <v>3.1E-2</v>
      </c>
      <c r="G242" s="36" t="s">
        <v>1370</v>
      </c>
      <c r="H242" s="36" t="s">
        <v>1371</v>
      </c>
      <c r="I242" s="36" t="s">
        <v>1372</v>
      </c>
      <c r="J242" s="36" t="s">
        <v>1373</v>
      </c>
      <c r="K242" s="36" t="s">
        <v>9494</v>
      </c>
      <c r="W242" s="213">
        <v>242</v>
      </c>
      <c r="X242" s="214">
        <v>6</v>
      </c>
    </row>
    <row r="243" spans="1:24" x14ac:dyDescent="0.25">
      <c r="A243" s="37" t="s">
        <v>108</v>
      </c>
      <c r="B243" s="38" t="s">
        <v>1374</v>
      </c>
      <c r="C243" s="37">
        <v>0</v>
      </c>
      <c r="D243" s="38" t="s">
        <v>1375</v>
      </c>
      <c r="E243" s="38" t="s">
        <v>1376</v>
      </c>
      <c r="F243" s="38">
        <v>0.16300000000000001</v>
      </c>
      <c r="G243" s="38" t="s">
        <v>1377</v>
      </c>
      <c r="H243" s="38" t="s">
        <v>1378</v>
      </c>
      <c r="I243" s="38" t="s">
        <v>1379</v>
      </c>
      <c r="J243" s="38" t="s">
        <v>1380</v>
      </c>
      <c r="K243" s="38" t="s">
        <v>9495</v>
      </c>
      <c r="W243" s="213">
        <v>243</v>
      </c>
      <c r="X243" s="214">
        <v>6</v>
      </c>
    </row>
    <row r="244" spans="1:24" x14ac:dyDescent="0.25">
      <c r="A244" s="35" t="s">
        <v>108</v>
      </c>
      <c r="B244" s="36" t="s">
        <v>1381</v>
      </c>
      <c r="C244" s="35">
        <v>0</v>
      </c>
      <c r="D244" s="36" t="s">
        <v>178</v>
      </c>
      <c r="E244" s="36" t="s">
        <v>1382</v>
      </c>
      <c r="F244" s="36">
        <v>0.13900000000000001</v>
      </c>
      <c r="G244" s="36" t="s">
        <v>1383</v>
      </c>
      <c r="H244" s="36" t="s">
        <v>1384</v>
      </c>
      <c r="I244" s="36" t="s">
        <v>1385</v>
      </c>
      <c r="J244" s="36" t="s">
        <v>1386</v>
      </c>
      <c r="K244" s="36" t="s">
        <v>510</v>
      </c>
      <c r="W244" s="213">
        <v>244</v>
      </c>
      <c r="X244" s="214">
        <v>6</v>
      </c>
    </row>
    <row r="245" spans="1:24" x14ac:dyDescent="0.25">
      <c r="A245" s="37" t="s">
        <v>108</v>
      </c>
      <c r="B245" s="43" t="s">
        <v>1387</v>
      </c>
      <c r="C245" s="37">
        <v>0</v>
      </c>
      <c r="D245" s="38" t="s">
        <v>1388</v>
      </c>
      <c r="E245" s="38" t="s">
        <v>1389</v>
      </c>
      <c r="F245" s="38">
        <v>0.111</v>
      </c>
      <c r="G245" s="38" t="s">
        <v>1390</v>
      </c>
      <c r="H245" s="38" t="s">
        <v>1391</v>
      </c>
      <c r="I245" s="38" t="s">
        <v>1392</v>
      </c>
      <c r="J245" s="38" t="s">
        <v>1393</v>
      </c>
      <c r="K245" s="38" t="s">
        <v>9467</v>
      </c>
      <c r="W245" s="213">
        <v>245</v>
      </c>
      <c r="X245" s="214">
        <v>6</v>
      </c>
    </row>
    <row r="246" spans="1:24" x14ac:dyDescent="0.25">
      <c r="A246" s="35" t="s">
        <v>108</v>
      </c>
      <c r="B246" s="36" t="s">
        <v>1394</v>
      </c>
      <c r="C246" s="35">
        <v>0</v>
      </c>
      <c r="D246" s="36" t="s">
        <v>178</v>
      </c>
      <c r="E246" s="36" t="s">
        <v>1395</v>
      </c>
      <c r="F246" s="36">
        <v>0.115</v>
      </c>
      <c r="G246" s="36" t="s">
        <v>1396</v>
      </c>
      <c r="H246" s="36" t="s">
        <v>1397</v>
      </c>
      <c r="I246" s="36" t="s">
        <v>1398</v>
      </c>
      <c r="J246" s="36" t="s">
        <v>1399</v>
      </c>
      <c r="K246" s="36" t="s">
        <v>510</v>
      </c>
      <c r="W246" s="213">
        <v>246</v>
      </c>
      <c r="X246" s="214">
        <v>6</v>
      </c>
    </row>
    <row r="247" spans="1:24" x14ac:dyDescent="0.25">
      <c r="A247" s="37" t="s">
        <v>108</v>
      </c>
      <c r="B247" s="43" t="s">
        <v>1400</v>
      </c>
      <c r="C247" s="37">
        <v>1</v>
      </c>
      <c r="D247" s="38" t="s">
        <v>1318</v>
      </c>
      <c r="E247" s="38" t="s">
        <v>1401</v>
      </c>
      <c r="F247" s="38">
        <v>0.13300000000000001</v>
      </c>
      <c r="G247" s="38" t="s">
        <v>1402</v>
      </c>
      <c r="H247" s="38" t="s">
        <v>1403</v>
      </c>
      <c r="I247" s="38" t="s">
        <v>1404</v>
      </c>
      <c r="J247" s="38" t="s">
        <v>1405</v>
      </c>
      <c r="K247" s="38" t="s">
        <v>9496</v>
      </c>
      <c r="W247" s="213">
        <v>247</v>
      </c>
      <c r="X247" s="214">
        <v>6</v>
      </c>
    </row>
    <row r="248" spans="1:24" x14ac:dyDescent="0.25">
      <c r="A248" s="36" t="s">
        <v>0</v>
      </c>
      <c r="B248" s="35" t="s">
        <v>32</v>
      </c>
      <c r="C248" s="143" t="s">
        <v>1406</v>
      </c>
      <c r="D248" s="36" t="s">
        <v>512</v>
      </c>
      <c r="E248" s="36" t="s">
        <v>1407</v>
      </c>
      <c r="F248" s="36">
        <v>1E-3</v>
      </c>
      <c r="G248" s="36" t="s">
        <v>510</v>
      </c>
      <c r="H248" s="40"/>
      <c r="I248" s="40"/>
      <c r="J248" s="40"/>
      <c r="K248" s="36" t="s">
        <v>510</v>
      </c>
      <c r="W248" s="213">
        <v>248</v>
      </c>
      <c r="X248" s="214">
        <v>6</v>
      </c>
    </row>
    <row r="249" spans="1:24" x14ac:dyDescent="0.25">
      <c r="A249" s="37" t="s">
        <v>108</v>
      </c>
      <c r="B249" s="43" t="s">
        <v>1408</v>
      </c>
      <c r="C249" s="37">
        <v>2</v>
      </c>
      <c r="D249" s="38" t="s">
        <v>1409</v>
      </c>
      <c r="E249" s="38" t="s">
        <v>1412</v>
      </c>
      <c r="F249" s="38">
        <v>0.08</v>
      </c>
      <c r="G249" s="38" t="s">
        <v>1413</v>
      </c>
      <c r="H249" s="38" t="s">
        <v>1414</v>
      </c>
      <c r="I249" s="38" t="s">
        <v>1415</v>
      </c>
      <c r="J249" s="38" t="s">
        <v>1416</v>
      </c>
      <c r="K249" s="38" t="s">
        <v>9497</v>
      </c>
      <c r="W249" s="213">
        <v>249</v>
      </c>
      <c r="X249" s="214">
        <v>6</v>
      </c>
    </row>
    <row r="250" spans="1:24" x14ac:dyDescent="0.25">
      <c r="A250" s="36" t="s">
        <v>0</v>
      </c>
      <c r="B250" s="35" t="s">
        <v>32</v>
      </c>
      <c r="C250" s="39" t="s">
        <v>1410</v>
      </c>
      <c r="D250" s="36" t="s">
        <v>50</v>
      </c>
      <c r="E250" s="36" t="s">
        <v>1417</v>
      </c>
      <c r="F250" s="36" t="s">
        <v>510</v>
      </c>
      <c r="G250" s="36" t="s">
        <v>510</v>
      </c>
      <c r="H250" s="40"/>
      <c r="I250" s="40"/>
      <c r="J250" s="40"/>
      <c r="K250" s="36" t="s">
        <v>510</v>
      </c>
      <c r="W250" s="213">
        <v>250</v>
      </c>
      <c r="X250" s="214">
        <v>6</v>
      </c>
    </row>
    <row r="251" spans="1:24" x14ac:dyDescent="0.25">
      <c r="A251" s="38" t="s">
        <v>0</v>
      </c>
      <c r="B251" s="37" t="s">
        <v>32</v>
      </c>
      <c r="C251" s="43" t="s">
        <v>1411</v>
      </c>
      <c r="D251" s="38" t="s">
        <v>938</v>
      </c>
      <c r="E251" s="44" t="s">
        <v>1418</v>
      </c>
      <c r="F251" s="38" t="s">
        <v>510</v>
      </c>
      <c r="G251" s="38" t="s">
        <v>510</v>
      </c>
      <c r="H251" s="42"/>
      <c r="I251" s="42"/>
      <c r="J251" s="42"/>
      <c r="K251" s="38" t="s">
        <v>510</v>
      </c>
      <c r="W251" s="213">
        <v>251</v>
      </c>
      <c r="X251" s="214">
        <v>6</v>
      </c>
    </row>
    <row r="252" spans="1:24" x14ac:dyDescent="0.25">
      <c r="A252" s="35" t="s">
        <v>108</v>
      </c>
      <c r="B252" s="39" t="s">
        <v>1419</v>
      </c>
      <c r="C252" s="35">
        <v>0</v>
      </c>
      <c r="D252" s="36" t="s">
        <v>431</v>
      </c>
      <c r="E252" s="36" t="s">
        <v>1420</v>
      </c>
      <c r="F252" s="36">
        <v>6.6000000000000003E-2</v>
      </c>
      <c r="G252" s="36" t="s">
        <v>1421</v>
      </c>
      <c r="H252" s="36" t="s">
        <v>1422</v>
      </c>
      <c r="I252" s="36" t="s">
        <v>1423</v>
      </c>
      <c r="J252" s="36" t="s">
        <v>1424</v>
      </c>
      <c r="K252" s="36" t="s">
        <v>9498</v>
      </c>
      <c r="W252" s="213">
        <v>252</v>
      </c>
      <c r="X252" s="214">
        <v>6</v>
      </c>
    </row>
    <row r="253" spans="1:24" x14ac:dyDescent="0.25">
      <c r="A253" s="37" t="s">
        <v>108</v>
      </c>
      <c r="B253" s="38" t="s">
        <v>1425</v>
      </c>
      <c r="C253" s="37">
        <v>0</v>
      </c>
      <c r="D253" s="38" t="s">
        <v>482</v>
      </c>
      <c r="E253" s="38" t="s">
        <v>1426</v>
      </c>
      <c r="F253" s="38">
        <v>8.5999999999999993E-2</v>
      </c>
      <c r="G253" s="38" t="s">
        <v>1427</v>
      </c>
      <c r="H253" s="38" t="s">
        <v>1428</v>
      </c>
      <c r="I253" s="38" t="s">
        <v>1429</v>
      </c>
      <c r="J253" s="38" t="s">
        <v>1430</v>
      </c>
      <c r="K253" s="38" t="s">
        <v>9499</v>
      </c>
      <c r="W253" s="213">
        <v>253</v>
      </c>
      <c r="X253" s="214">
        <v>6</v>
      </c>
    </row>
    <row r="254" spans="1:24" x14ac:dyDescent="0.25">
      <c r="A254" s="35" t="s">
        <v>108</v>
      </c>
      <c r="B254" s="36" t="s">
        <v>1431</v>
      </c>
      <c r="C254" s="35">
        <v>0</v>
      </c>
      <c r="D254" s="36" t="s">
        <v>129</v>
      </c>
      <c r="E254" s="36" t="s">
        <v>1432</v>
      </c>
      <c r="F254" s="36">
        <v>9.0999999999999998E-2</v>
      </c>
      <c r="G254" s="36" t="s">
        <v>1433</v>
      </c>
      <c r="H254" s="36" t="s">
        <v>1434</v>
      </c>
      <c r="I254" s="36" t="s">
        <v>1435</v>
      </c>
      <c r="J254" s="36" t="s">
        <v>1436</v>
      </c>
      <c r="K254" s="36" t="s">
        <v>510</v>
      </c>
      <c r="W254" s="213">
        <v>254</v>
      </c>
      <c r="X254" s="214">
        <v>6</v>
      </c>
    </row>
    <row r="255" spans="1:24" x14ac:dyDescent="0.25">
      <c r="A255" s="37" t="s">
        <v>108</v>
      </c>
      <c r="B255" s="38" t="s">
        <v>1437</v>
      </c>
      <c r="C255" s="37">
        <v>0</v>
      </c>
      <c r="D255" s="38" t="s">
        <v>853</v>
      </c>
      <c r="E255" s="38" t="s">
        <v>1438</v>
      </c>
      <c r="F255" s="38">
        <v>8.4000000000000005E-2</v>
      </c>
      <c r="G255" s="38" t="s">
        <v>1439</v>
      </c>
      <c r="H255" s="38" t="s">
        <v>1440</v>
      </c>
      <c r="I255" s="38" t="s">
        <v>1441</v>
      </c>
      <c r="J255" s="38" t="s">
        <v>1442</v>
      </c>
      <c r="K255" s="38" t="s">
        <v>510</v>
      </c>
      <c r="W255" s="213">
        <v>255</v>
      </c>
      <c r="X255" s="214">
        <v>6</v>
      </c>
    </row>
    <row r="256" spans="1:24" x14ac:dyDescent="0.25">
      <c r="A256" s="35" t="s">
        <v>108</v>
      </c>
      <c r="B256" s="36" t="s">
        <v>1443</v>
      </c>
      <c r="C256" s="35">
        <v>0</v>
      </c>
      <c r="D256" s="36" t="s">
        <v>172</v>
      </c>
      <c r="E256" s="36" t="s">
        <v>1444</v>
      </c>
      <c r="F256" s="36">
        <v>2.1999999999999999E-2</v>
      </c>
      <c r="G256" s="36" t="s">
        <v>1445</v>
      </c>
      <c r="H256" s="36" t="s">
        <v>1446</v>
      </c>
      <c r="I256" s="36" t="s">
        <v>1447</v>
      </c>
      <c r="J256" s="36" t="s">
        <v>1448</v>
      </c>
      <c r="K256" s="36" t="s">
        <v>510</v>
      </c>
      <c r="W256" s="213">
        <v>256</v>
      </c>
      <c r="X256" s="214">
        <v>6</v>
      </c>
    </row>
    <row r="257" spans="1:24" x14ac:dyDescent="0.25">
      <c r="A257" s="37" t="s">
        <v>108</v>
      </c>
      <c r="B257" s="38" t="s">
        <v>1449</v>
      </c>
      <c r="C257" s="37">
        <v>0</v>
      </c>
      <c r="D257" s="38" t="s">
        <v>469</v>
      </c>
      <c r="E257" s="38" t="s">
        <v>1450</v>
      </c>
      <c r="F257" s="38">
        <v>0.1</v>
      </c>
      <c r="G257" s="38" t="s">
        <v>1451</v>
      </c>
      <c r="H257" s="38" t="s">
        <v>1452</v>
      </c>
      <c r="I257" s="38" t="s">
        <v>1453</v>
      </c>
      <c r="J257" s="38" t="s">
        <v>1454</v>
      </c>
      <c r="K257" s="38" t="s">
        <v>510</v>
      </c>
      <c r="W257" s="213">
        <v>257</v>
      </c>
      <c r="X257" s="214">
        <v>6</v>
      </c>
    </row>
    <row r="258" spans="1:24" x14ac:dyDescent="0.25">
      <c r="A258" s="35" t="s">
        <v>108</v>
      </c>
      <c r="B258" s="36" t="s">
        <v>1455</v>
      </c>
      <c r="C258" s="35">
        <v>0</v>
      </c>
      <c r="D258" s="36" t="s">
        <v>469</v>
      </c>
      <c r="E258" s="36" t="s">
        <v>1456</v>
      </c>
      <c r="F258" s="36">
        <v>0.188</v>
      </c>
      <c r="G258" s="36" t="s">
        <v>1457</v>
      </c>
      <c r="H258" s="36" t="s">
        <v>1458</v>
      </c>
      <c r="I258" s="36" t="s">
        <v>1459</v>
      </c>
      <c r="J258" s="36" t="s">
        <v>1460</v>
      </c>
      <c r="K258" s="36" t="s">
        <v>510</v>
      </c>
      <c r="W258" s="213">
        <v>258</v>
      </c>
      <c r="X258" s="214">
        <v>6</v>
      </c>
    </row>
    <row r="259" spans="1:24" x14ac:dyDescent="0.25">
      <c r="A259" s="37" t="s">
        <v>108</v>
      </c>
      <c r="B259" s="38" t="s">
        <v>1461</v>
      </c>
      <c r="C259" s="37">
        <v>0</v>
      </c>
      <c r="D259" s="38" t="s">
        <v>115</v>
      </c>
      <c r="E259" s="38" t="s">
        <v>1462</v>
      </c>
      <c r="F259" s="38">
        <v>0.214</v>
      </c>
      <c r="G259" s="38" t="s">
        <v>1463</v>
      </c>
      <c r="H259" s="38" t="s">
        <v>1464</v>
      </c>
      <c r="I259" s="38" t="s">
        <v>1465</v>
      </c>
      <c r="J259" s="38" t="s">
        <v>1466</v>
      </c>
      <c r="K259" s="38" t="s">
        <v>510</v>
      </c>
      <c r="W259" s="213">
        <v>259</v>
      </c>
      <c r="X259" s="214">
        <v>6</v>
      </c>
    </row>
    <row r="260" spans="1:24" x14ac:dyDescent="0.25">
      <c r="A260" s="35" t="s">
        <v>108</v>
      </c>
      <c r="B260" s="36" t="s">
        <v>1467</v>
      </c>
      <c r="C260" s="35">
        <v>0</v>
      </c>
      <c r="D260" s="36" t="s">
        <v>404</v>
      </c>
      <c r="E260" s="36" t="s">
        <v>1468</v>
      </c>
      <c r="F260" s="36">
        <v>0.14000000000000001</v>
      </c>
      <c r="G260" s="36" t="s">
        <v>1469</v>
      </c>
      <c r="H260" s="36" t="s">
        <v>1470</v>
      </c>
      <c r="I260" s="36" t="s">
        <v>1471</v>
      </c>
      <c r="J260" s="36" t="s">
        <v>1472</v>
      </c>
      <c r="K260" s="36" t="s">
        <v>510</v>
      </c>
      <c r="W260" s="213">
        <v>260</v>
      </c>
      <c r="X260" s="214">
        <v>6</v>
      </c>
    </row>
    <row r="261" spans="1:24" x14ac:dyDescent="0.25">
      <c r="A261" s="37" t="s">
        <v>108</v>
      </c>
      <c r="B261" s="38" t="s">
        <v>1473</v>
      </c>
      <c r="C261" s="37">
        <v>0</v>
      </c>
      <c r="D261" s="38" t="s">
        <v>404</v>
      </c>
      <c r="E261" s="38" t="s">
        <v>1474</v>
      </c>
      <c r="F261" s="38">
        <v>0.16600000000000001</v>
      </c>
      <c r="G261" s="38" t="s">
        <v>1475</v>
      </c>
      <c r="H261" s="38" t="s">
        <v>1476</v>
      </c>
      <c r="I261" s="38" t="s">
        <v>1477</v>
      </c>
      <c r="J261" s="38" t="s">
        <v>1478</v>
      </c>
      <c r="K261" s="38" t="s">
        <v>510</v>
      </c>
      <c r="W261" s="213">
        <v>261</v>
      </c>
      <c r="X261" s="214">
        <v>6</v>
      </c>
    </row>
    <row r="262" spans="1:24" x14ac:dyDescent="0.25">
      <c r="A262" s="35" t="s">
        <v>108</v>
      </c>
      <c r="B262" s="36" t="s">
        <v>1479</v>
      </c>
      <c r="C262" s="35">
        <v>0</v>
      </c>
      <c r="D262" s="36" t="s">
        <v>274</v>
      </c>
      <c r="E262" s="36" t="s">
        <v>1480</v>
      </c>
      <c r="F262" s="36">
        <v>2.5999999999999999E-2</v>
      </c>
      <c r="G262" s="36" t="s">
        <v>1481</v>
      </c>
      <c r="H262" s="36" t="s">
        <v>1482</v>
      </c>
      <c r="I262" s="36" t="s">
        <v>1483</v>
      </c>
      <c r="J262" s="36" t="s">
        <v>1484</v>
      </c>
      <c r="K262" s="36" t="s">
        <v>510</v>
      </c>
      <c r="W262" s="213">
        <v>262</v>
      </c>
      <c r="X262" s="214">
        <v>6</v>
      </c>
    </row>
    <row r="263" spans="1:24" x14ac:dyDescent="0.25">
      <c r="A263" s="45" t="s">
        <v>1485</v>
      </c>
      <c r="B263" s="46" t="s">
        <v>1486</v>
      </c>
      <c r="C263" s="45">
        <v>0</v>
      </c>
      <c r="D263" s="46" t="s">
        <v>158</v>
      </c>
      <c r="E263" s="46" t="s">
        <v>1487</v>
      </c>
      <c r="F263" s="46">
        <v>4.3999999999999997E-2</v>
      </c>
      <c r="G263" s="46" t="s">
        <v>1488</v>
      </c>
      <c r="H263" s="46" t="s">
        <v>1489</v>
      </c>
      <c r="I263" s="46" t="s">
        <v>1490</v>
      </c>
      <c r="J263" s="46" t="s">
        <v>1491</v>
      </c>
      <c r="K263" s="46" t="s">
        <v>510</v>
      </c>
      <c r="W263" s="213">
        <v>263</v>
      </c>
      <c r="X263" s="214">
        <v>8</v>
      </c>
    </row>
    <row r="264" spans="1:24" x14ac:dyDescent="0.25">
      <c r="A264" s="47" t="s">
        <v>1485</v>
      </c>
      <c r="B264" s="48" t="s">
        <v>1492</v>
      </c>
      <c r="C264" s="47">
        <v>0</v>
      </c>
      <c r="D264" s="48" t="s">
        <v>365</v>
      </c>
      <c r="E264" s="48" t="s">
        <v>1493</v>
      </c>
      <c r="F264" s="48">
        <v>5.1999999999999998E-2</v>
      </c>
      <c r="G264" s="48" t="s">
        <v>1494</v>
      </c>
      <c r="H264" s="48" t="s">
        <v>1495</v>
      </c>
      <c r="I264" s="48" t="s">
        <v>1496</v>
      </c>
      <c r="J264" s="48" t="s">
        <v>1497</v>
      </c>
      <c r="K264" s="48" t="s">
        <v>510</v>
      </c>
      <c r="W264" s="213">
        <v>264</v>
      </c>
      <c r="X264" s="214">
        <v>8</v>
      </c>
    </row>
    <row r="265" spans="1:24" x14ac:dyDescent="0.25">
      <c r="A265" s="45" t="s">
        <v>1485</v>
      </c>
      <c r="B265" s="46" t="s">
        <v>1498</v>
      </c>
      <c r="C265" s="45">
        <v>0</v>
      </c>
      <c r="D265" s="46" t="s">
        <v>274</v>
      </c>
      <c r="E265" s="46" t="s">
        <v>1499</v>
      </c>
      <c r="F265" s="46">
        <v>6.9000000000000006E-2</v>
      </c>
      <c r="G265" s="46" t="s">
        <v>1500</v>
      </c>
      <c r="H265" s="46" t="s">
        <v>1501</v>
      </c>
      <c r="I265" s="46" t="s">
        <v>1502</v>
      </c>
      <c r="J265" s="46" t="s">
        <v>1503</v>
      </c>
      <c r="K265" s="46" t="s">
        <v>510</v>
      </c>
      <c r="W265" s="213">
        <v>265</v>
      </c>
      <c r="X265" s="214">
        <v>8</v>
      </c>
    </row>
    <row r="266" spans="1:24" x14ac:dyDescent="0.25">
      <c r="A266" s="47" t="s">
        <v>1485</v>
      </c>
      <c r="B266" s="48" t="s">
        <v>1504</v>
      </c>
      <c r="C266" s="47">
        <v>0</v>
      </c>
      <c r="D266" s="48" t="s">
        <v>254</v>
      </c>
      <c r="E266" s="48" t="s">
        <v>1505</v>
      </c>
      <c r="F266" s="48">
        <v>0.11799999999999999</v>
      </c>
      <c r="G266" s="48" t="s">
        <v>1506</v>
      </c>
      <c r="H266" s="48" t="s">
        <v>1507</v>
      </c>
      <c r="I266" s="48" t="s">
        <v>1508</v>
      </c>
      <c r="J266" s="48" t="s">
        <v>1509</v>
      </c>
      <c r="K266" s="48" t="s">
        <v>510</v>
      </c>
      <c r="W266" s="213">
        <v>266</v>
      </c>
      <c r="X266" s="214">
        <v>8</v>
      </c>
    </row>
    <row r="267" spans="1:24" x14ac:dyDescent="0.25">
      <c r="A267" s="45" t="s">
        <v>1485</v>
      </c>
      <c r="B267" s="142" t="s">
        <v>1510</v>
      </c>
      <c r="C267" s="45">
        <v>1</v>
      </c>
      <c r="D267" s="46" t="s">
        <v>80</v>
      </c>
      <c r="E267" s="46" t="s">
        <v>1511</v>
      </c>
      <c r="F267" s="46">
        <v>9.7000000000000003E-2</v>
      </c>
      <c r="G267" s="46" t="s">
        <v>1512</v>
      </c>
      <c r="H267" s="46" t="s">
        <v>1513</v>
      </c>
      <c r="I267" s="46" t="s">
        <v>1514</v>
      </c>
      <c r="J267" s="46" t="s">
        <v>1515</v>
      </c>
      <c r="K267" s="46" t="s">
        <v>9500</v>
      </c>
      <c r="W267" s="213">
        <v>267</v>
      </c>
      <c r="X267" s="214">
        <v>8</v>
      </c>
    </row>
    <row r="268" spans="1:24" x14ac:dyDescent="0.25">
      <c r="A268" s="48" t="s">
        <v>0</v>
      </c>
      <c r="B268" s="47" t="s">
        <v>32</v>
      </c>
      <c r="C268" s="192" t="s">
        <v>1516</v>
      </c>
      <c r="D268" s="48" t="s">
        <v>50</v>
      </c>
      <c r="E268" s="48" t="s">
        <v>1517</v>
      </c>
      <c r="F268" s="48" t="s">
        <v>510</v>
      </c>
      <c r="G268" s="48" t="s">
        <v>510</v>
      </c>
      <c r="H268" s="49"/>
      <c r="I268" s="49"/>
      <c r="J268" s="49"/>
      <c r="K268" s="48" t="s">
        <v>510</v>
      </c>
      <c r="W268" s="213">
        <v>268</v>
      </c>
      <c r="X268" s="214">
        <v>8</v>
      </c>
    </row>
    <row r="269" spans="1:24" x14ac:dyDescent="0.25">
      <c r="A269" s="45" t="s">
        <v>1485</v>
      </c>
      <c r="B269" s="46" t="s">
        <v>1518</v>
      </c>
      <c r="C269" s="45">
        <v>0</v>
      </c>
      <c r="D269" s="46" t="s">
        <v>254</v>
      </c>
      <c r="E269" s="46" t="s">
        <v>1519</v>
      </c>
      <c r="F269" s="46">
        <v>0.122</v>
      </c>
      <c r="G269" s="46" t="s">
        <v>1520</v>
      </c>
      <c r="H269" s="46" t="s">
        <v>1521</v>
      </c>
      <c r="I269" s="46" t="s">
        <v>1522</v>
      </c>
      <c r="J269" s="46" t="s">
        <v>1523</v>
      </c>
      <c r="K269" s="46" t="s">
        <v>510</v>
      </c>
      <c r="W269" s="213">
        <v>269</v>
      </c>
      <c r="X269" s="214">
        <v>8</v>
      </c>
    </row>
    <row r="270" spans="1:24" x14ac:dyDescent="0.25">
      <c r="A270" s="47" t="s">
        <v>1485</v>
      </c>
      <c r="B270" s="48" t="s">
        <v>1524</v>
      </c>
      <c r="C270" s="47">
        <v>0</v>
      </c>
      <c r="D270" s="48" t="s">
        <v>326</v>
      </c>
      <c r="E270" s="48" t="s">
        <v>1519</v>
      </c>
      <c r="F270" s="48">
        <v>6.7000000000000004E-2</v>
      </c>
      <c r="G270" s="48" t="s">
        <v>1525</v>
      </c>
      <c r="H270" s="48" t="s">
        <v>1526</v>
      </c>
      <c r="I270" s="48" t="s">
        <v>1527</v>
      </c>
      <c r="J270" s="48" t="s">
        <v>1528</v>
      </c>
      <c r="K270" s="48" t="s">
        <v>510</v>
      </c>
      <c r="W270" s="213">
        <v>270</v>
      </c>
      <c r="X270" s="214">
        <v>8</v>
      </c>
    </row>
    <row r="271" spans="1:24" x14ac:dyDescent="0.25">
      <c r="A271" s="45" t="s">
        <v>1485</v>
      </c>
      <c r="B271" s="46" t="s">
        <v>1529</v>
      </c>
      <c r="C271" s="45">
        <v>0</v>
      </c>
      <c r="D271" s="46" t="s">
        <v>158</v>
      </c>
      <c r="E271" s="46" t="s">
        <v>1530</v>
      </c>
      <c r="F271" s="46">
        <v>4.3999999999999997E-2</v>
      </c>
      <c r="G271" s="46" t="s">
        <v>1531</v>
      </c>
      <c r="H271" s="46" t="s">
        <v>1532</v>
      </c>
      <c r="I271" s="46" t="s">
        <v>1533</v>
      </c>
      <c r="J271" s="46" t="s">
        <v>1534</v>
      </c>
      <c r="K271" s="46" t="s">
        <v>510</v>
      </c>
      <c r="W271" s="213">
        <v>271</v>
      </c>
      <c r="X271" s="214">
        <v>8</v>
      </c>
    </row>
    <row r="272" spans="1:24" x14ac:dyDescent="0.25">
      <c r="A272" s="50" t="s">
        <v>1535</v>
      </c>
      <c r="B272" s="50" t="s">
        <v>1536</v>
      </c>
      <c r="C272" s="51">
        <v>95</v>
      </c>
      <c r="D272" s="52" t="s">
        <v>1537</v>
      </c>
      <c r="E272" s="52" t="s">
        <v>1538</v>
      </c>
      <c r="F272" s="52">
        <v>4.9000000000000002E-2</v>
      </c>
      <c r="G272" s="52" t="s">
        <v>1539</v>
      </c>
      <c r="H272" s="52" t="s">
        <v>1540</v>
      </c>
      <c r="I272" s="52" t="s">
        <v>1541</v>
      </c>
      <c r="J272" s="52" t="s">
        <v>1542</v>
      </c>
      <c r="K272" s="52" t="s">
        <v>9501</v>
      </c>
      <c r="W272" s="213">
        <v>272</v>
      </c>
      <c r="X272" s="214">
        <v>7</v>
      </c>
    </row>
    <row r="273" spans="1:24" x14ac:dyDescent="0.25">
      <c r="A273" s="54" t="s">
        <v>0</v>
      </c>
      <c r="B273" s="55" t="s">
        <v>32</v>
      </c>
      <c r="C273" s="54" t="s">
        <v>171</v>
      </c>
      <c r="D273" s="54" t="s">
        <v>1543</v>
      </c>
      <c r="E273" s="54" t="s">
        <v>1544</v>
      </c>
      <c r="F273" s="54">
        <v>0</v>
      </c>
      <c r="G273" s="54" t="s">
        <v>510</v>
      </c>
      <c r="H273" s="56"/>
      <c r="I273" s="56"/>
      <c r="J273" s="56"/>
      <c r="K273" s="54" t="s">
        <v>9502</v>
      </c>
      <c r="W273" s="213">
        <v>273</v>
      </c>
      <c r="X273" s="214">
        <v>7</v>
      </c>
    </row>
    <row r="274" spans="1:24" x14ac:dyDescent="0.25">
      <c r="A274" s="52" t="s">
        <v>0</v>
      </c>
      <c r="B274" s="51" t="s">
        <v>32</v>
      </c>
      <c r="C274" s="52" t="s">
        <v>1545</v>
      </c>
      <c r="D274" s="52" t="s">
        <v>64</v>
      </c>
      <c r="E274" s="52" t="s">
        <v>1546</v>
      </c>
      <c r="F274" s="52">
        <v>2E-3</v>
      </c>
      <c r="G274" s="52" t="s">
        <v>510</v>
      </c>
      <c r="H274" s="53"/>
      <c r="I274" s="53"/>
      <c r="J274" s="53"/>
      <c r="K274" s="52" t="s">
        <v>510</v>
      </c>
      <c r="W274" s="213">
        <v>274</v>
      </c>
      <c r="X274" s="214">
        <v>7</v>
      </c>
    </row>
    <row r="275" spans="1:24" x14ac:dyDescent="0.25">
      <c r="A275" s="54" t="s">
        <v>0</v>
      </c>
      <c r="B275" s="55" t="s">
        <v>32</v>
      </c>
      <c r="C275" s="57" t="s">
        <v>1547</v>
      </c>
      <c r="D275" s="54" t="s">
        <v>286</v>
      </c>
      <c r="E275" s="54" t="s">
        <v>1548</v>
      </c>
      <c r="F275" s="54">
        <v>3.0000000000000001E-3</v>
      </c>
      <c r="G275" s="54" t="s">
        <v>510</v>
      </c>
      <c r="H275" s="56"/>
      <c r="I275" s="56"/>
      <c r="J275" s="56"/>
      <c r="K275" s="54" t="s">
        <v>9503</v>
      </c>
      <c r="W275" s="213">
        <v>275</v>
      </c>
      <c r="X275" s="214">
        <v>7</v>
      </c>
    </row>
    <row r="276" spans="1:24" x14ac:dyDescent="0.25">
      <c r="A276" s="52" t="s">
        <v>0</v>
      </c>
      <c r="B276" s="51" t="s">
        <v>32</v>
      </c>
      <c r="C276" s="52" t="s">
        <v>1549</v>
      </c>
      <c r="D276" s="52" t="s">
        <v>212</v>
      </c>
      <c r="E276" s="52" t="s">
        <v>1550</v>
      </c>
      <c r="F276" s="52">
        <v>1.7999999999999999E-2</v>
      </c>
      <c r="G276" s="52" t="s">
        <v>510</v>
      </c>
      <c r="H276" s="53"/>
      <c r="I276" s="53"/>
      <c r="J276" s="53"/>
      <c r="K276" s="52" t="s">
        <v>510</v>
      </c>
      <c r="W276" s="213">
        <v>276</v>
      </c>
      <c r="X276" s="214">
        <v>7</v>
      </c>
    </row>
    <row r="277" spans="1:24" x14ac:dyDescent="0.25">
      <c r="A277" s="54" t="s">
        <v>0</v>
      </c>
      <c r="B277" s="55" t="s">
        <v>32</v>
      </c>
      <c r="C277" s="57" t="s">
        <v>403</v>
      </c>
      <c r="D277" s="54" t="s">
        <v>1551</v>
      </c>
      <c r="E277" s="54" t="s">
        <v>1552</v>
      </c>
      <c r="F277" s="54">
        <v>4.0000000000000001E-3</v>
      </c>
      <c r="G277" s="54" t="s">
        <v>1553</v>
      </c>
      <c r="H277" s="56"/>
      <c r="I277" s="56"/>
      <c r="J277" s="56"/>
      <c r="K277" s="54" t="s">
        <v>9504</v>
      </c>
      <c r="W277" s="213">
        <v>277</v>
      </c>
      <c r="X277" s="214">
        <v>7</v>
      </c>
    </row>
    <row r="278" spans="1:24" x14ac:dyDescent="0.25">
      <c r="A278" s="52" t="s">
        <v>0</v>
      </c>
      <c r="B278" s="51" t="s">
        <v>32</v>
      </c>
      <c r="C278" s="50" t="s">
        <v>990</v>
      </c>
      <c r="D278" s="52" t="s">
        <v>1554</v>
      </c>
      <c r="E278" s="52" t="s">
        <v>1555</v>
      </c>
      <c r="F278" s="52">
        <v>8.9999999999999993E-3</v>
      </c>
      <c r="G278" s="52" t="s">
        <v>1556</v>
      </c>
      <c r="H278" s="53"/>
      <c r="I278" s="53"/>
      <c r="J278" s="53"/>
      <c r="K278" s="52" t="s">
        <v>9505</v>
      </c>
      <c r="W278" s="213">
        <v>278</v>
      </c>
      <c r="X278" s="214">
        <v>7</v>
      </c>
    </row>
    <row r="279" spans="1:24" x14ac:dyDescent="0.25">
      <c r="A279" s="54" t="s">
        <v>0</v>
      </c>
      <c r="B279" s="55" t="s">
        <v>32</v>
      </c>
      <c r="C279" s="57" t="s">
        <v>1557</v>
      </c>
      <c r="D279" s="54" t="s">
        <v>1558</v>
      </c>
      <c r="E279" s="54" t="s">
        <v>1559</v>
      </c>
      <c r="F279" s="54">
        <v>1E-3</v>
      </c>
      <c r="G279" s="54" t="s">
        <v>1560</v>
      </c>
      <c r="H279" s="56"/>
      <c r="I279" s="56"/>
      <c r="J279" s="56"/>
      <c r="K279" s="54" t="s">
        <v>9506</v>
      </c>
      <c r="W279" s="213">
        <v>279</v>
      </c>
      <c r="X279" s="214">
        <v>7</v>
      </c>
    </row>
    <row r="280" spans="1:24" x14ac:dyDescent="0.25">
      <c r="A280" s="52" t="s">
        <v>0</v>
      </c>
      <c r="B280" s="51" t="s">
        <v>32</v>
      </c>
      <c r="C280" s="50" t="s">
        <v>1561</v>
      </c>
      <c r="D280" s="52" t="s">
        <v>1562</v>
      </c>
      <c r="E280" s="52" t="s">
        <v>1563</v>
      </c>
      <c r="F280" s="52">
        <v>7.0000000000000001E-3</v>
      </c>
      <c r="G280" s="52" t="s">
        <v>1564</v>
      </c>
      <c r="H280" s="53"/>
      <c r="I280" s="53"/>
      <c r="J280" s="53"/>
      <c r="K280" s="52" t="s">
        <v>9507</v>
      </c>
      <c r="W280" s="213">
        <v>280</v>
      </c>
      <c r="X280" s="214">
        <v>7</v>
      </c>
    </row>
    <row r="281" spans="1:24" x14ac:dyDescent="0.25">
      <c r="A281" s="54" t="s">
        <v>0</v>
      </c>
      <c r="B281" s="55" t="s">
        <v>32</v>
      </c>
      <c r="C281" s="54" t="s">
        <v>1565</v>
      </c>
      <c r="D281" s="54" t="s">
        <v>938</v>
      </c>
      <c r="E281" s="54" t="s">
        <v>1566</v>
      </c>
      <c r="F281" s="54">
        <v>0.252</v>
      </c>
      <c r="G281" s="54" t="s">
        <v>1567</v>
      </c>
      <c r="H281" s="56"/>
      <c r="I281" s="56"/>
      <c r="J281" s="56"/>
      <c r="K281" s="54" t="s">
        <v>510</v>
      </c>
      <c r="W281" s="213">
        <v>281</v>
      </c>
      <c r="X281" s="214">
        <v>7</v>
      </c>
    </row>
    <row r="282" spans="1:24" x14ac:dyDescent="0.25">
      <c r="A282" s="52" t="s">
        <v>0</v>
      </c>
      <c r="B282" s="51" t="s">
        <v>32</v>
      </c>
      <c r="C282" s="52" t="s">
        <v>1568</v>
      </c>
      <c r="D282" s="52" t="s">
        <v>80</v>
      </c>
      <c r="E282" s="52" t="s">
        <v>1569</v>
      </c>
      <c r="F282" s="52">
        <v>0.16500000000000001</v>
      </c>
      <c r="G282" s="52" t="s">
        <v>1570</v>
      </c>
      <c r="H282" s="53"/>
      <c r="I282" s="53"/>
      <c r="J282" s="53"/>
      <c r="K282" s="52" t="s">
        <v>510</v>
      </c>
      <c r="W282" s="213">
        <v>282</v>
      </c>
      <c r="X282" s="214">
        <v>7</v>
      </c>
    </row>
    <row r="283" spans="1:24" x14ac:dyDescent="0.25">
      <c r="A283" s="54" t="s">
        <v>0</v>
      </c>
      <c r="B283" s="55" t="s">
        <v>32</v>
      </c>
      <c r="C283" s="57" t="s">
        <v>1576</v>
      </c>
      <c r="D283" s="54" t="s">
        <v>247</v>
      </c>
      <c r="E283" s="54" t="s">
        <v>1577</v>
      </c>
      <c r="F283" s="54">
        <v>0.154</v>
      </c>
      <c r="G283" s="54" t="s">
        <v>1579</v>
      </c>
      <c r="H283" s="56"/>
      <c r="I283" s="56"/>
      <c r="J283" s="56"/>
      <c r="K283" s="54" t="s">
        <v>9508</v>
      </c>
      <c r="W283" s="213">
        <v>283</v>
      </c>
      <c r="X283" s="214">
        <v>7</v>
      </c>
    </row>
    <row r="284" spans="1:24" x14ac:dyDescent="0.25">
      <c r="A284" s="52" t="s">
        <v>0</v>
      </c>
      <c r="B284" s="51" t="s">
        <v>32</v>
      </c>
      <c r="C284" s="52" t="s">
        <v>1571</v>
      </c>
      <c r="D284" s="52" t="s">
        <v>626</v>
      </c>
      <c r="E284" s="52" t="s">
        <v>1572</v>
      </c>
      <c r="F284" s="52">
        <v>0.11600000000000001</v>
      </c>
      <c r="G284" s="52" t="s">
        <v>1573</v>
      </c>
      <c r="H284" s="53"/>
      <c r="I284" s="53"/>
      <c r="J284" s="53"/>
      <c r="K284" s="52" t="s">
        <v>510</v>
      </c>
      <c r="W284" s="213">
        <v>284</v>
      </c>
      <c r="X284" s="214">
        <v>7</v>
      </c>
    </row>
    <row r="285" spans="1:24" x14ac:dyDescent="0.25">
      <c r="A285" s="54" t="s">
        <v>0</v>
      </c>
      <c r="B285" s="55" t="s">
        <v>32</v>
      </c>
      <c r="C285" s="137" t="s">
        <v>1575</v>
      </c>
      <c r="D285" s="54" t="s">
        <v>626</v>
      </c>
      <c r="E285" s="54" t="s">
        <v>1574</v>
      </c>
      <c r="F285" s="54">
        <v>0.11799999999999999</v>
      </c>
      <c r="G285" s="54" t="s">
        <v>1578</v>
      </c>
      <c r="H285" s="56"/>
      <c r="I285" s="56"/>
      <c r="J285" s="56"/>
      <c r="K285" s="54" t="s">
        <v>510</v>
      </c>
      <c r="W285" s="213">
        <v>285</v>
      </c>
      <c r="X285" s="214">
        <v>7</v>
      </c>
    </row>
    <row r="286" spans="1:24" x14ac:dyDescent="0.25">
      <c r="A286" s="52" t="s">
        <v>0</v>
      </c>
      <c r="B286" s="51" t="s">
        <v>32</v>
      </c>
      <c r="C286" s="52" t="s">
        <v>1580</v>
      </c>
      <c r="D286" s="52" t="s">
        <v>626</v>
      </c>
      <c r="E286" s="52" t="s">
        <v>1581</v>
      </c>
      <c r="F286" s="52">
        <v>0.17899999999999999</v>
      </c>
      <c r="G286" s="52" t="s">
        <v>1582</v>
      </c>
      <c r="H286" s="53"/>
      <c r="I286" s="53"/>
      <c r="J286" s="53"/>
      <c r="K286" s="52" t="s">
        <v>510</v>
      </c>
      <c r="W286" s="213">
        <v>286</v>
      </c>
      <c r="X286" s="214">
        <v>7</v>
      </c>
    </row>
    <row r="287" spans="1:24" x14ac:dyDescent="0.25">
      <c r="A287" s="54" t="s">
        <v>0</v>
      </c>
      <c r="B287" s="55" t="s">
        <v>32</v>
      </c>
      <c r="C287" s="54" t="s">
        <v>1583</v>
      </c>
      <c r="D287" s="54" t="s">
        <v>1584</v>
      </c>
      <c r="E287" s="54" t="s">
        <v>1585</v>
      </c>
      <c r="F287" s="54">
        <v>0.14799999999999999</v>
      </c>
      <c r="G287" s="54" t="s">
        <v>1586</v>
      </c>
      <c r="H287" s="56"/>
      <c r="I287" s="56"/>
      <c r="J287" s="56"/>
      <c r="K287" s="54" t="s">
        <v>510</v>
      </c>
      <c r="W287" s="213">
        <v>287</v>
      </c>
      <c r="X287" s="214">
        <v>7</v>
      </c>
    </row>
    <row r="288" spans="1:24" x14ac:dyDescent="0.25">
      <c r="A288" s="52" t="s">
        <v>0</v>
      </c>
      <c r="B288" s="51" t="s">
        <v>32</v>
      </c>
      <c r="C288" s="50" t="s">
        <v>1587</v>
      </c>
      <c r="D288" s="52" t="s">
        <v>1588</v>
      </c>
      <c r="E288" s="52" t="s">
        <v>1589</v>
      </c>
      <c r="F288" s="52">
        <v>0.19600000000000001</v>
      </c>
      <c r="G288" s="52" t="s">
        <v>1590</v>
      </c>
      <c r="H288" s="53"/>
      <c r="I288" s="53"/>
      <c r="J288" s="53"/>
      <c r="K288" s="52" t="s">
        <v>510</v>
      </c>
      <c r="W288" s="213">
        <v>288</v>
      </c>
      <c r="X288" s="214">
        <v>7</v>
      </c>
    </row>
    <row r="289" spans="1:24" x14ac:dyDescent="0.25">
      <c r="A289" s="54" t="s">
        <v>0</v>
      </c>
      <c r="B289" s="55" t="s">
        <v>32</v>
      </c>
      <c r="C289" s="137" t="s">
        <v>1591</v>
      </c>
      <c r="D289" s="54" t="s">
        <v>626</v>
      </c>
      <c r="E289" s="54" t="s">
        <v>1592</v>
      </c>
      <c r="F289" s="54">
        <v>0.17599999999999999</v>
      </c>
      <c r="G289" s="54" t="s">
        <v>1593</v>
      </c>
      <c r="H289" s="56"/>
      <c r="I289" s="56"/>
      <c r="J289" s="56"/>
      <c r="K289" s="54" t="s">
        <v>510</v>
      </c>
      <c r="W289" s="213">
        <v>289</v>
      </c>
      <c r="X289" s="214">
        <v>7</v>
      </c>
    </row>
    <row r="290" spans="1:24" x14ac:dyDescent="0.25">
      <c r="A290" s="52" t="s">
        <v>0</v>
      </c>
      <c r="B290" s="51" t="s">
        <v>32</v>
      </c>
      <c r="C290" s="52" t="s">
        <v>1594</v>
      </c>
      <c r="D290" s="52" t="s">
        <v>626</v>
      </c>
      <c r="E290" s="52" t="s">
        <v>1595</v>
      </c>
      <c r="F290" s="52">
        <v>0.21099999999999999</v>
      </c>
      <c r="G290" s="52" t="s">
        <v>1596</v>
      </c>
      <c r="H290" s="53"/>
      <c r="I290" s="53"/>
      <c r="J290" s="53"/>
      <c r="K290" s="52" t="s">
        <v>510</v>
      </c>
      <c r="W290" s="213">
        <v>290</v>
      </c>
      <c r="X290" s="214">
        <v>7</v>
      </c>
    </row>
    <row r="291" spans="1:24" x14ac:dyDescent="0.25">
      <c r="A291" s="54" t="s">
        <v>0</v>
      </c>
      <c r="B291" s="55" t="s">
        <v>32</v>
      </c>
      <c r="C291" s="137" t="s">
        <v>7547</v>
      </c>
      <c r="D291" s="54" t="s">
        <v>649</v>
      </c>
      <c r="E291" s="54" t="s">
        <v>7548</v>
      </c>
      <c r="F291" s="54">
        <v>0.17699999999999999</v>
      </c>
      <c r="G291" s="54" t="s">
        <v>2184</v>
      </c>
      <c r="H291" s="56"/>
      <c r="I291" s="56"/>
      <c r="J291" s="56"/>
      <c r="K291" s="54" t="s">
        <v>510</v>
      </c>
      <c r="W291" s="213">
        <v>291</v>
      </c>
      <c r="X291" s="214">
        <v>7</v>
      </c>
    </row>
    <row r="292" spans="1:24" x14ac:dyDescent="0.25">
      <c r="A292" s="52" t="s">
        <v>0</v>
      </c>
      <c r="B292" s="51" t="s">
        <v>32</v>
      </c>
      <c r="C292" s="50" t="s">
        <v>1597</v>
      </c>
      <c r="D292" s="52" t="s">
        <v>626</v>
      </c>
      <c r="E292" s="52" t="s">
        <v>1598</v>
      </c>
      <c r="F292" s="52">
        <v>0.41599999999999998</v>
      </c>
      <c r="G292" s="52" t="s">
        <v>1599</v>
      </c>
      <c r="H292" s="53"/>
      <c r="I292" s="53"/>
      <c r="J292" s="53"/>
      <c r="K292" s="52" t="s">
        <v>510</v>
      </c>
      <c r="W292" s="213">
        <v>292</v>
      </c>
      <c r="X292" s="214">
        <v>7</v>
      </c>
    </row>
    <row r="293" spans="1:24" x14ac:dyDescent="0.25">
      <c r="A293" s="54" t="s">
        <v>0</v>
      </c>
      <c r="B293" s="55" t="s">
        <v>32</v>
      </c>
      <c r="C293" s="54" t="s">
        <v>7509</v>
      </c>
      <c r="D293" s="54" t="s">
        <v>7510</v>
      </c>
      <c r="E293" s="54" t="s">
        <v>7511</v>
      </c>
      <c r="F293" s="54">
        <v>0.20200000000000001</v>
      </c>
      <c r="G293" s="54" t="s">
        <v>7512</v>
      </c>
      <c r="H293" s="56"/>
      <c r="I293" s="56"/>
      <c r="J293" s="56"/>
      <c r="K293" s="54" t="s">
        <v>510</v>
      </c>
      <c r="W293" s="213">
        <v>293</v>
      </c>
      <c r="X293" s="214">
        <v>7</v>
      </c>
    </row>
    <row r="294" spans="1:24" x14ac:dyDescent="0.25">
      <c r="A294" s="52" t="s">
        <v>0</v>
      </c>
      <c r="B294" s="51" t="s">
        <v>32</v>
      </c>
      <c r="C294" s="52" t="s">
        <v>7513</v>
      </c>
      <c r="D294" s="52" t="s">
        <v>649</v>
      </c>
      <c r="E294" s="52" t="s">
        <v>7514</v>
      </c>
      <c r="F294" s="52">
        <v>0.14399999999999999</v>
      </c>
      <c r="G294" s="52" t="s">
        <v>7515</v>
      </c>
      <c r="H294" s="53"/>
      <c r="I294" s="53"/>
      <c r="J294" s="53"/>
      <c r="K294" s="52" t="s">
        <v>510</v>
      </c>
      <c r="W294" s="213">
        <v>294</v>
      </c>
      <c r="X294" s="214">
        <v>7</v>
      </c>
    </row>
    <row r="295" spans="1:24" x14ac:dyDescent="0.25">
      <c r="A295" s="54" t="s">
        <v>0</v>
      </c>
      <c r="B295" s="55" t="s">
        <v>32</v>
      </c>
      <c r="C295" s="137" t="s">
        <v>7549</v>
      </c>
      <c r="D295" s="54" t="s">
        <v>649</v>
      </c>
      <c r="E295" s="54" t="s">
        <v>7550</v>
      </c>
      <c r="F295" s="54">
        <v>5.0999999999999997E-2</v>
      </c>
      <c r="G295" s="54" t="s">
        <v>7551</v>
      </c>
      <c r="H295" s="56"/>
      <c r="I295" s="56"/>
      <c r="J295" s="56"/>
      <c r="K295" s="54" t="s">
        <v>510</v>
      </c>
      <c r="W295" s="213">
        <v>295</v>
      </c>
      <c r="X295" s="214">
        <v>7</v>
      </c>
    </row>
    <row r="296" spans="1:24" x14ac:dyDescent="0.25">
      <c r="A296" s="52" t="s">
        <v>0</v>
      </c>
      <c r="B296" s="51" t="s">
        <v>32</v>
      </c>
      <c r="C296" s="138" t="s">
        <v>7555</v>
      </c>
      <c r="D296" s="52" t="s">
        <v>7510</v>
      </c>
      <c r="E296" s="52" t="s">
        <v>7556</v>
      </c>
      <c r="F296" s="52">
        <v>0.307</v>
      </c>
      <c r="G296" s="52" t="s">
        <v>510</v>
      </c>
      <c r="H296" s="53"/>
      <c r="I296" s="53"/>
      <c r="J296" s="53"/>
      <c r="K296" s="52" t="s">
        <v>510</v>
      </c>
      <c r="W296" s="213">
        <v>296</v>
      </c>
      <c r="X296" s="214">
        <v>7</v>
      </c>
    </row>
    <row r="297" spans="1:24" x14ac:dyDescent="0.25">
      <c r="A297" s="54" t="s">
        <v>0</v>
      </c>
      <c r="B297" s="55" t="s">
        <v>32</v>
      </c>
      <c r="C297" s="137" t="s">
        <v>7559</v>
      </c>
      <c r="D297" s="54" t="s">
        <v>649</v>
      </c>
      <c r="E297" s="54" t="s">
        <v>7560</v>
      </c>
      <c r="F297" s="54">
        <v>0.33300000000000002</v>
      </c>
      <c r="G297" s="54" t="s">
        <v>7561</v>
      </c>
      <c r="H297" s="56"/>
      <c r="I297" s="56"/>
      <c r="J297" s="56"/>
      <c r="K297" s="54" t="s">
        <v>510</v>
      </c>
      <c r="W297" s="213">
        <v>297</v>
      </c>
      <c r="X297" s="214">
        <v>7</v>
      </c>
    </row>
    <row r="298" spans="1:24" x14ac:dyDescent="0.25">
      <c r="A298" s="52" t="s">
        <v>0</v>
      </c>
      <c r="B298" s="51" t="s">
        <v>32</v>
      </c>
      <c r="C298" s="138" t="s">
        <v>7578</v>
      </c>
      <c r="D298" s="52" t="s">
        <v>7510</v>
      </c>
      <c r="E298" s="52" t="s">
        <v>7579</v>
      </c>
      <c r="F298" s="52">
        <v>0.21299999999999999</v>
      </c>
      <c r="G298" s="52" t="s">
        <v>7580</v>
      </c>
      <c r="H298" s="53"/>
      <c r="I298" s="53"/>
      <c r="J298" s="53"/>
      <c r="K298" s="52" t="s">
        <v>510</v>
      </c>
      <c r="W298" s="213">
        <v>298</v>
      </c>
      <c r="X298" s="214">
        <v>7</v>
      </c>
    </row>
    <row r="299" spans="1:24" x14ac:dyDescent="0.25">
      <c r="A299" s="54" t="s">
        <v>0</v>
      </c>
      <c r="B299" s="55" t="s">
        <v>32</v>
      </c>
      <c r="C299" s="137" t="s">
        <v>7575</v>
      </c>
      <c r="D299" s="54" t="s">
        <v>649</v>
      </c>
      <c r="E299" s="54" t="s">
        <v>7576</v>
      </c>
      <c r="F299" s="54">
        <v>0.27800000000000002</v>
      </c>
      <c r="G299" s="54" t="s">
        <v>7577</v>
      </c>
      <c r="H299" s="56"/>
      <c r="I299" s="56"/>
      <c r="J299" s="56"/>
      <c r="K299" s="54" t="s">
        <v>510</v>
      </c>
      <c r="W299" s="213">
        <v>299</v>
      </c>
      <c r="X299" s="214">
        <v>7</v>
      </c>
    </row>
    <row r="300" spans="1:24" x14ac:dyDescent="0.25">
      <c r="A300" s="52" t="s">
        <v>0</v>
      </c>
      <c r="B300" s="51" t="s">
        <v>32</v>
      </c>
      <c r="C300" s="138" t="s">
        <v>7573</v>
      </c>
      <c r="D300" s="52" t="s">
        <v>649</v>
      </c>
      <c r="E300" s="52" t="s">
        <v>7574</v>
      </c>
      <c r="F300" s="52">
        <v>0.215</v>
      </c>
      <c r="G300" s="52" t="s">
        <v>510</v>
      </c>
      <c r="H300" s="53"/>
      <c r="I300" s="53"/>
      <c r="J300" s="53"/>
      <c r="K300" s="52" t="s">
        <v>510</v>
      </c>
      <c r="W300" s="213">
        <v>300</v>
      </c>
      <c r="X300" s="214">
        <v>7</v>
      </c>
    </row>
    <row r="301" spans="1:24" x14ac:dyDescent="0.25">
      <c r="A301" s="54" t="s">
        <v>0</v>
      </c>
      <c r="B301" s="55" t="s">
        <v>32</v>
      </c>
      <c r="C301" s="137" t="s">
        <v>7557</v>
      </c>
      <c r="D301" s="54" t="s">
        <v>7510</v>
      </c>
      <c r="E301" s="54" t="s">
        <v>7558</v>
      </c>
      <c r="F301" s="54">
        <v>0.14099999999999999</v>
      </c>
      <c r="G301" s="54" t="s">
        <v>510</v>
      </c>
      <c r="H301" s="56"/>
      <c r="I301" s="56"/>
      <c r="J301" s="56"/>
      <c r="K301" s="54" t="s">
        <v>510</v>
      </c>
      <c r="W301" s="213">
        <v>301</v>
      </c>
      <c r="X301" s="214">
        <v>7</v>
      </c>
    </row>
    <row r="302" spans="1:24" x14ac:dyDescent="0.25">
      <c r="A302" s="52" t="s">
        <v>0</v>
      </c>
      <c r="B302" s="51" t="s">
        <v>32</v>
      </c>
      <c r="C302" s="52" t="s">
        <v>1622</v>
      </c>
      <c r="D302" s="52" t="s">
        <v>626</v>
      </c>
      <c r="E302" s="52" t="s">
        <v>1623</v>
      </c>
      <c r="F302" s="52">
        <v>0.19800000000000001</v>
      </c>
      <c r="G302" s="52" t="s">
        <v>1624</v>
      </c>
      <c r="H302" s="53"/>
      <c r="I302" s="53"/>
      <c r="J302" s="53"/>
      <c r="K302" s="52" t="s">
        <v>510</v>
      </c>
      <c r="W302" s="213">
        <v>302</v>
      </c>
      <c r="X302" s="214">
        <v>7</v>
      </c>
    </row>
    <row r="303" spans="1:24" x14ac:dyDescent="0.25">
      <c r="A303" s="54" t="s">
        <v>0</v>
      </c>
      <c r="B303" s="55" t="s">
        <v>32</v>
      </c>
      <c r="C303" s="137" t="s">
        <v>7567</v>
      </c>
      <c r="D303" s="54" t="s">
        <v>7510</v>
      </c>
      <c r="E303" s="54" t="s">
        <v>7568</v>
      </c>
      <c r="F303" s="54">
        <v>0.246</v>
      </c>
      <c r="G303" s="54" t="s">
        <v>7569</v>
      </c>
      <c r="H303" s="56"/>
      <c r="I303" s="56"/>
      <c r="J303" s="56"/>
      <c r="K303" s="54" t="s">
        <v>510</v>
      </c>
      <c r="W303" s="213">
        <v>303</v>
      </c>
      <c r="X303" s="214">
        <v>7</v>
      </c>
    </row>
    <row r="304" spans="1:24" x14ac:dyDescent="0.25">
      <c r="A304" s="52" t="s">
        <v>0</v>
      </c>
      <c r="B304" s="51" t="s">
        <v>32</v>
      </c>
      <c r="C304" s="138" t="s">
        <v>7566</v>
      </c>
      <c r="D304" s="52" t="s">
        <v>649</v>
      </c>
      <c r="E304" s="52" t="s">
        <v>7565</v>
      </c>
      <c r="F304" s="52">
        <v>0.14799999999999999</v>
      </c>
      <c r="G304" s="52" t="s">
        <v>510</v>
      </c>
      <c r="H304" s="53"/>
      <c r="I304" s="53"/>
      <c r="J304" s="53"/>
      <c r="K304" s="52" t="s">
        <v>510</v>
      </c>
      <c r="W304" s="213">
        <v>304</v>
      </c>
      <c r="X304" s="214">
        <v>7</v>
      </c>
    </row>
    <row r="305" spans="1:24" x14ac:dyDescent="0.25">
      <c r="A305" s="54" t="s">
        <v>0</v>
      </c>
      <c r="B305" s="55" t="s">
        <v>32</v>
      </c>
      <c r="C305" s="54" t="s">
        <v>1600</v>
      </c>
      <c r="D305" s="54" t="s">
        <v>626</v>
      </c>
      <c r="E305" s="54" t="s">
        <v>1601</v>
      </c>
      <c r="F305" s="54">
        <v>0.23200000000000001</v>
      </c>
      <c r="G305" s="54" t="s">
        <v>1602</v>
      </c>
      <c r="H305" s="56"/>
      <c r="I305" s="56"/>
      <c r="J305" s="56"/>
      <c r="K305" s="54" t="s">
        <v>510</v>
      </c>
      <c r="W305" s="213">
        <v>305</v>
      </c>
      <c r="X305" s="214">
        <v>7</v>
      </c>
    </row>
    <row r="306" spans="1:24" x14ac:dyDescent="0.25">
      <c r="A306" s="52" t="s">
        <v>0</v>
      </c>
      <c r="B306" s="51" t="s">
        <v>32</v>
      </c>
      <c r="C306" s="52" t="s">
        <v>1612</v>
      </c>
      <c r="D306" s="52" t="s">
        <v>626</v>
      </c>
      <c r="E306" s="52" t="s">
        <v>1613</v>
      </c>
      <c r="F306" s="52">
        <v>0.22900000000000001</v>
      </c>
      <c r="G306" s="52" t="s">
        <v>1614</v>
      </c>
      <c r="H306" s="53"/>
      <c r="I306" s="53"/>
      <c r="J306" s="53"/>
      <c r="K306" s="52" t="s">
        <v>510</v>
      </c>
      <c r="W306" s="213">
        <v>306</v>
      </c>
      <c r="X306" s="214">
        <v>7</v>
      </c>
    </row>
    <row r="307" spans="1:24" x14ac:dyDescent="0.25">
      <c r="A307" s="54" t="s">
        <v>0</v>
      </c>
      <c r="B307" s="55" t="s">
        <v>32</v>
      </c>
      <c r="C307" s="57" t="s">
        <v>1615</v>
      </c>
      <c r="D307" s="54" t="s">
        <v>1616</v>
      </c>
      <c r="E307" s="54" t="s">
        <v>1617</v>
      </c>
      <c r="F307" s="54">
        <v>0.17499999999999999</v>
      </c>
      <c r="G307" s="54" t="s">
        <v>1618</v>
      </c>
      <c r="H307" s="56"/>
      <c r="I307" s="56"/>
      <c r="J307" s="56"/>
      <c r="K307" s="54" t="s">
        <v>9391</v>
      </c>
      <c r="W307" s="213">
        <v>307</v>
      </c>
      <c r="X307" s="214">
        <v>7</v>
      </c>
    </row>
    <row r="308" spans="1:24" x14ac:dyDescent="0.25">
      <c r="A308" s="52" t="s">
        <v>0</v>
      </c>
      <c r="B308" s="51" t="s">
        <v>32</v>
      </c>
      <c r="C308" s="52" t="s">
        <v>7519</v>
      </c>
      <c r="D308" s="52" t="s">
        <v>649</v>
      </c>
      <c r="E308" s="52" t="s">
        <v>7520</v>
      </c>
      <c r="F308" s="52">
        <v>0.22700000000000001</v>
      </c>
      <c r="G308" s="52" t="s">
        <v>1611</v>
      </c>
      <c r="H308" s="53"/>
      <c r="I308" s="53"/>
      <c r="J308" s="53"/>
      <c r="K308" s="52" t="s">
        <v>510</v>
      </c>
      <c r="W308" s="213">
        <v>308</v>
      </c>
      <c r="X308" s="214">
        <v>7</v>
      </c>
    </row>
    <row r="309" spans="1:24" x14ac:dyDescent="0.25">
      <c r="A309" s="54" t="s">
        <v>0</v>
      </c>
      <c r="B309" s="55" t="s">
        <v>32</v>
      </c>
      <c r="C309" s="137" t="s">
        <v>7562</v>
      </c>
      <c r="D309" s="54" t="s">
        <v>7510</v>
      </c>
      <c r="E309" s="54" t="s">
        <v>7563</v>
      </c>
      <c r="F309" s="54">
        <v>0.34100000000000003</v>
      </c>
      <c r="G309" s="54" t="s">
        <v>7564</v>
      </c>
      <c r="H309" s="56"/>
      <c r="I309" s="56"/>
      <c r="J309" s="56"/>
      <c r="K309" s="54" t="s">
        <v>510</v>
      </c>
      <c r="W309" s="213">
        <v>309</v>
      </c>
      <c r="X309" s="214">
        <v>7</v>
      </c>
    </row>
    <row r="310" spans="1:24" x14ac:dyDescent="0.25">
      <c r="A310" s="52" t="s">
        <v>0</v>
      </c>
      <c r="B310" s="51" t="s">
        <v>32</v>
      </c>
      <c r="C310" s="52" t="s">
        <v>1609</v>
      </c>
      <c r="D310" s="52" t="s">
        <v>740</v>
      </c>
      <c r="E310" s="52" t="s">
        <v>1610</v>
      </c>
      <c r="F310" s="52">
        <v>0.23</v>
      </c>
      <c r="G310" s="52" t="s">
        <v>1611</v>
      </c>
      <c r="H310" s="53"/>
      <c r="I310" s="53"/>
      <c r="J310" s="53"/>
      <c r="K310" s="52" t="s">
        <v>510</v>
      </c>
      <c r="W310" s="213">
        <v>310</v>
      </c>
      <c r="X310" s="214">
        <v>7</v>
      </c>
    </row>
    <row r="311" spans="1:24" x14ac:dyDescent="0.25">
      <c r="A311" s="54" t="s">
        <v>0</v>
      </c>
      <c r="B311" s="55" t="s">
        <v>32</v>
      </c>
      <c r="C311" s="54" t="s">
        <v>7524</v>
      </c>
      <c r="D311" s="54" t="s">
        <v>649</v>
      </c>
      <c r="E311" s="54" t="s">
        <v>8434</v>
      </c>
      <c r="F311" s="54">
        <v>0.221</v>
      </c>
      <c r="G311" s="54" t="s">
        <v>7525</v>
      </c>
      <c r="H311" s="56"/>
      <c r="I311" s="56"/>
      <c r="J311" s="56"/>
      <c r="K311" s="54" t="s">
        <v>510</v>
      </c>
      <c r="W311" s="213">
        <v>311</v>
      </c>
      <c r="X311" s="214">
        <v>7</v>
      </c>
    </row>
    <row r="312" spans="1:24" x14ac:dyDescent="0.25">
      <c r="A312" s="52" t="s">
        <v>0</v>
      </c>
      <c r="B312" s="51" t="s">
        <v>32</v>
      </c>
      <c r="C312" s="52" t="s">
        <v>7521</v>
      </c>
      <c r="D312" s="52" t="s">
        <v>649</v>
      </c>
      <c r="E312" s="52" t="s">
        <v>7522</v>
      </c>
      <c r="F312" s="52">
        <v>0.48399999999999999</v>
      </c>
      <c r="G312" s="52" t="s">
        <v>7523</v>
      </c>
      <c r="H312" s="53"/>
      <c r="I312" s="53"/>
      <c r="J312" s="53"/>
      <c r="K312" s="52" t="s">
        <v>510</v>
      </c>
      <c r="W312" s="213">
        <v>312</v>
      </c>
      <c r="X312" s="214">
        <v>7</v>
      </c>
    </row>
    <row r="313" spans="1:24" x14ac:dyDescent="0.25">
      <c r="A313" s="54" t="s">
        <v>0</v>
      </c>
      <c r="B313" s="55" t="s">
        <v>32</v>
      </c>
      <c r="C313" s="54" t="s">
        <v>7516</v>
      </c>
      <c r="D313" s="54" t="s">
        <v>649</v>
      </c>
      <c r="E313" s="54" t="s">
        <v>7517</v>
      </c>
      <c r="F313" s="54">
        <v>0.253</v>
      </c>
      <c r="G313" s="54" t="s">
        <v>7518</v>
      </c>
      <c r="H313" s="56"/>
      <c r="I313" s="56"/>
      <c r="J313" s="56"/>
      <c r="K313" s="54" t="s">
        <v>510</v>
      </c>
      <c r="W313" s="213">
        <v>313</v>
      </c>
      <c r="X313" s="214">
        <v>7</v>
      </c>
    </row>
    <row r="314" spans="1:24" x14ac:dyDescent="0.25">
      <c r="A314" s="52" t="s">
        <v>0</v>
      </c>
      <c r="B314" s="51" t="s">
        <v>32</v>
      </c>
      <c r="C314" s="52" t="s">
        <v>1603</v>
      </c>
      <c r="D314" s="52" t="s">
        <v>626</v>
      </c>
      <c r="E314" s="52" t="s">
        <v>1604</v>
      </c>
      <c r="F314" s="52">
        <v>0.16</v>
      </c>
      <c r="G314" s="52" t="s">
        <v>1605</v>
      </c>
      <c r="H314" s="53"/>
      <c r="I314" s="53"/>
      <c r="J314" s="53"/>
      <c r="K314" s="52" t="s">
        <v>510</v>
      </c>
      <c r="W314" s="213">
        <v>314</v>
      </c>
      <c r="X314" s="214">
        <v>7</v>
      </c>
    </row>
    <row r="315" spans="1:24" x14ac:dyDescent="0.25">
      <c r="A315" s="54" t="s">
        <v>0</v>
      </c>
      <c r="B315" s="55" t="s">
        <v>32</v>
      </c>
      <c r="C315" s="54" t="s">
        <v>1606</v>
      </c>
      <c r="D315" s="54" t="s">
        <v>626</v>
      </c>
      <c r="E315" s="54" t="s">
        <v>1607</v>
      </c>
      <c r="F315" s="54">
        <v>0.156</v>
      </c>
      <c r="G315" s="54" t="s">
        <v>1608</v>
      </c>
      <c r="H315" s="56"/>
      <c r="I315" s="56"/>
      <c r="J315" s="56"/>
      <c r="K315" s="54" t="s">
        <v>510</v>
      </c>
      <c r="W315" s="213">
        <v>315</v>
      </c>
      <c r="X315" s="214">
        <v>7</v>
      </c>
    </row>
    <row r="316" spans="1:24" x14ac:dyDescent="0.25">
      <c r="A316" s="52" t="s">
        <v>0</v>
      </c>
      <c r="B316" s="51" t="s">
        <v>32</v>
      </c>
      <c r="C316" s="52" t="s">
        <v>1619</v>
      </c>
      <c r="D316" s="52" t="s">
        <v>50</v>
      </c>
      <c r="E316" s="52" t="s">
        <v>1620</v>
      </c>
      <c r="F316" s="52">
        <v>0.32900000000000001</v>
      </c>
      <c r="G316" s="52" t="s">
        <v>1621</v>
      </c>
      <c r="H316" s="53"/>
      <c r="I316" s="53"/>
      <c r="J316" s="53"/>
      <c r="K316" s="52" t="s">
        <v>510</v>
      </c>
      <c r="W316" s="213">
        <v>316</v>
      </c>
      <c r="X316" s="214">
        <v>7</v>
      </c>
    </row>
    <row r="317" spans="1:24" x14ac:dyDescent="0.25">
      <c r="A317" s="54" t="s">
        <v>0</v>
      </c>
      <c r="B317" s="55" t="s">
        <v>32</v>
      </c>
      <c r="C317" s="137" t="s">
        <v>1625</v>
      </c>
      <c r="D317" s="54" t="s">
        <v>626</v>
      </c>
      <c r="E317" s="54" t="s">
        <v>1626</v>
      </c>
      <c r="F317" s="54">
        <v>0.22900000000000001</v>
      </c>
      <c r="G317" s="54" t="s">
        <v>1627</v>
      </c>
      <c r="H317" s="56"/>
      <c r="I317" s="56"/>
      <c r="J317" s="56"/>
      <c r="K317" s="54" t="s">
        <v>510</v>
      </c>
      <c r="W317" s="213">
        <v>317</v>
      </c>
      <c r="X317" s="214">
        <v>7</v>
      </c>
    </row>
    <row r="318" spans="1:24" x14ac:dyDescent="0.25">
      <c r="A318" s="52" t="s">
        <v>0</v>
      </c>
      <c r="B318" s="51" t="s">
        <v>32</v>
      </c>
      <c r="C318" s="138" t="s">
        <v>7552</v>
      </c>
      <c r="D318" s="52" t="s">
        <v>649</v>
      </c>
      <c r="E318" s="52" t="s">
        <v>7553</v>
      </c>
      <c r="F318" s="52">
        <v>0.35599999999999998</v>
      </c>
      <c r="G318" s="52" t="s">
        <v>7554</v>
      </c>
      <c r="H318" s="53"/>
      <c r="I318" s="53"/>
      <c r="J318" s="53"/>
      <c r="K318" s="52" t="s">
        <v>510</v>
      </c>
      <c r="W318" s="213">
        <v>318</v>
      </c>
      <c r="X318" s="214">
        <v>7</v>
      </c>
    </row>
    <row r="319" spans="1:24" x14ac:dyDescent="0.25">
      <c r="A319" s="54" t="s">
        <v>0</v>
      </c>
      <c r="B319" s="55" t="s">
        <v>32</v>
      </c>
      <c r="C319" s="137" t="s">
        <v>7571</v>
      </c>
      <c r="D319" s="54" t="s">
        <v>7570</v>
      </c>
      <c r="E319" s="54" t="s">
        <v>7572</v>
      </c>
      <c r="F319" s="54">
        <v>0.36599999999999999</v>
      </c>
      <c r="G319" s="54" t="s">
        <v>4933</v>
      </c>
      <c r="H319" s="56"/>
      <c r="I319" s="56"/>
      <c r="J319" s="56"/>
      <c r="K319" s="54" t="s">
        <v>9422</v>
      </c>
      <c r="W319" s="213">
        <v>319</v>
      </c>
      <c r="X319" s="214">
        <v>7</v>
      </c>
    </row>
    <row r="320" spans="1:24" x14ac:dyDescent="0.25">
      <c r="A320" s="52" t="s">
        <v>0</v>
      </c>
      <c r="B320" s="51" t="s">
        <v>32</v>
      </c>
      <c r="C320" s="138" t="s">
        <v>7596</v>
      </c>
      <c r="D320" s="52" t="s">
        <v>649</v>
      </c>
      <c r="E320" s="52" t="s">
        <v>7597</v>
      </c>
      <c r="F320" s="52">
        <v>0.497</v>
      </c>
      <c r="G320" s="52" t="s">
        <v>7598</v>
      </c>
      <c r="H320" s="53"/>
      <c r="I320" s="53"/>
      <c r="J320" s="53"/>
      <c r="K320" s="52" t="s">
        <v>510</v>
      </c>
      <c r="W320" s="213">
        <v>320</v>
      </c>
      <c r="X320" s="214">
        <v>7</v>
      </c>
    </row>
    <row r="321" spans="1:24" x14ac:dyDescent="0.25">
      <c r="A321" s="54" t="s">
        <v>0</v>
      </c>
      <c r="B321" s="55" t="s">
        <v>32</v>
      </c>
      <c r="C321" s="137" t="s">
        <v>7581</v>
      </c>
      <c r="D321" s="54" t="s">
        <v>649</v>
      </c>
      <c r="E321" s="54" t="s">
        <v>7582</v>
      </c>
      <c r="F321" s="54">
        <v>0.23599999999999999</v>
      </c>
      <c r="G321" s="54" t="s">
        <v>7583</v>
      </c>
      <c r="H321" s="56"/>
      <c r="I321" s="56"/>
      <c r="J321" s="56"/>
      <c r="K321" s="54" t="s">
        <v>510</v>
      </c>
      <c r="W321" s="213">
        <v>321</v>
      </c>
      <c r="X321" s="214">
        <v>7</v>
      </c>
    </row>
    <row r="322" spans="1:24" x14ac:dyDescent="0.25">
      <c r="A322" s="52" t="s">
        <v>0</v>
      </c>
      <c r="B322" s="51" t="s">
        <v>32</v>
      </c>
      <c r="C322" s="52" t="s">
        <v>1637</v>
      </c>
      <c r="D322" s="52" t="s">
        <v>626</v>
      </c>
      <c r="E322" s="52" t="s">
        <v>1638</v>
      </c>
      <c r="F322" s="52">
        <v>0.20499999999999999</v>
      </c>
      <c r="G322" s="52" t="s">
        <v>1639</v>
      </c>
      <c r="H322" s="53"/>
      <c r="I322" s="53"/>
      <c r="J322" s="53"/>
      <c r="K322" s="52" t="s">
        <v>510</v>
      </c>
      <c r="W322" s="213">
        <v>322</v>
      </c>
      <c r="X322" s="214">
        <v>7</v>
      </c>
    </row>
    <row r="323" spans="1:24" x14ac:dyDescent="0.25">
      <c r="A323" s="54" t="s">
        <v>0</v>
      </c>
      <c r="B323" s="55" t="s">
        <v>32</v>
      </c>
      <c r="C323" s="137" t="s">
        <v>7621</v>
      </c>
      <c r="D323" s="54" t="s">
        <v>649</v>
      </c>
      <c r="E323" s="54" t="s">
        <v>7622</v>
      </c>
      <c r="F323" s="54">
        <v>0.55700000000000005</v>
      </c>
      <c r="G323" s="54" t="s">
        <v>510</v>
      </c>
      <c r="H323" s="56"/>
      <c r="I323" s="56"/>
      <c r="J323" s="56"/>
      <c r="K323" s="54" t="s">
        <v>510</v>
      </c>
      <c r="W323" s="213">
        <v>323</v>
      </c>
      <c r="X323" s="214">
        <v>7</v>
      </c>
    </row>
    <row r="324" spans="1:24" x14ac:dyDescent="0.25">
      <c r="A324" s="52" t="s">
        <v>0</v>
      </c>
      <c r="B324" s="51" t="s">
        <v>32</v>
      </c>
      <c r="C324" s="138" t="s">
        <v>7610</v>
      </c>
      <c r="D324" s="52" t="s">
        <v>649</v>
      </c>
      <c r="E324" s="52" t="s">
        <v>7611</v>
      </c>
      <c r="F324" s="52">
        <v>0.23300000000000001</v>
      </c>
      <c r="G324" s="52" t="s">
        <v>510</v>
      </c>
      <c r="H324" s="53"/>
      <c r="I324" s="53"/>
      <c r="J324" s="53"/>
      <c r="K324" s="52" t="s">
        <v>510</v>
      </c>
      <c r="W324" s="213">
        <v>324</v>
      </c>
      <c r="X324" s="214">
        <v>7</v>
      </c>
    </row>
    <row r="325" spans="1:24" x14ac:dyDescent="0.25">
      <c r="A325" s="54" t="s">
        <v>0</v>
      </c>
      <c r="B325" s="55" t="s">
        <v>32</v>
      </c>
      <c r="C325" s="54" t="s">
        <v>1652</v>
      </c>
      <c r="D325" s="54" t="s">
        <v>50</v>
      </c>
      <c r="E325" s="54" t="s">
        <v>1653</v>
      </c>
      <c r="F325" s="54">
        <v>0.249</v>
      </c>
      <c r="G325" s="54" t="s">
        <v>1654</v>
      </c>
      <c r="H325" s="56"/>
      <c r="I325" s="56"/>
      <c r="J325" s="56"/>
      <c r="K325" s="54" t="s">
        <v>510</v>
      </c>
      <c r="W325" s="213">
        <v>325</v>
      </c>
      <c r="X325" s="214">
        <v>7</v>
      </c>
    </row>
    <row r="326" spans="1:24" x14ac:dyDescent="0.25">
      <c r="A326" s="52" t="s">
        <v>0</v>
      </c>
      <c r="B326" s="51" t="s">
        <v>32</v>
      </c>
      <c r="C326" s="50" t="s">
        <v>1655</v>
      </c>
      <c r="D326" s="52" t="s">
        <v>1656</v>
      </c>
      <c r="E326" s="52" t="s">
        <v>1657</v>
      </c>
      <c r="F326" s="52">
        <v>0.23</v>
      </c>
      <c r="G326" s="52" t="s">
        <v>1658</v>
      </c>
      <c r="H326" s="53"/>
      <c r="I326" s="53"/>
      <c r="J326" s="53"/>
      <c r="K326" s="52" t="s">
        <v>9508</v>
      </c>
      <c r="W326" s="213">
        <v>326</v>
      </c>
      <c r="X326" s="214">
        <v>7</v>
      </c>
    </row>
    <row r="327" spans="1:24" x14ac:dyDescent="0.25">
      <c r="A327" s="54" t="s">
        <v>0</v>
      </c>
      <c r="B327" s="55" t="s">
        <v>32</v>
      </c>
      <c r="C327" s="137" t="s">
        <v>7612</v>
      </c>
      <c r="D327" s="54" t="s">
        <v>649</v>
      </c>
      <c r="E327" s="54" t="s">
        <v>7613</v>
      </c>
      <c r="F327" s="54">
        <v>0.25700000000000001</v>
      </c>
      <c r="G327" s="54" t="s">
        <v>1651</v>
      </c>
      <c r="H327" s="56"/>
      <c r="I327" s="56"/>
      <c r="J327" s="56"/>
      <c r="K327" s="54" t="s">
        <v>510</v>
      </c>
      <c r="W327" s="213">
        <v>327</v>
      </c>
      <c r="X327" s="214">
        <v>7</v>
      </c>
    </row>
    <row r="328" spans="1:24" x14ac:dyDescent="0.25">
      <c r="A328" s="52" t="s">
        <v>0</v>
      </c>
      <c r="B328" s="51" t="s">
        <v>32</v>
      </c>
      <c r="C328" s="52" t="s">
        <v>7526</v>
      </c>
      <c r="D328" s="52" t="s">
        <v>649</v>
      </c>
      <c r="E328" s="52" t="s">
        <v>7527</v>
      </c>
      <c r="F328" s="52">
        <v>0.19400000000000001</v>
      </c>
      <c r="G328" s="52" t="s">
        <v>4593</v>
      </c>
      <c r="H328" s="53"/>
      <c r="I328" s="53"/>
      <c r="J328" s="53"/>
      <c r="K328" s="52" t="s">
        <v>510</v>
      </c>
      <c r="W328" s="213">
        <v>328</v>
      </c>
      <c r="X328" s="214">
        <v>7</v>
      </c>
    </row>
    <row r="329" spans="1:24" x14ac:dyDescent="0.25">
      <c r="A329" s="54" t="s">
        <v>0</v>
      </c>
      <c r="B329" s="55" t="s">
        <v>32</v>
      </c>
      <c r="C329" s="137" t="s">
        <v>7623</v>
      </c>
      <c r="D329" s="54" t="s">
        <v>7510</v>
      </c>
      <c r="E329" s="54" t="s">
        <v>7624</v>
      </c>
      <c r="F329" s="54">
        <v>0.27300000000000002</v>
      </c>
      <c r="G329" s="54" t="s">
        <v>7625</v>
      </c>
      <c r="H329" s="56"/>
      <c r="I329" s="56"/>
      <c r="J329" s="56"/>
      <c r="K329" s="54" t="s">
        <v>510</v>
      </c>
      <c r="W329" s="213">
        <v>329</v>
      </c>
      <c r="X329" s="214">
        <v>7</v>
      </c>
    </row>
    <row r="330" spans="1:24" x14ac:dyDescent="0.25">
      <c r="A330" s="52" t="s">
        <v>0</v>
      </c>
      <c r="B330" s="51" t="s">
        <v>32</v>
      </c>
      <c r="C330" s="138" t="s">
        <v>7626</v>
      </c>
      <c r="D330" s="52" t="s">
        <v>649</v>
      </c>
      <c r="E330" s="52" t="s">
        <v>7627</v>
      </c>
      <c r="F330" s="52">
        <v>0.2</v>
      </c>
      <c r="G330" s="52" t="s">
        <v>7628</v>
      </c>
      <c r="H330" s="53"/>
      <c r="I330" s="53"/>
      <c r="J330" s="53"/>
      <c r="K330" s="52" t="s">
        <v>510</v>
      </c>
      <c r="W330" s="213">
        <v>330</v>
      </c>
      <c r="X330" s="214">
        <v>7</v>
      </c>
    </row>
    <row r="331" spans="1:24" x14ac:dyDescent="0.25">
      <c r="A331" s="54" t="s">
        <v>0</v>
      </c>
      <c r="B331" s="55" t="s">
        <v>32</v>
      </c>
      <c r="C331" s="137" t="s">
        <v>7629</v>
      </c>
      <c r="D331" s="54" t="s">
        <v>649</v>
      </c>
      <c r="E331" s="54" t="s">
        <v>7630</v>
      </c>
      <c r="F331" s="54">
        <v>0.153</v>
      </c>
      <c r="G331" s="54" t="s">
        <v>7631</v>
      </c>
      <c r="H331" s="56"/>
      <c r="I331" s="56"/>
      <c r="J331" s="56"/>
      <c r="K331" s="54" t="s">
        <v>510</v>
      </c>
      <c r="W331" s="213">
        <v>331</v>
      </c>
      <c r="X331" s="214">
        <v>7</v>
      </c>
    </row>
    <row r="332" spans="1:24" x14ac:dyDescent="0.25">
      <c r="A332" s="52" t="s">
        <v>0</v>
      </c>
      <c r="B332" s="51" t="s">
        <v>32</v>
      </c>
      <c r="C332" s="52" t="s">
        <v>1649</v>
      </c>
      <c r="D332" s="52" t="s">
        <v>626</v>
      </c>
      <c r="E332" s="52" t="s">
        <v>1650</v>
      </c>
      <c r="F332" s="52">
        <v>0.25900000000000001</v>
      </c>
      <c r="G332" s="52" t="s">
        <v>1651</v>
      </c>
      <c r="H332" s="53"/>
      <c r="I332" s="53"/>
      <c r="J332" s="53"/>
      <c r="K332" s="52" t="s">
        <v>510</v>
      </c>
      <c r="W332" s="213">
        <v>332</v>
      </c>
      <c r="X332" s="214">
        <v>7</v>
      </c>
    </row>
    <row r="333" spans="1:24" x14ac:dyDescent="0.25">
      <c r="A333" s="54" t="s">
        <v>0</v>
      </c>
      <c r="B333" s="55" t="s">
        <v>32</v>
      </c>
      <c r="C333" s="137" t="s">
        <v>7604</v>
      </c>
      <c r="D333" s="54" t="s">
        <v>7510</v>
      </c>
      <c r="E333" s="54" t="s">
        <v>7605</v>
      </c>
      <c r="F333" s="54">
        <v>0.159</v>
      </c>
      <c r="G333" s="54" t="s">
        <v>7606</v>
      </c>
      <c r="H333" s="56"/>
      <c r="I333" s="56"/>
      <c r="J333" s="56"/>
      <c r="K333" s="54" t="s">
        <v>510</v>
      </c>
      <c r="W333" s="213">
        <v>333</v>
      </c>
      <c r="X333" s="214">
        <v>7</v>
      </c>
    </row>
    <row r="334" spans="1:24" x14ac:dyDescent="0.25">
      <c r="A334" s="52" t="s">
        <v>0</v>
      </c>
      <c r="B334" s="51" t="s">
        <v>32</v>
      </c>
      <c r="C334" s="52" t="s">
        <v>7528</v>
      </c>
      <c r="D334" s="52" t="s">
        <v>649</v>
      </c>
      <c r="E334" s="52" t="s">
        <v>7529</v>
      </c>
      <c r="F334" s="52">
        <v>0.21</v>
      </c>
      <c r="G334" s="52" t="s">
        <v>7530</v>
      </c>
      <c r="H334" s="53"/>
      <c r="I334" s="53"/>
      <c r="J334" s="53"/>
      <c r="K334" s="52" t="s">
        <v>510</v>
      </c>
      <c r="W334" s="213">
        <v>334</v>
      </c>
      <c r="X334" s="214">
        <v>7</v>
      </c>
    </row>
    <row r="335" spans="1:24" x14ac:dyDescent="0.25">
      <c r="A335" s="54" t="s">
        <v>0</v>
      </c>
      <c r="B335" s="55" t="s">
        <v>32</v>
      </c>
      <c r="C335" s="54" t="s">
        <v>1679</v>
      </c>
      <c r="D335" s="54" t="s">
        <v>626</v>
      </c>
      <c r="E335" s="54" t="s">
        <v>1680</v>
      </c>
      <c r="F335" s="54">
        <v>0.33400000000000002</v>
      </c>
      <c r="G335" s="54" t="s">
        <v>1681</v>
      </c>
      <c r="H335" s="56"/>
      <c r="I335" s="56"/>
      <c r="J335" s="56"/>
      <c r="K335" s="54" t="s">
        <v>510</v>
      </c>
      <c r="W335" s="213">
        <v>335</v>
      </c>
      <c r="X335" s="214">
        <v>7</v>
      </c>
    </row>
    <row r="336" spans="1:24" x14ac:dyDescent="0.25">
      <c r="A336" s="52" t="s">
        <v>0</v>
      </c>
      <c r="B336" s="51" t="s">
        <v>32</v>
      </c>
      <c r="C336" s="138" t="s">
        <v>7591</v>
      </c>
      <c r="D336" s="52" t="s">
        <v>626</v>
      </c>
      <c r="E336" s="52" t="s">
        <v>7592</v>
      </c>
      <c r="F336" s="52">
        <v>0.25</v>
      </c>
      <c r="G336" s="52" t="s">
        <v>7593</v>
      </c>
      <c r="H336" s="53"/>
      <c r="I336" s="53"/>
      <c r="J336" s="53"/>
      <c r="K336" s="52" t="s">
        <v>510</v>
      </c>
      <c r="W336" s="213">
        <v>336</v>
      </c>
      <c r="X336" s="214">
        <v>7</v>
      </c>
    </row>
    <row r="337" spans="1:24" x14ac:dyDescent="0.25">
      <c r="A337" s="54" t="s">
        <v>0</v>
      </c>
      <c r="B337" s="55" t="s">
        <v>32</v>
      </c>
      <c r="C337" s="54" t="s">
        <v>7536</v>
      </c>
      <c r="D337" s="54" t="s">
        <v>649</v>
      </c>
      <c r="E337" s="54" t="s">
        <v>7537</v>
      </c>
      <c r="F337" s="54">
        <v>0.2</v>
      </c>
      <c r="G337" s="54" t="s">
        <v>1651</v>
      </c>
      <c r="H337" s="56"/>
      <c r="I337" s="56"/>
      <c r="J337" s="56"/>
      <c r="K337" s="54" t="s">
        <v>510</v>
      </c>
      <c r="W337" s="213">
        <v>337</v>
      </c>
      <c r="X337" s="214">
        <v>7</v>
      </c>
    </row>
    <row r="338" spans="1:24" x14ac:dyDescent="0.25">
      <c r="A338" s="52" t="s">
        <v>0</v>
      </c>
      <c r="B338" s="51" t="s">
        <v>32</v>
      </c>
      <c r="C338" s="50" t="s">
        <v>1665</v>
      </c>
      <c r="D338" s="52" t="s">
        <v>1666</v>
      </c>
      <c r="E338" s="52" t="s">
        <v>1667</v>
      </c>
      <c r="F338" s="52">
        <v>0.61099999999999999</v>
      </c>
      <c r="G338" s="52" t="s">
        <v>1668</v>
      </c>
      <c r="H338" s="53"/>
      <c r="I338" s="53"/>
      <c r="J338" s="53"/>
      <c r="K338" s="52" t="s">
        <v>9509</v>
      </c>
      <c r="W338" s="213">
        <v>338</v>
      </c>
      <c r="X338" s="214">
        <v>7</v>
      </c>
    </row>
    <row r="339" spans="1:24" x14ac:dyDescent="0.25">
      <c r="A339" s="54" t="s">
        <v>0</v>
      </c>
      <c r="B339" s="55" t="s">
        <v>32</v>
      </c>
      <c r="C339" s="54" t="s">
        <v>1628</v>
      </c>
      <c r="D339" s="54" t="s">
        <v>626</v>
      </c>
      <c r="E339" s="54" t="s">
        <v>1629</v>
      </c>
      <c r="F339" s="54">
        <v>0.29799999999999999</v>
      </c>
      <c r="G339" s="54" t="s">
        <v>1630</v>
      </c>
      <c r="H339" s="56"/>
      <c r="I339" s="56"/>
      <c r="J339" s="56"/>
      <c r="K339" s="54" t="s">
        <v>510</v>
      </c>
      <c r="W339" s="213">
        <v>339</v>
      </c>
      <c r="X339" s="214">
        <v>7</v>
      </c>
    </row>
    <row r="340" spans="1:24" x14ac:dyDescent="0.25">
      <c r="A340" s="52" t="s">
        <v>0</v>
      </c>
      <c r="B340" s="51" t="s">
        <v>32</v>
      </c>
      <c r="C340" s="52" t="s">
        <v>1643</v>
      </c>
      <c r="D340" s="52" t="s">
        <v>626</v>
      </c>
      <c r="E340" s="52" t="s">
        <v>1644</v>
      </c>
      <c r="F340" s="52">
        <v>0.26400000000000001</v>
      </c>
      <c r="G340" s="52" t="s">
        <v>1645</v>
      </c>
      <c r="H340" s="53"/>
      <c r="I340" s="53"/>
      <c r="J340" s="53"/>
      <c r="K340" s="52" t="s">
        <v>510</v>
      </c>
      <c r="W340" s="213">
        <v>340</v>
      </c>
      <c r="X340" s="214">
        <v>7</v>
      </c>
    </row>
    <row r="341" spans="1:24" x14ac:dyDescent="0.25">
      <c r="A341" s="54" t="s">
        <v>0</v>
      </c>
      <c r="B341" s="55" t="s">
        <v>32</v>
      </c>
      <c r="C341" s="137" t="s">
        <v>7619</v>
      </c>
      <c r="D341" s="54" t="s">
        <v>649</v>
      </c>
      <c r="E341" s="54" t="s">
        <v>7620</v>
      </c>
      <c r="F341" s="54">
        <v>0.28399999999999997</v>
      </c>
      <c r="G341" s="54" t="s">
        <v>510</v>
      </c>
      <c r="H341" s="56"/>
      <c r="I341" s="56"/>
      <c r="J341" s="56"/>
      <c r="K341" s="54" t="s">
        <v>510</v>
      </c>
      <c r="W341" s="213">
        <v>341</v>
      </c>
      <c r="X341" s="214">
        <v>7</v>
      </c>
    </row>
    <row r="342" spans="1:24" x14ac:dyDescent="0.25">
      <c r="A342" s="52" t="s">
        <v>0</v>
      </c>
      <c r="B342" s="51" t="s">
        <v>32</v>
      </c>
      <c r="C342" s="138" t="s">
        <v>7587</v>
      </c>
      <c r="D342" s="52" t="s">
        <v>7510</v>
      </c>
      <c r="E342" s="52" t="s">
        <v>7588</v>
      </c>
      <c r="F342" s="52">
        <v>0.312</v>
      </c>
      <c r="G342" s="52" t="s">
        <v>510</v>
      </c>
      <c r="H342" s="53"/>
      <c r="I342" s="53"/>
      <c r="J342" s="53"/>
      <c r="K342" s="52" t="s">
        <v>510</v>
      </c>
      <c r="W342" s="213">
        <v>342</v>
      </c>
      <c r="X342" s="214">
        <v>7</v>
      </c>
    </row>
    <row r="343" spans="1:24" x14ac:dyDescent="0.25">
      <c r="A343" s="54" t="s">
        <v>0</v>
      </c>
      <c r="B343" s="55" t="s">
        <v>32</v>
      </c>
      <c r="C343" s="137" t="s">
        <v>7599</v>
      </c>
      <c r="D343" s="54" t="s">
        <v>649</v>
      </c>
      <c r="E343" s="54" t="s">
        <v>7600</v>
      </c>
      <c r="F343" s="54">
        <v>0.23599999999999999</v>
      </c>
      <c r="G343" s="54" t="s">
        <v>510</v>
      </c>
      <c r="H343" s="56"/>
      <c r="I343" s="56"/>
      <c r="J343" s="56"/>
      <c r="K343" s="54" t="s">
        <v>510</v>
      </c>
      <c r="W343" s="213">
        <v>343</v>
      </c>
      <c r="X343" s="214">
        <v>7</v>
      </c>
    </row>
    <row r="344" spans="1:24" x14ac:dyDescent="0.25">
      <c r="A344" s="52" t="s">
        <v>0</v>
      </c>
      <c r="B344" s="51" t="s">
        <v>32</v>
      </c>
      <c r="C344" s="138" t="s">
        <v>7614</v>
      </c>
      <c r="D344" s="52" t="s">
        <v>649</v>
      </c>
      <c r="E344" s="52" t="s">
        <v>7615</v>
      </c>
      <c r="F344" s="52">
        <v>0.32</v>
      </c>
      <c r="G344" s="52" t="s">
        <v>510</v>
      </c>
      <c r="H344" s="53"/>
      <c r="I344" s="53"/>
      <c r="J344" s="53"/>
      <c r="K344" s="52" t="s">
        <v>510</v>
      </c>
      <c r="W344" s="213">
        <v>344</v>
      </c>
      <c r="X344" s="214">
        <v>7</v>
      </c>
    </row>
    <row r="345" spans="1:24" x14ac:dyDescent="0.25">
      <c r="A345" s="54" t="s">
        <v>0</v>
      </c>
      <c r="B345" s="55" t="s">
        <v>32</v>
      </c>
      <c r="C345" s="54" t="s">
        <v>1634</v>
      </c>
      <c r="D345" s="54" t="s">
        <v>626</v>
      </c>
      <c r="E345" s="54" t="s">
        <v>1635</v>
      </c>
      <c r="F345" s="54">
        <v>0.22600000000000001</v>
      </c>
      <c r="G345" s="54" t="s">
        <v>1636</v>
      </c>
      <c r="H345" s="56"/>
      <c r="I345" s="56"/>
      <c r="J345" s="56"/>
      <c r="K345" s="54" t="s">
        <v>510</v>
      </c>
      <c r="W345" s="213">
        <v>345</v>
      </c>
      <c r="X345" s="214">
        <v>7</v>
      </c>
    </row>
    <row r="346" spans="1:24" x14ac:dyDescent="0.25">
      <c r="A346" s="52" t="s">
        <v>0</v>
      </c>
      <c r="B346" s="51" t="s">
        <v>32</v>
      </c>
      <c r="C346" s="138" t="s">
        <v>7590</v>
      </c>
      <c r="D346" s="52" t="s">
        <v>7510</v>
      </c>
      <c r="E346" s="52" t="s">
        <v>7589</v>
      </c>
      <c r="F346" s="52">
        <v>0.36299999999999999</v>
      </c>
      <c r="G346" s="52" t="s">
        <v>1950</v>
      </c>
      <c r="H346" s="53"/>
      <c r="I346" s="53"/>
      <c r="J346" s="53"/>
      <c r="K346" s="52" t="s">
        <v>510</v>
      </c>
      <c r="W346" s="213">
        <v>346</v>
      </c>
      <c r="X346" s="214">
        <v>7</v>
      </c>
    </row>
    <row r="347" spans="1:24" x14ac:dyDescent="0.25">
      <c r="A347" s="54" t="s">
        <v>0</v>
      </c>
      <c r="B347" s="55" t="s">
        <v>32</v>
      </c>
      <c r="C347" s="137" t="s">
        <v>7594</v>
      </c>
      <c r="D347" s="54" t="s">
        <v>7510</v>
      </c>
      <c r="E347" s="54" t="s">
        <v>7595</v>
      </c>
      <c r="F347" s="54">
        <v>0.33200000000000002</v>
      </c>
      <c r="G347" s="54" t="s">
        <v>510</v>
      </c>
      <c r="H347" s="56"/>
      <c r="I347" s="56"/>
      <c r="J347" s="56"/>
      <c r="K347" s="54" t="s">
        <v>510</v>
      </c>
      <c r="W347" s="213">
        <v>347</v>
      </c>
      <c r="X347" s="214">
        <v>7</v>
      </c>
    </row>
    <row r="348" spans="1:24" x14ac:dyDescent="0.25">
      <c r="A348" s="52" t="s">
        <v>0</v>
      </c>
      <c r="B348" s="51" t="s">
        <v>32</v>
      </c>
      <c r="C348" s="52" t="s">
        <v>7538</v>
      </c>
      <c r="D348" s="52" t="s">
        <v>649</v>
      </c>
      <c r="E348" s="52" t="s">
        <v>7539</v>
      </c>
      <c r="F348" s="52">
        <v>0.312</v>
      </c>
      <c r="G348" s="52" t="s">
        <v>7540</v>
      </c>
      <c r="H348" s="53"/>
      <c r="I348" s="53"/>
      <c r="J348" s="53"/>
      <c r="K348" s="52" t="s">
        <v>510</v>
      </c>
      <c r="W348" s="213">
        <v>348</v>
      </c>
      <c r="X348" s="214">
        <v>7</v>
      </c>
    </row>
    <row r="349" spans="1:24" x14ac:dyDescent="0.25">
      <c r="A349" s="54" t="s">
        <v>0</v>
      </c>
      <c r="B349" s="55" t="s">
        <v>32</v>
      </c>
      <c r="C349" s="54" t="s">
        <v>7533</v>
      </c>
      <c r="D349" s="54" t="s">
        <v>649</v>
      </c>
      <c r="E349" s="54" t="s">
        <v>7534</v>
      </c>
      <c r="F349" s="54">
        <v>0.28899999999999998</v>
      </c>
      <c r="G349" s="54" t="s">
        <v>7535</v>
      </c>
      <c r="H349" s="56"/>
      <c r="I349" s="56"/>
      <c r="J349" s="56"/>
      <c r="K349" s="54" t="s">
        <v>510</v>
      </c>
      <c r="W349" s="213">
        <v>349</v>
      </c>
      <c r="X349" s="214">
        <v>7</v>
      </c>
    </row>
    <row r="350" spans="1:24" x14ac:dyDescent="0.25">
      <c r="A350" s="52" t="s">
        <v>0</v>
      </c>
      <c r="B350" s="51" t="s">
        <v>32</v>
      </c>
      <c r="C350" s="138" t="s">
        <v>7632</v>
      </c>
      <c r="D350" s="52" t="s">
        <v>649</v>
      </c>
      <c r="E350" s="52" t="s">
        <v>7633</v>
      </c>
      <c r="F350" s="52">
        <v>0.39700000000000002</v>
      </c>
      <c r="G350" s="52" t="s">
        <v>510</v>
      </c>
      <c r="H350" s="53"/>
      <c r="I350" s="53"/>
      <c r="J350" s="53"/>
      <c r="K350" s="52" t="s">
        <v>510</v>
      </c>
      <c r="W350" s="213">
        <v>350</v>
      </c>
      <c r="X350" s="214">
        <v>7</v>
      </c>
    </row>
    <row r="351" spans="1:24" x14ac:dyDescent="0.25">
      <c r="A351" s="54" t="s">
        <v>0</v>
      </c>
      <c r="B351" s="55" t="s">
        <v>32</v>
      </c>
      <c r="C351" s="54" t="s">
        <v>1646</v>
      </c>
      <c r="D351" s="54" t="s">
        <v>626</v>
      </c>
      <c r="E351" s="54" t="s">
        <v>1647</v>
      </c>
      <c r="F351" s="54">
        <v>0.27200000000000002</v>
      </c>
      <c r="G351" s="54" t="s">
        <v>1648</v>
      </c>
      <c r="H351" s="56"/>
      <c r="I351" s="56"/>
      <c r="J351" s="56"/>
      <c r="K351" s="54" t="s">
        <v>510</v>
      </c>
      <c r="W351" s="213">
        <v>351</v>
      </c>
      <c r="X351" s="214">
        <v>7</v>
      </c>
    </row>
    <row r="352" spans="1:24" x14ac:dyDescent="0.25">
      <c r="A352" s="52" t="s">
        <v>0</v>
      </c>
      <c r="B352" s="51" t="s">
        <v>32</v>
      </c>
      <c r="C352" s="138" t="s">
        <v>7607</v>
      </c>
      <c r="D352" s="52" t="s">
        <v>7510</v>
      </c>
      <c r="E352" s="52" t="s">
        <v>7608</v>
      </c>
      <c r="F352" s="52">
        <v>0.19900000000000001</v>
      </c>
      <c r="G352" s="52" t="s">
        <v>7609</v>
      </c>
      <c r="H352" s="53"/>
      <c r="I352" s="53"/>
      <c r="J352" s="53"/>
      <c r="K352" s="52" t="s">
        <v>510</v>
      </c>
      <c r="W352" s="213">
        <v>352</v>
      </c>
      <c r="X352" s="214">
        <v>7</v>
      </c>
    </row>
    <row r="353" spans="1:24" x14ac:dyDescent="0.25">
      <c r="A353" s="54" t="s">
        <v>0</v>
      </c>
      <c r="B353" s="55" t="s">
        <v>32</v>
      </c>
      <c r="C353" s="54" t="s">
        <v>1640</v>
      </c>
      <c r="D353" s="54" t="s">
        <v>626</v>
      </c>
      <c r="E353" s="54" t="s">
        <v>1641</v>
      </c>
      <c r="F353" s="54">
        <v>0.24099999999999999</v>
      </c>
      <c r="G353" s="54" t="s">
        <v>1642</v>
      </c>
      <c r="H353" s="56"/>
      <c r="I353" s="56"/>
      <c r="J353" s="56"/>
      <c r="K353" s="54" t="s">
        <v>510</v>
      </c>
      <c r="W353" s="213">
        <v>353</v>
      </c>
      <c r="X353" s="214">
        <v>7</v>
      </c>
    </row>
    <row r="354" spans="1:24" x14ac:dyDescent="0.25">
      <c r="A354" s="52" t="s">
        <v>0</v>
      </c>
      <c r="B354" s="51" t="s">
        <v>32</v>
      </c>
      <c r="C354" s="52" t="s">
        <v>1669</v>
      </c>
      <c r="D354" s="52" t="s">
        <v>50</v>
      </c>
      <c r="E354" s="52" t="s">
        <v>1670</v>
      </c>
      <c r="F354" s="52">
        <v>0.41</v>
      </c>
      <c r="G354" s="52" t="s">
        <v>1671</v>
      </c>
      <c r="H354" s="53"/>
      <c r="I354" s="53"/>
      <c r="J354" s="53"/>
      <c r="K354" s="52" t="s">
        <v>510</v>
      </c>
      <c r="W354" s="213">
        <v>354</v>
      </c>
      <c r="X354" s="214">
        <v>7</v>
      </c>
    </row>
    <row r="355" spans="1:24" x14ac:dyDescent="0.25">
      <c r="A355" s="54" t="s">
        <v>0</v>
      </c>
      <c r="B355" s="55" t="s">
        <v>32</v>
      </c>
      <c r="C355" s="137" t="s">
        <v>7584</v>
      </c>
      <c r="D355" s="54" t="s">
        <v>649</v>
      </c>
      <c r="E355" s="54" t="s">
        <v>7585</v>
      </c>
      <c r="F355" s="54">
        <v>0.13600000000000001</v>
      </c>
      <c r="G355" s="54" t="s">
        <v>7586</v>
      </c>
      <c r="H355" s="56"/>
      <c r="I355" s="56"/>
      <c r="J355" s="56"/>
      <c r="K355" s="54" t="s">
        <v>510</v>
      </c>
      <c r="W355" s="213">
        <v>355</v>
      </c>
      <c r="X355" s="214">
        <v>7</v>
      </c>
    </row>
    <row r="356" spans="1:24" x14ac:dyDescent="0.25">
      <c r="A356" s="52" t="s">
        <v>0</v>
      </c>
      <c r="B356" s="51" t="s">
        <v>32</v>
      </c>
      <c r="C356" s="138" t="s">
        <v>7601</v>
      </c>
      <c r="D356" s="52" t="s">
        <v>7510</v>
      </c>
      <c r="E356" s="52" t="s">
        <v>7602</v>
      </c>
      <c r="F356" s="52">
        <v>0.17699999999999999</v>
      </c>
      <c r="G356" s="52" t="s">
        <v>7603</v>
      </c>
      <c r="H356" s="53"/>
      <c r="I356" s="53"/>
      <c r="J356" s="53"/>
      <c r="K356" s="52" t="s">
        <v>510</v>
      </c>
      <c r="W356" s="213">
        <v>356</v>
      </c>
      <c r="X356" s="214">
        <v>7</v>
      </c>
    </row>
    <row r="357" spans="1:24" x14ac:dyDescent="0.25">
      <c r="A357" s="54" t="s">
        <v>0</v>
      </c>
      <c r="B357" s="55" t="s">
        <v>32</v>
      </c>
      <c r="C357" s="54" t="s">
        <v>1662</v>
      </c>
      <c r="D357" s="54" t="s">
        <v>626</v>
      </c>
      <c r="E357" s="54" t="s">
        <v>1663</v>
      </c>
      <c r="F357" s="54">
        <v>0.32800000000000001</v>
      </c>
      <c r="G357" s="54" t="s">
        <v>1664</v>
      </c>
      <c r="H357" s="56"/>
      <c r="I357" s="56"/>
      <c r="J357" s="56"/>
      <c r="K357" s="54" t="s">
        <v>510</v>
      </c>
      <c r="W357" s="213">
        <v>357</v>
      </c>
      <c r="X357" s="214">
        <v>7</v>
      </c>
    </row>
    <row r="358" spans="1:24" x14ac:dyDescent="0.25">
      <c r="A358" s="52" t="s">
        <v>0</v>
      </c>
      <c r="B358" s="51" t="s">
        <v>32</v>
      </c>
      <c r="C358" s="52" t="s">
        <v>1676</v>
      </c>
      <c r="D358" s="52" t="s">
        <v>50</v>
      </c>
      <c r="E358" s="52" t="s">
        <v>1677</v>
      </c>
      <c r="F358" s="52">
        <v>0.432</v>
      </c>
      <c r="G358" s="52" t="s">
        <v>1678</v>
      </c>
      <c r="H358" s="53"/>
      <c r="I358" s="53"/>
      <c r="J358" s="53"/>
      <c r="K358" s="52" t="s">
        <v>9422</v>
      </c>
      <c r="W358" s="213">
        <v>358</v>
      </c>
      <c r="X358" s="214">
        <v>7</v>
      </c>
    </row>
    <row r="359" spans="1:24" x14ac:dyDescent="0.25">
      <c r="A359" s="54" t="s">
        <v>0</v>
      </c>
      <c r="B359" s="55" t="s">
        <v>32</v>
      </c>
      <c r="C359" s="54" t="s">
        <v>1631</v>
      </c>
      <c r="D359" s="54" t="s">
        <v>626</v>
      </c>
      <c r="E359" s="54" t="s">
        <v>1632</v>
      </c>
      <c r="F359" s="54">
        <v>0.15</v>
      </c>
      <c r="G359" s="54" t="s">
        <v>1633</v>
      </c>
      <c r="H359" s="56"/>
      <c r="I359" s="56"/>
      <c r="J359" s="56"/>
      <c r="K359" s="54" t="s">
        <v>510</v>
      </c>
      <c r="W359" s="213">
        <v>359</v>
      </c>
      <c r="X359" s="214">
        <v>7</v>
      </c>
    </row>
    <row r="360" spans="1:24" x14ac:dyDescent="0.25">
      <c r="A360" s="52" t="s">
        <v>0</v>
      </c>
      <c r="B360" s="51" t="s">
        <v>32</v>
      </c>
      <c r="C360" s="52" t="s">
        <v>7531</v>
      </c>
      <c r="D360" s="52" t="s">
        <v>649</v>
      </c>
      <c r="E360" s="52" t="s">
        <v>7532</v>
      </c>
      <c r="F360" s="52">
        <v>0.26400000000000001</v>
      </c>
      <c r="G360" s="52" t="s">
        <v>1651</v>
      </c>
      <c r="H360" s="53"/>
      <c r="I360" s="53"/>
      <c r="J360" s="53"/>
      <c r="K360" s="52" t="s">
        <v>510</v>
      </c>
      <c r="W360" s="213">
        <v>360</v>
      </c>
      <c r="X360" s="214">
        <v>7</v>
      </c>
    </row>
    <row r="361" spans="1:24" x14ac:dyDescent="0.25">
      <c r="A361" s="54" t="s">
        <v>0</v>
      </c>
      <c r="B361" s="55" t="s">
        <v>32</v>
      </c>
      <c r="C361" s="54" t="s">
        <v>1659</v>
      </c>
      <c r="D361" s="54" t="s">
        <v>740</v>
      </c>
      <c r="E361" s="54" t="s">
        <v>1660</v>
      </c>
      <c r="F361" s="54">
        <v>0.30299999999999999</v>
      </c>
      <c r="G361" s="54" t="s">
        <v>1661</v>
      </c>
      <c r="H361" s="56"/>
      <c r="I361" s="56"/>
      <c r="J361" s="56"/>
      <c r="K361" s="54" t="s">
        <v>510</v>
      </c>
      <c r="W361" s="213">
        <v>361</v>
      </c>
      <c r="X361" s="214">
        <v>7</v>
      </c>
    </row>
    <row r="362" spans="1:24" x14ac:dyDescent="0.25">
      <c r="A362" s="52" t="s">
        <v>0</v>
      </c>
      <c r="B362" s="51" t="s">
        <v>32</v>
      </c>
      <c r="C362" s="138" t="s">
        <v>7616</v>
      </c>
      <c r="D362" s="52" t="s">
        <v>7510</v>
      </c>
      <c r="E362" s="52" t="s">
        <v>7617</v>
      </c>
      <c r="F362" s="52">
        <v>0.17</v>
      </c>
      <c r="G362" s="52" t="s">
        <v>7618</v>
      </c>
      <c r="H362" s="53"/>
      <c r="I362" s="53"/>
      <c r="J362" s="53"/>
      <c r="K362" s="52" t="s">
        <v>510</v>
      </c>
      <c r="W362" s="213">
        <v>362</v>
      </c>
      <c r="X362" s="214">
        <v>7</v>
      </c>
    </row>
    <row r="363" spans="1:24" x14ac:dyDescent="0.25">
      <c r="A363" s="54" t="s">
        <v>0</v>
      </c>
      <c r="B363" s="55" t="s">
        <v>32</v>
      </c>
      <c r="C363" s="54" t="s">
        <v>7541</v>
      </c>
      <c r="D363" s="54" t="s">
        <v>649</v>
      </c>
      <c r="E363" s="54" t="s">
        <v>7542</v>
      </c>
      <c r="F363" s="54">
        <v>0.31900000000000001</v>
      </c>
      <c r="G363" s="54" t="s">
        <v>7543</v>
      </c>
      <c r="H363" s="56"/>
      <c r="I363" s="56"/>
      <c r="J363" s="56"/>
      <c r="K363" s="54" t="s">
        <v>510</v>
      </c>
      <c r="W363" s="213">
        <v>363</v>
      </c>
      <c r="X363" s="214">
        <v>7</v>
      </c>
    </row>
    <row r="364" spans="1:24" x14ac:dyDescent="0.25">
      <c r="A364" s="52" t="s">
        <v>0</v>
      </c>
      <c r="B364" s="51" t="s">
        <v>32</v>
      </c>
      <c r="C364" s="52" t="s">
        <v>1672</v>
      </c>
      <c r="D364" s="52" t="s">
        <v>1673</v>
      </c>
      <c r="E364" s="52" t="s">
        <v>1674</v>
      </c>
      <c r="F364" s="52">
        <v>0.33700000000000002</v>
      </c>
      <c r="G364" s="52" t="s">
        <v>1675</v>
      </c>
      <c r="H364" s="53"/>
      <c r="I364" s="53"/>
      <c r="J364" s="53"/>
      <c r="K364" s="52" t="s">
        <v>510</v>
      </c>
      <c r="W364" s="213">
        <v>364</v>
      </c>
      <c r="X364" s="214">
        <v>7</v>
      </c>
    </row>
    <row r="365" spans="1:24" x14ac:dyDescent="0.25">
      <c r="A365" s="54" t="s">
        <v>0</v>
      </c>
      <c r="B365" s="55" t="s">
        <v>32</v>
      </c>
      <c r="C365" s="54" t="s">
        <v>7544</v>
      </c>
      <c r="D365" s="54" t="s">
        <v>649</v>
      </c>
      <c r="E365" s="54" t="s">
        <v>7545</v>
      </c>
      <c r="F365" s="54">
        <v>0.32500000000000001</v>
      </c>
      <c r="G365" s="54" t="s">
        <v>7546</v>
      </c>
      <c r="H365" s="56"/>
      <c r="I365" s="56"/>
      <c r="J365" s="56"/>
      <c r="K365" s="54" t="s">
        <v>510</v>
      </c>
      <c r="W365" s="213">
        <v>365</v>
      </c>
      <c r="X365" s="214">
        <v>7</v>
      </c>
    </row>
    <row r="366" spans="1:24" x14ac:dyDescent="0.25">
      <c r="A366" s="52" t="s">
        <v>0</v>
      </c>
      <c r="B366" s="51" t="s">
        <v>32</v>
      </c>
      <c r="C366" s="52" t="s">
        <v>1682</v>
      </c>
      <c r="D366" s="52" t="s">
        <v>938</v>
      </c>
      <c r="E366" s="52" t="s">
        <v>1683</v>
      </c>
      <c r="F366" s="52">
        <v>0.31</v>
      </c>
      <c r="G366" s="52" t="s">
        <v>1684</v>
      </c>
      <c r="H366" s="53"/>
      <c r="I366" s="53"/>
      <c r="J366" s="53"/>
      <c r="K366" s="52" t="s">
        <v>510</v>
      </c>
      <c r="W366" s="213">
        <v>366</v>
      </c>
      <c r="X366" s="214">
        <v>7</v>
      </c>
    </row>
    <row r="367" spans="1:24" x14ac:dyDescent="0.25">
      <c r="A367" s="54" t="s">
        <v>0</v>
      </c>
      <c r="B367" s="55" t="s">
        <v>32</v>
      </c>
      <c r="C367" s="137" t="s">
        <v>7634</v>
      </c>
      <c r="D367" s="54" t="s">
        <v>649</v>
      </c>
      <c r="E367" s="54" t="s">
        <v>7635</v>
      </c>
      <c r="F367" s="54">
        <v>0.32100000000000001</v>
      </c>
      <c r="G367" s="54" t="s">
        <v>7636</v>
      </c>
      <c r="H367" s="56"/>
      <c r="I367" s="56"/>
      <c r="J367" s="56"/>
      <c r="K367" s="54" t="s">
        <v>510</v>
      </c>
      <c r="W367" s="213">
        <v>367</v>
      </c>
      <c r="X367" s="214">
        <v>7</v>
      </c>
    </row>
    <row r="368" spans="1:24" x14ac:dyDescent="0.25">
      <c r="A368" s="47" t="s">
        <v>1485</v>
      </c>
      <c r="B368" s="144" t="s">
        <v>1685</v>
      </c>
      <c r="C368" s="47">
        <v>1</v>
      </c>
      <c r="D368" s="48" t="s">
        <v>1686</v>
      </c>
      <c r="E368" s="48" t="s">
        <v>1687</v>
      </c>
      <c r="F368" s="48">
        <v>9.0999999999999998E-2</v>
      </c>
      <c r="G368" s="48" t="s">
        <v>1688</v>
      </c>
      <c r="H368" s="48" t="s">
        <v>1689</v>
      </c>
      <c r="I368" s="48" t="s">
        <v>1690</v>
      </c>
      <c r="J368" s="48" t="s">
        <v>1691</v>
      </c>
      <c r="K368" s="48" t="s">
        <v>9484</v>
      </c>
      <c r="W368" s="213">
        <v>368</v>
      </c>
      <c r="X368" s="214">
        <v>8</v>
      </c>
    </row>
    <row r="369" spans="1:24" x14ac:dyDescent="0.25">
      <c r="A369" s="46" t="s">
        <v>0</v>
      </c>
      <c r="B369" s="45" t="s">
        <v>32</v>
      </c>
      <c r="C369" s="142" t="s">
        <v>1692</v>
      </c>
      <c r="D369" s="46" t="s">
        <v>649</v>
      </c>
      <c r="E369" s="46" t="s">
        <v>1693</v>
      </c>
      <c r="F369" s="46">
        <v>0.125</v>
      </c>
      <c r="G369" s="46" t="s">
        <v>1694</v>
      </c>
      <c r="H369" s="58"/>
      <c r="I369" s="58"/>
      <c r="J369" s="58"/>
      <c r="K369" s="46" t="s">
        <v>510</v>
      </c>
      <c r="W369" s="213">
        <v>369</v>
      </c>
      <c r="X369" s="214">
        <v>8</v>
      </c>
    </row>
    <row r="370" spans="1:24" x14ac:dyDescent="0.25">
      <c r="A370" s="47" t="s">
        <v>1485</v>
      </c>
      <c r="B370" s="48" t="s">
        <v>1695</v>
      </c>
      <c r="C370" s="47">
        <v>1</v>
      </c>
      <c r="D370" s="48" t="s">
        <v>247</v>
      </c>
      <c r="E370" s="48" t="s">
        <v>1696</v>
      </c>
      <c r="F370" s="48">
        <v>0.14000000000000001</v>
      </c>
      <c r="G370" s="48" t="s">
        <v>1697</v>
      </c>
      <c r="H370" s="48" t="s">
        <v>1698</v>
      </c>
      <c r="I370" s="48" t="s">
        <v>1699</v>
      </c>
      <c r="J370" s="48" t="s">
        <v>1700</v>
      </c>
      <c r="K370" s="48" t="s">
        <v>9510</v>
      </c>
      <c r="W370" s="213">
        <v>370</v>
      </c>
      <c r="X370" s="214">
        <v>8</v>
      </c>
    </row>
    <row r="371" spans="1:24" x14ac:dyDescent="0.25">
      <c r="A371" s="46" t="s">
        <v>0</v>
      </c>
      <c r="B371" s="45" t="s">
        <v>32</v>
      </c>
      <c r="C371" s="46" t="s">
        <v>1701</v>
      </c>
      <c r="D371" s="46" t="s">
        <v>185</v>
      </c>
      <c r="E371" s="46" t="s">
        <v>1702</v>
      </c>
      <c r="F371" s="46" t="s">
        <v>510</v>
      </c>
      <c r="G371" s="46" t="s">
        <v>510</v>
      </c>
      <c r="H371" s="58"/>
      <c r="I371" s="58"/>
      <c r="J371" s="58"/>
      <c r="K371" s="46" t="s">
        <v>510</v>
      </c>
      <c r="W371" s="213">
        <v>371</v>
      </c>
      <c r="X371" s="214">
        <v>8</v>
      </c>
    </row>
    <row r="372" spans="1:24" x14ac:dyDescent="0.25">
      <c r="A372" s="47" t="s">
        <v>1485</v>
      </c>
      <c r="B372" s="48" t="s">
        <v>1703</v>
      </c>
      <c r="C372" s="47">
        <v>0</v>
      </c>
      <c r="D372" s="48" t="s">
        <v>423</v>
      </c>
      <c r="E372" s="48" t="s">
        <v>1696</v>
      </c>
      <c r="F372" s="48">
        <v>0.14599999999999999</v>
      </c>
      <c r="G372" s="48" t="s">
        <v>1704</v>
      </c>
      <c r="H372" s="48" t="s">
        <v>1705</v>
      </c>
      <c r="I372" s="48" t="s">
        <v>1706</v>
      </c>
      <c r="J372" s="48" t="s">
        <v>1707</v>
      </c>
      <c r="K372" s="48" t="s">
        <v>510</v>
      </c>
      <c r="W372" s="213">
        <v>372</v>
      </c>
      <c r="X372" s="214">
        <v>8</v>
      </c>
    </row>
    <row r="373" spans="1:24" x14ac:dyDescent="0.25">
      <c r="A373" s="45" t="s">
        <v>1485</v>
      </c>
      <c r="B373" s="46" t="s">
        <v>1708</v>
      </c>
      <c r="C373" s="45">
        <v>0</v>
      </c>
      <c r="D373" s="46" t="s">
        <v>326</v>
      </c>
      <c r="E373" s="46" t="s">
        <v>1709</v>
      </c>
      <c r="F373" s="46">
        <v>5.8000000000000003E-2</v>
      </c>
      <c r="G373" s="46" t="s">
        <v>1710</v>
      </c>
      <c r="H373" s="46" t="s">
        <v>1711</v>
      </c>
      <c r="I373" s="46" t="s">
        <v>1712</v>
      </c>
      <c r="J373" s="46" t="s">
        <v>1713</v>
      </c>
      <c r="K373" s="46" t="s">
        <v>510</v>
      </c>
      <c r="W373" s="213">
        <v>373</v>
      </c>
      <c r="X373" s="214">
        <v>8</v>
      </c>
    </row>
    <row r="374" spans="1:24" x14ac:dyDescent="0.25">
      <c r="A374" s="47" t="s">
        <v>1485</v>
      </c>
      <c r="B374" s="48" t="s">
        <v>1714</v>
      </c>
      <c r="C374" s="47">
        <v>0</v>
      </c>
      <c r="D374" s="48" t="s">
        <v>107</v>
      </c>
      <c r="E374" s="48" t="s">
        <v>1715</v>
      </c>
      <c r="F374" s="48">
        <v>8.8999999999999996E-2</v>
      </c>
      <c r="G374" s="48" t="s">
        <v>1716</v>
      </c>
      <c r="H374" s="48" t="s">
        <v>1717</v>
      </c>
      <c r="I374" s="48" t="s">
        <v>1718</v>
      </c>
      <c r="J374" s="48" t="s">
        <v>1719</v>
      </c>
      <c r="K374" s="48" t="s">
        <v>510</v>
      </c>
      <c r="W374" s="213">
        <v>374</v>
      </c>
      <c r="X374" s="214">
        <v>8</v>
      </c>
    </row>
    <row r="375" spans="1:24" x14ac:dyDescent="0.25">
      <c r="A375" s="45" t="s">
        <v>1485</v>
      </c>
      <c r="B375" s="46" t="s">
        <v>1720</v>
      </c>
      <c r="C375" s="45">
        <v>0</v>
      </c>
      <c r="D375" s="46" t="s">
        <v>158</v>
      </c>
      <c r="E375" s="46" t="s">
        <v>1721</v>
      </c>
      <c r="F375" s="46">
        <v>0.104</v>
      </c>
      <c r="G375" s="46" t="s">
        <v>1722</v>
      </c>
      <c r="H375" s="46" t="s">
        <v>1723</v>
      </c>
      <c r="I375" s="46" t="s">
        <v>1724</v>
      </c>
      <c r="J375" s="46" t="s">
        <v>1725</v>
      </c>
      <c r="K375" s="46" t="s">
        <v>510</v>
      </c>
      <c r="W375" s="213">
        <v>375</v>
      </c>
      <c r="X375" s="214">
        <v>8</v>
      </c>
    </row>
    <row r="376" spans="1:24" x14ac:dyDescent="0.25">
      <c r="A376" s="47" t="s">
        <v>1485</v>
      </c>
      <c r="B376" s="48" t="s">
        <v>1726</v>
      </c>
      <c r="C376" s="47">
        <v>0</v>
      </c>
      <c r="D376" s="48" t="s">
        <v>515</v>
      </c>
      <c r="E376" s="48" t="s">
        <v>1727</v>
      </c>
      <c r="F376" s="48">
        <v>0.127</v>
      </c>
      <c r="G376" s="48" t="s">
        <v>1728</v>
      </c>
      <c r="H376" s="48" t="s">
        <v>1729</v>
      </c>
      <c r="I376" s="48" t="s">
        <v>1730</v>
      </c>
      <c r="J376" s="48" t="s">
        <v>1731</v>
      </c>
      <c r="K376" s="48" t="s">
        <v>510</v>
      </c>
      <c r="W376" s="213">
        <v>376</v>
      </c>
      <c r="X376" s="214">
        <v>8</v>
      </c>
    </row>
    <row r="377" spans="1:24" x14ac:dyDescent="0.25">
      <c r="A377" s="45" t="s">
        <v>1485</v>
      </c>
      <c r="B377" s="46" t="s">
        <v>1732</v>
      </c>
      <c r="C377" s="45">
        <v>0</v>
      </c>
      <c r="D377" s="46" t="s">
        <v>129</v>
      </c>
      <c r="E377" s="46" t="s">
        <v>1733</v>
      </c>
      <c r="F377" s="46">
        <v>8.8999999999999996E-2</v>
      </c>
      <c r="G377" s="46" t="s">
        <v>1734</v>
      </c>
      <c r="H377" s="46" t="s">
        <v>1735</v>
      </c>
      <c r="I377" s="46" t="s">
        <v>1736</v>
      </c>
      <c r="J377" s="46" t="s">
        <v>1737</v>
      </c>
      <c r="K377" s="46" t="s">
        <v>510</v>
      </c>
      <c r="W377" s="213">
        <v>377</v>
      </c>
      <c r="X377" s="214">
        <v>8</v>
      </c>
    </row>
    <row r="378" spans="1:24" x14ac:dyDescent="0.25">
      <c r="A378" s="47" t="s">
        <v>1485</v>
      </c>
      <c r="B378" s="48" t="s">
        <v>1738</v>
      </c>
      <c r="C378" s="47">
        <v>0</v>
      </c>
      <c r="D378" s="48" t="s">
        <v>185</v>
      </c>
      <c r="E378" s="48" t="s">
        <v>1739</v>
      </c>
      <c r="F378" s="48">
        <v>9.0999999999999998E-2</v>
      </c>
      <c r="G378" s="48" t="s">
        <v>1740</v>
      </c>
      <c r="H378" s="48" t="s">
        <v>1741</v>
      </c>
      <c r="I378" s="48" t="s">
        <v>1742</v>
      </c>
      <c r="J378" s="48" t="s">
        <v>1743</v>
      </c>
      <c r="K378" s="48" t="s">
        <v>510</v>
      </c>
      <c r="W378" s="213">
        <v>378</v>
      </c>
      <c r="X378" s="214">
        <v>8</v>
      </c>
    </row>
    <row r="379" spans="1:24" x14ac:dyDescent="0.25">
      <c r="A379" s="45" t="s">
        <v>1485</v>
      </c>
      <c r="B379" s="142" t="s">
        <v>1744</v>
      </c>
      <c r="C379" s="45">
        <v>1</v>
      </c>
      <c r="D379" s="46" t="s">
        <v>1745</v>
      </c>
      <c r="E379" s="46" t="s">
        <v>1746</v>
      </c>
      <c r="F379" s="46">
        <v>2.4E-2</v>
      </c>
      <c r="G379" s="46" t="s">
        <v>1747</v>
      </c>
      <c r="H379" s="46" t="s">
        <v>1748</v>
      </c>
      <c r="I379" s="46" t="s">
        <v>1749</v>
      </c>
      <c r="J379" s="46" t="s">
        <v>1750</v>
      </c>
      <c r="K379" s="46" t="s">
        <v>9511</v>
      </c>
      <c r="W379" s="213">
        <v>379</v>
      </c>
      <c r="X379" s="214">
        <v>8</v>
      </c>
    </row>
    <row r="380" spans="1:24" x14ac:dyDescent="0.25">
      <c r="A380" s="48" t="s">
        <v>0</v>
      </c>
      <c r="B380" s="47" t="s">
        <v>32</v>
      </c>
      <c r="C380" s="144" t="s">
        <v>1751</v>
      </c>
      <c r="D380" s="48" t="s">
        <v>84</v>
      </c>
      <c r="E380" s="48" t="s">
        <v>1752</v>
      </c>
      <c r="F380" s="48">
        <v>0.31</v>
      </c>
      <c r="G380" s="48" t="s">
        <v>510</v>
      </c>
      <c r="H380" s="49"/>
      <c r="I380" s="49"/>
      <c r="J380" s="49"/>
      <c r="K380" s="48" t="s">
        <v>510</v>
      </c>
      <c r="W380" s="213">
        <v>380</v>
      </c>
      <c r="X380" s="214">
        <v>8</v>
      </c>
    </row>
    <row r="381" spans="1:24" x14ac:dyDescent="0.25">
      <c r="A381" s="45" t="s">
        <v>1485</v>
      </c>
      <c r="B381" s="46" t="s">
        <v>1753</v>
      </c>
      <c r="C381" s="45">
        <v>0</v>
      </c>
      <c r="D381" s="46" t="s">
        <v>495</v>
      </c>
      <c r="E381" s="46" t="s">
        <v>1754</v>
      </c>
      <c r="F381" s="46">
        <v>6.6000000000000003E-2</v>
      </c>
      <c r="G381" s="46" t="s">
        <v>1755</v>
      </c>
      <c r="H381" s="46" t="s">
        <v>1756</v>
      </c>
      <c r="I381" s="46" t="s">
        <v>1757</v>
      </c>
      <c r="J381" s="46" t="s">
        <v>1758</v>
      </c>
      <c r="K381" s="46" t="s">
        <v>510</v>
      </c>
      <c r="W381" s="213">
        <v>381</v>
      </c>
      <c r="X381" s="214">
        <v>8</v>
      </c>
    </row>
    <row r="382" spans="1:24" x14ac:dyDescent="0.25">
      <c r="A382" s="47" t="s">
        <v>1485</v>
      </c>
      <c r="B382" s="48" t="s">
        <v>1759</v>
      </c>
      <c r="C382" s="47">
        <v>0</v>
      </c>
      <c r="D382" s="48" t="s">
        <v>853</v>
      </c>
      <c r="E382" s="48" t="s">
        <v>1760</v>
      </c>
      <c r="F382" s="48">
        <v>0.13700000000000001</v>
      </c>
      <c r="G382" s="48" t="s">
        <v>1761</v>
      </c>
      <c r="H382" s="48" t="s">
        <v>1762</v>
      </c>
      <c r="I382" s="48" t="s">
        <v>1763</v>
      </c>
      <c r="J382" s="48" t="s">
        <v>1764</v>
      </c>
      <c r="K382" s="48" t="s">
        <v>510</v>
      </c>
      <c r="W382" s="213">
        <v>382</v>
      </c>
      <c r="X382" s="214">
        <v>8</v>
      </c>
    </row>
    <row r="383" spans="1:24" x14ac:dyDescent="0.25">
      <c r="A383" s="45" t="s">
        <v>1485</v>
      </c>
      <c r="B383" s="142" t="s">
        <v>1765</v>
      </c>
      <c r="C383" s="45">
        <v>0</v>
      </c>
      <c r="D383" s="46" t="s">
        <v>1584</v>
      </c>
      <c r="E383" s="46" t="s">
        <v>1766</v>
      </c>
      <c r="F383" s="46">
        <v>6.6000000000000003E-2</v>
      </c>
      <c r="G383" s="46" t="s">
        <v>1767</v>
      </c>
      <c r="H383" s="46" t="s">
        <v>1768</v>
      </c>
      <c r="I383" s="46" t="s">
        <v>1769</v>
      </c>
      <c r="J383" s="46" t="s">
        <v>1770</v>
      </c>
      <c r="K383" s="46" t="s">
        <v>510</v>
      </c>
      <c r="W383" s="213">
        <v>383</v>
      </c>
      <c r="X383" s="214">
        <v>8</v>
      </c>
    </row>
    <row r="384" spans="1:24" x14ac:dyDescent="0.25">
      <c r="A384" s="47" t="s">
        <v>1485</v>
      </c>
      <c r="B384" s="144" t="s">
        <v>1771</v>
      </c>
      <c r="C384" s="47">
        <v>0</v>
      </c>
      <c r="D384" s="48" t="s">
        <v>1772</v>
      </c>
      <c r="E384" s="48" t="s">
        <v>1773</v>
      </c>
      <c r="F384" s="48">
        <v>3.7999999999999999E-2</v>
      </c>
      <c r="G384" s="48" t="s">
        <v>1774</v>
      </c>
      <c r="H384" s="48" t="s">
        <v>1775</v>
      </c>
      <c r="I384" s="48" t="s">
        <v>1776</v>
      </c>
      <c r="J384" s="48" t="s">
        <v>1777</v>
      </c>
      <c r="K384" s="48" t="s">
        <v>510</v>
      </c>
      <c r="W384" s="213">
        <v>384</v>
      </c>
      <c r="X384" s="214">
        <v>8</v>
      </c>
    </row>
    <row r="385" spans="1:24" x14ac:dyDescent="0.25">
      <c r="A385" s="59" t="s">
        <v>1778</v>
      </c>
      <c r="B385" s="59" t="s">
        <v>1779</v>
      </c>
      <c r="C385" s="60">
        <v>274</v>
      </c>
      <c r="D385" s="61" t="s">
        <v>1780</v>
      </c>
      <c r="E385" s="61" t="s">
        <v>1781</v>
      </c>
      <c r="F385" s="61">
        <v>5.7000000000000002E-2</v>
      </c>
      <c r="G385" s="61" t="s">
        <v>1782</v>
      </c>
      <c r="H385" s="61" t="s">
        <v>1783</v>
      </c>
      <c r="I385" s="61" t="s">
        <v>1784</v>
      </c>
      <c r="J385" s="61" t="s">
        <v>1785</v>
      </c>
      <c r="K385" s="61" t="s">
        <v>9512</v>
      </c>
      <c r="W385" s="213">
        <v>385</v>
      </c>
      <c r="X385" s="214">
        <v>9</v>
      </c>
    </row>
    <row r="386" spans="1:24" x14ac:dyDescent="0.25">
      <c r="A386" s="63" t="s">
        <v>0</v>
      </c>
      <c r="B386" s="64" t="s">
        <v>32</v>
      </c>
      <c r="C386" s="139" t="s">
        <v>7637</v>
      </c>
      <c r="D386" s="63" t="s">
        <v>7638</v>
      </c>
      <c r="E386" s="63" t="s">
        <v>7639</v>
      </c>
      <c r="F386" s="63">
        <v>0</v>
      </c>
      <c r="G386" s="63" t="s">
        <v>510</v>
      </c>
      <c r="H386" s="63"/>
      <c r="I386" s="63"/>
      <c r="J386" s="63"/>
      <c r="K386" s="63" t="s">
        <v>510</v>
      </c>
      <c r="W386" s="213">
        <v>386</v>
      </c>
      <c r="X386" s="214">
        <v>9</v>
      </c>
    </row>
    <row r="387" spans="1:24" x14ac:dyDescent="0.25">
      <c r="A387" s="61" t="s">
        <v>0</v>
      </c>
      <c r="B387" s="60" t="s">
        <v>32</v>
      </c>
      <c r="C387" s="61" t="s">
        <v>1786</v>
      </c>
      <c r="D387" s="61" t="s">
        <v>819</v>
      </c>
      <c r="E387" s="61" t="s">
        <v>1787</v>
      </c>
      <c r="F387" s="61">
        <v>0</v>
      </c>
      <c r="G387" s="61" t="s">
        <v>510</v>
      </c>
      <c r="H387" s="62"/>
      <c r="I387" s="62"/>
      <c r="J387" s="62"/>
      <c r="K387" s="61" t="s">
        <v>9513</v>
      </c>
      <c r="W387" s="213">
        <v>387</v>
      </c>
      <c r="X387" s="214">
        <v>9</v>
      </c>
    </row>
    <row r="388" spans="1:24" x14ac:dyDescent="0.25">
      <c r="A388" s="63" t="s">
        <v>0</v>
      </c>
      <c r="B388" s="64" t="s">
        <v>32</v>
      </c>
      <c r="C388" s="63" t="s">
        <v>1788</v>
      </c>
      <c r="D388" s="63" t="s">
        <v>740</v>
      </c>
      <c r="E388" s="63" t="s">
        <v>1789</v>
      </c>
      <c r="F388" s="63">
        <v>0</v>
      </c>
      <c r="G388" s="63" t="s">
        <v>510</v>
      </c>
      <c r="H388" s="65"/>
      <c r="I388" s="65"/>
      <c r="J388" s="65"/>
      <c r="K388" s="63" t="s">
        <v>9514</v>
      </c>
      <c r="W388" s="213">
        <v>388</v>
      </c>
      <c r="X388" s="214">
        <v>9</v>
      </c>
    </row>
    <row r="389" spans="1:24" x14ac:dyDescent="0.25">
      <c r="A389" s="61" t="s">
        <v>0</v>
      </c>
      <c r="B389" s="60" t="s">
        <v>32</v>
      </c>
      <c r="C389" s="61" t="s">
        <v>1790</v>
      </c>
      <c r="D389" s="61" t="s">
        <v>1616</v>
      </c>
      <c r="E389" s="61" t="s">
        <v>1791</v>
      </c>
      <c r="F389" s="61">
        <v>1E-3</v>
      </c>
      <c r="G389" s="61" t="s">
        <v>510</v>
      </c>
      <c r="H389" s="62"/>
      <c r="I389" s="62"/>
      <c r="J389" s="62"/>
      <c r="K389" s="61" t="s">
        <v>9515</v>
      </c>
      <c r="W389" s="213">
        <v>389</v>
      </c>
      <c r="X389" s="214">
        <v>9</v>
      </c>
    </row>
    <row r="390" spans="1:24" x14ac:dyDescent="0.25">
      <c r="A390" s="63" t="s">
        <v>0</v>
      </c>
      <c r="B390" s="64" t="s">
        <v>32</v>
      </c>
      <c r="C390" s="63" t="s">
        <v>1792</v>
      </c>
      <c r="D390" s="63" t="s">
        <v>866</v>
      </c>
      <c r="E390" s="63" t="s">
        <v>1793</v>
      </c>
      <c r="F390" s="63">
        <v>2E-3</v>
      </c>
      <c r="G390" s="63" t="s">
        <v>510</v>
      </c>
      <c r="H390" s="65"/>
      <c r="I390" s="65"/>
      <c r="J390" s="65"/>
      <c r="K390" s="63" t="s">
        <v>9516</v>
      </c>
      <c r="W390" s="213">
        <v>390</v>
      </c>
      <c r="X390" s="214">
        <v>9</v>
      </c>
    </row>
    <row r="391" spans="1:24" x14ac:dyDescent="0.25">
      <c r="A391" s="61" t="s">
        <v>0</v>
      </c>
      <c r="B391" s="60" t="s">
        <v>32</v>
      </c>
      <c r="C391" s="61" t="s">
        <v>1794</v>
      </c>
      <c r="D391" s="61" t="s">
        <v>1588</v>
      </c>
      <c r="E391" s="61" t="s">
        <v>1795</v>
      </c>
      <c r="F391" s="61">
        <v>4.0000000000000001E-3</v>
      </c>
      <c r="G391" s="61" t="s">
        <v>510</v>
      </c>
      <c r="H391" s="62"/>
      <c r="I391" s="62"/>
      <c r="J391" s="62"/>
      <c r="K391" s="61" t="s">
        <v>9517</v>
      </c>
      <c r="W391" s="213">
        <v>391</v>
      </c>
      <c r="X391" s="214">
        <v>9</v>
      </c>
    </row>
    <row r="392" spans="1:24" x14ac:dyDescent="0.25">
      <c r="A392" s="63" t="s">
        <v>0</v>
      </c>
      <c r="B392" s="64" t="s">
        <v>32</v>
      </c>
      <c r="C392" s="66" t="s">
        <v>1796</v>
      </c>
      <c r="D392" s="63" t="s">
        <v>158</v>
      </c>
      <c r="E392" s="63" t="s">
        <v>1797</v>
      </c>
      <c r="F392" s="63">
        <v>0.01</v>
      </c>
      <c r="G392" s="63" t="s">
        <v>510</v>
      </c>
      <c r="H392" s="65"/>
      <c r="I392" s="65"/>
      <c r="J392" s="65"/>
      <c r="K392" s="63" t="s">
        <v>9518</v>
      </c>
      <c r="W392" s="213">
        <v>392</v>
      </c>
      <c r="X392" s="214">
        <v>9</v>
      </c>
    </row>
    <row r="393" spans="1:24" x14ac:dyDescent="0.25">
      <c r="A393" s="61" t="s">
        <v>0</v>
      </c>
      <c r="B393" s="60" t="s">
        <v>32</v>
      </c>
      <c r="C393" s="59" t="s">
        <v>1798</v>
      </c>
      <c r="D393" s="61" t="s">
        <v>1799</v>
      </c>
      <c r="E393" s="61" t="s">
        <v>1800</v>
      </c>
      <c r="F393" s="61">
        <v>7.0000000000000001E-3</v>
      </c>
      <c r="G393" s="61" t="s">
        <v>510</v>
      </c>
      <c r="H393" s="62"/>
      <c r="I393" s="62"/>
      <c r="J393" s="62"/>
      <c r="K393" s="61" t="s">
        <v>9519</v>
      </c>
      <c r="W393" s="213">
        <v>393</v>
      </c>
      <c r="X393" s="214">
        <v>9</v>
      </c>
    </row>
    <row r="394" spans="1:24" x14ac:dyDescent="0.25">
      <c r="A394" s="63" t="s">
        <v>0</v>
      </c>
      <c r="B394" s="64" t="s">
        <v>32</v>
      </c>
      <c r="C394" s="63" t="s">
        <v>7640</v>
      </c>
      <c r="D394" s="63" t="s">
        <v>7641</v>
      </c>
      <c r="E394" s="63" t="s">
        <v>7642</v>
      </c>
      <c r="F394" s="63">
        <v>0</v>
      </c>
      <c r="G394" s="63" t="s">
        <v>510</v>
      </c>
      <c r="H394" s="65"/>
      <c r="I394" s="65"/>
      <c r="J394" s="65"/>
      <c r="K394" s="63" t="s">
        <v>9520</v>
      </c>
      <c r="W394" s="213">
        <v>394</v>
      </c>
      <c r="X394" s="214">
        <v>9</v>
      </c>
    </row>
    <row r="395" spans="1:24" x14ac:dyDescent="0.25">
      <c r="A395" s="61" t="s">
        <v>0</v>
      </c>
      <c r="B395" s="60" t="s">
        <v>32</v>
      </c>
      <c r="C395" s="59" t="s">
        <v>1801</v>
      </c>
      <c r="D395" s="61" t="s">
        <v>1802</v>
      </c>
      <c r="E395" s="61" t="s">
        <v>1803</v>
      </c>
      <c r="F395" s="61">
        <v>0.02</v>
      </c>
      <c r="G395" s="61" t="s">
        <v>510</v>
      </c>
      <c r="H395" s="62"/>
      <c r="I395" s="62"/>
      <c r="J395" s="62"/>
      <c r="K395" s="61" t="s">
        <v>9380</v>
      </c>
      <c r="W395" s="213">
        <v>395</v>
      </c>
      <c r="X395" s="214">
        <v>9</v>
      </c>
    </row>
    <row r="396" spans="1:24" x14ac:dyDescent="0.25">
      <c r="A396" s="63" t="s">
        <v>0</v>
      </c>
      <c r="B396" s="64" t="s">
        <v>32</v>
      </c>
      <c r="C396" s="63" t="s">
        <v>1804</v>
      </c>
      <c r="D396" s="63" t="s">
        <v>626</v>
      </c>
      <c r="E396" s="63" t="s">
        <v>1805</v>
      </c>
      <c r="F396" s="63">
        <v>2E-3</v>
      </c>
      <c r="G396" s="63" t="s">
        <v>510</v>
      </c>
      <c r="H396" s="65"/>
      <c r="I396" s="65"/>
      <c r="J396" s="65"/>
      <c r="K396" s="63" t="s">
        <v>9521</v>
      </c>
      <c r="W396" s="213">
        <v>396</v>
      </c>
      <c r="X396" s="214">
        <v>9</v>
      </c>
    </row>
    <row r="397" spans="1:24" x14ac:dyDescent="0.25">
      <c r="A397" s="61" t="s">
        <v>0</v>
      </c>
      <c r="B397" s="60" t="s">
        <v>32</v>
      </c>
      <c r="C397" s="61" t="s">
        <v>7643</v>
      </c>
      <c r="D397" s="61" t="s">
        <v>7644</v>
      </c>
      <c r="E397" s="61" t="s">
        <v>7645</v>
      </c>
      <c r="F397" s="61">
        <v>1E-3</v>
      </c>
      <c r="G397" s="61" t="s">
        <v>510</v>
      </c>
      <c r="H397" s="62"/>
      <c r="I397" s="62"/>
      <c r="J397" s="62"/>
      <c r="K397" s="61" t="s">
        <v>9522</v>
      </c>
      <c r="W397" s="213">
        <v>397</v>
      </c>
      <c r="X397" s="214">
        <v>9</v>
      </c>
    </row>
    <row r="398" spans="1:24" x14ac:dyDescent="0.25">
      <c r="A398" s="63" t="s">
        <v>0</v>
      </c>
      <c r="B398" s="64" t="s">
        <v>32</v>
      </c>
      <c r="C398" s="63" t="s">
        <v>1806</v>
      </c>
      <c r="D398" s="63" t="s">
        <v>626</v>
      </c>
      <c r="E398" s="63" t="s">
        <v>1807</v>
      </c>
      <c r="F398" s="63">
        <v>4.0000000000000001E-3</v>
      </c>
      <c r="G398" s="63" t="s">
        <v>510</v>
      </c>
      <c r="H398" s="65"/>
      <c r="I398" s="65"/>
      <c r="J398" s="65"/>
      <c r="K398" s="63" t="s">
        <v>9523</v>
      </c>
      <c r="W398" s="213">
        <v>398</v>
      </c>
      <c r="X398" s="214">
        <v>9</v>
      </c>
    </row>
    <row r="399" spans="1:24" x14ac:dyDescent="0.25">
      <c r="A399" s="61" t="s">
        <v>0</v>
      </c>
      <c r="B399" s="60" t="s">
        <v>32</v>
      </c>
      <c r="C399" s="59" t="s">
        <v>1808</v>
      </c>
      <c r="D399" s="61" t="s">
        <v>1809</v>
      </c>
      <c r="E399" s="61" t="s">
        <v>1810</v>
      </c>
      <c r="F399" s="61">
        <v>5.0000000000000001E-3</v>
      </c>
      <c r="G399" s="61" t="s">
        <v>510</v>
      </c>
      <c r="H399" s="62"/>
      <c r="I399" s="62"/>
      <c r="J399" s="62"/>
      <c r="K399" s="61" t="s">
        <v>9524</v>
      </c>
      <c r="W399" s="213">
        <v>399</v>
      </c>
      <c r="X399" s="214">
        <v>9</v>
      </c>
    </row>
    <row r="400" spans="1:24" x14ac:dyDescent="0.25">
      <c r="A400" s="63" t="s">
        <v>0</v>
      </c>
      <c r="B400" s="64" t="s">
        <v>32</v>
      </c>
      <c r="C400" s="66" t="s">
        <v>1811</v>
      </c>
      <c r="D400" s="63" t="s">
        <v>1812</v>
      </c>
      <c r="E400" s="63" t="s">
        <v>1813</v>
      </c>
      <c r="F400" s="63">
        <v>0</v>
      </c>
      <c r="G400" s="63" t="s">
        <v>510</v>
      </c>
      <c r="H400" s="65"/>
      <c r="I400" s="65"/>
      <c r="J400" s="65"/>
      <c r="K400" s="63" t="s">
        <v>9525</v>
      </c>
      <c r="W400" s="213">
        <v>400</v>
      </c>
      <c r="X400" s="214">
        <v>9</v>
      </c>
    </row>
    <row r="401" spans="1:24" x14ac:dyDescent="0.25">
      <c r="A401" s="61" t="s">
        <v>0</v>
      </c>
      <c r="B401" s="60" t="s">
        <v>32</v>
      </c>
      <c r="C401" s="61" t="s">
        <v>1814</v>
      </c>
      <c r="D401" s="61" t="s">
        <v>1815</v>
      </c>
      <c r="E401" s="61" t="s">
        <v>1818</v>
      </c>
      <c r="F401" s="61">
        <v>1E-3</v>
      </c>
      <c r="G401" s="61" t="s">
        <v>510</v>
      </c>
      <c r="H401" s="62"/>
      <c r="I401" s="62"/>
      <c r="J401" s="62"/>
      <c r="K401" s="61" t="s">
        <v>9522</v>
      </c>
      <c r="W401" s="213">
        <v>401</v>
      </c>
      <c r="X401" s="214">
        <v>9</v>
      </c>
    </row>
    <row r="402" spans="1:24" x14ac:dyDescent="0.25">
      <c r="A402" s="63" t="s">
        <v>0</v>
      </c>
      <c r="B402" s="64" t="s">
        <v>32</v>
      </c>
      <c r="C402" s="63" t="s">
        <v>1816</v>
      </c>
      <c r="D402" s="63" t="s">
        <v>1817</v>
      </c>
      <c r="E402" s="63" t="s">
        <v>1818</v>
      </c>
      <c r="F402" s="63">
        <v>1E-3</v>
      </c>
      <c r="G402" s="63" t="s">
        <v>510</v>
      </c>
      <c r="H402" s="65"/>
      <c r="I402" s="65"/>
      <c r="J402" s="65"/>
      <c r="K402" s="63" t="s">
        <v>9522</v>
      </c>
      <c r="W402" s="213">
        <v>402</v>
      </c>
      <c r="X402" s="214">
        <v>9</v>
      </c>
    </row>
    <row r="403" spans="1:24" x14ac:dyDescent="0.25">
      <c r="A403" s="61" t="s">
        <v>0</v>
      </c>
      <c r="B403" s="60" t="s">
        <v>32</v>
      </c>
      <c r="C403" s="59" t="s">
        <v>1282</v>
      </c>
      <c r="D403" s="61" t="s">
        <v>1822</v>
      </c>
      <c r="E403" s="61" t="s">
        <v>1823</v>
      </c>
      <c r="F403" s="61">
        <v>2E-3</v>
      </c>
      <c r="G403" s="61" t="s">
        <v>510</v>
      </c>
      <c r="H403" s="62"/>
      <c r="I403" s="62"/>
      <c r="J403" s="62"/>
      <c r="K403" s="61" t="s">
        <v>9526</v>
      </c>
      <c r="W403" s="213">
        <v>403</v>
      </c>
      <c r="X403" s="214">
        <v>9</v>
      </c>
    </row>
    <row r="404" spans="1:24" x14ac:dyDescent="0.25">
      <c r="A404" s="63" t="s">
        <v>0</v>
      </c>
      <c r="B404" s="64" t="s">
        <v>32</v>
      </c>
      <c r="C404" s="63" t="s">
        <v>1819</v>
      </c>
      <c r="D404" s="63" t="s">
        <v>1673</v>
      </c>
      <c r="E404" s="63" t="s">
        <v>1820</v>
      </c>
      <c r="F404" s="63">
        <v>7.0000000000000001E-3</v>
      </c>
      <c r="G404" s="63" t="s">
        <v>510</v>
      </c>
      <c r="H404" s="65"/>
      <c r="I404" s="65"/>
      <c r="J404" s="65"/>
      <c r="K404" s="63" t="s">
        <v>9527</v>
      </c>
      <c r="W404" s="213">
        <v>404</v>
      </c>
      <c r="X404" s="214">
        <v>9</v>
      </c>
    </row>
    <row r="405" spans="1:24" x14ac:dyDescent="0.25">
      <c r="A405" s="61" t="s">
        <v>0</v>
      </c>
      <c r="B405" s="60" t="s">
        <v>32</v>
      </c>
      <c r="C405" s="61" t="s">
        <v>1821</v>
      </c>
      <c r="D405" s="61" t="s">
        <v>626</v>
      </c>
      <c r="E405" s="61" t="s">
        <v>1820</v>
      </c>
      <c r="F405" s="61">
        <v>2E-3</v>
      </c>
      <c r="G405" s="61" t="s">
        <v>510</v>
      </c>
      <c r="H405" s="62"/>
      <c r="I405" s="62"/>
      <c r="J405" s="62"/>
      <c r="K405" s="61" t="s">
        <v>9522</v>
      </c>
      <c r="W405" s="213">
        <v>405</v>
      </c>
      <c r="X405" s="214">
        <v>9</v>
      </c>
    </row>
    <row r="406" spans="1:24" x14ac:dyDescent="0.25">
      <c r="A406" s="63" t="s">
        <v>0</v>
      </c>
      <c r="B406" s="64" t="s">
        <v>32</v>
      </c>
      <c r="C406" s="66" t="s">
        <v>1824</v>
      </c>
      <c r="D406" s="63" t="s">
        <v>1825</v>
      </c>
      <c r="E406" s="63" t="s">
        <v>1826</v>
      </c>
      <c r="F406" s="63">
        <v>1E-3</v>
      </c>
      <c r="G406" s="63" t="s">
        <v>510</v>
      </c>
      <c r="H406" s="65"/>
      <c r="I406" s="65"/>
      <c r="J406" s="65"/>
      <c r="K406" s="63" t="s">
        <v>9528</v>
      </c>
      <c r="W406" s="213">
        <v>406</v>
      </c>
      <c r="X406" s="214">
        <v>9</v>
      </c>
    </row>
    <row r="407" spans="1:24" x14ac:dyDescent="0.25">
      <c r="A407" s="61" t="s">
        <v>0</v>
      </c>
      <c r="B407" s="60" t="s">
        <v>32</v>
      </c>
      <c r="C407" s="59" t="s">
        <v>1827</v>
      </c>
      <c r="D407" s="61" t="s">
        <v>1828</v>
      </c>
      <c r="E407" s="61" t="s">
        <v>1829</v>
      </c>
      <c r="F407" s="61">
        <v>2.9000000000000001E-2</v>
      </c>
      <c r="G407" s="61" t="s">
        <v>510</v>
      </c>
      <c r="H407" s="62"/>
      <c r="I407" s="62"/>
      <c r="J407" s="62"/>
      <c r="K407" s="61" t="s">
        <v>9409</v>
      </c>
      <c r="W407" s="213">
        <v>407</v>
      </c>
      <c r="X407" s="214">
        <v>9</v>
      </c>
    </row>
    <row r="408" spans="1:24" x14ac:dyDescent="0.25">
      <c r="A408" s="63" t="s">
        <v>0</v>
      </c>
      <c r="B408" s="64" t="s">
        <v>32</v>
      </c>
      <c r="C408" s="66" t="s">
        <v>1830</v>
      </c>
      <c r="D408" s="63" t="s">
        <v>384</v>
      </c>
      <c r="E408" s="63" t="s">
        <v>1831</v>
      </c>
      <c r="F408" s="63">
        <v>0.123</v>
      </c>
      <c r="G408" s="63" t="s">
        <v>510</v>
      </c>
      <c r="H408" s="65"/>
      <c r="I408" s="65"/>
      <c r="J408" s="65"/>
      <c r="K408" s="63" t="s">
        <v>9520</v>
      </c>
      <c r="W408" s="213">
        <v>408</v>
      </c>
      <c r="X408" s="214">
        <v>9</v>
      </c>
    </row>
    <row r="409" spans="1:24" x14ac:dyDescent="0.25">
      <c r="A409" s="61" t="s">
        <v>0</v>
      </c>
      <c r="B409" s="60" t="s">
        <v>32</v>
      </c>
      <c r="C409" s="59" t="s">
        <v>1832</v>
      </c>
      <c r="D409" s="61" t="s">
        <v>1833</v>
      </c>
      <c r="E409" s="61" t="s">
        <v>1834</v>
      </c>
      <c r="F409" s="61">
        <v>2.8000000000000001E-2</v>
      </c>
      <c r="G409" s="61" t="s">
        <v>1835</v>
      </c>
      <c r="H409" s="62"/>
      <c r="I409" s="62"/>
      <c r="J409" s="62"/>
      <c r="K409" s="61" t="s">
        <v>9529</v>
      </c>
      <c r="W409" s="213">
        <v>409</v>
      </c>
      <c r="X409" s="214">
        <v>9</v>
      </c>
    </row>
    <row r="410" spans="1:24" x14ac:dyDescent="0.25">
      <c r="A410" s="63" t="s">
        <v>0</v>
      </c>
      <c r="B410" s="64" t="s">
        <v>32</v>
      </c>
      <c r="C410" s="139" t="s">
        <v>8088</v>
      </c>
      <c r="D410" s="63" t="s">
        <v>626</v>
      </c>
      <c r="E410" s="63" t="s">
        <v>8089</v>
      </c>
      <c r="F410" s="63">
        <v>0.38600000000000001</v>
      </c>
      <c r="G410" s="63" t="s">
        <v>8090</v>
      </c>
      <c r="H410" s="65"/>
      <c r="I410" s="65"/>
      <c r="J410" s="65"/>
      <c r="K410" s="63" t="s">
        <v>510</v>
      </c>
      <c r="W410" s="213">
        <v>410</v>
      </c>
      <c r="X410" s="214">
        <v>9</v>
      </c>
    </row>
    <row r="411" spans="1:24" x14ac:dyDescent="0.25">
      <c r="A411" s="61" t="s">
        <v>0</v>
      </c>
      <c r="B411" s="60" t="s">
        <v>32</v>
      </c>
      <c r="C411" s="189" t="s">
        <v>1836</v>
      </c>
      <c r="D411" s="61" t="s">
        <v>50</v>
      </c>
      <c r="E411" s="61" t="s">
        <v>1837</v>
      </c>
      <c r="F411" s="61">
        <v>0.623</v>
      </c>
      <c r="G411" s="61" t="s">
        <v>1838</v>
      </c>
      <c r="H411" s="62"/>
      <c r="I411" s="62"/>
      <c r="J411" s="62"/>
      <c r="K411" s="61" t="s">
        <v>510</v>
      </c>
      <c r="W411" s="213">
        <v>411</v>
      </c>
      <c r="X411" s="214">
        <v>9</v>
      </c>
    </row>
    <row r="412" spans="1:24" x14ac:dyDescent="0.25">
      <c r="A412" s="63" t="s">
        <v>0</v>
      </c>
      <c r="B412" s="64" t="s">
        <v>32</v>
      </c>
      <c r="C412" s="139" t="s">
        <v>8091</v>
      </c>
      <c r="D412" s="63" t="s">
        <v>626</v>
      </c>
      <c r="E412" s="63" t="s">
        <v>8095</v>
      </c>
      <c r="F412" s="63">
        <v>0.373</v>
      </c>
      <c r="G412" s="63" t="s">
        <v>8099</v>
      </c>
      <c r="H412" s="65"/>
      <c r="I412" s="65"/>
      <c r="J412" s="65"/>
      <c r="K412" s="63" t="s">
        <v>510</v>
      </c>
      <c r="W412" s="213">
        <v>412</v>
      </c>
      <c r="X412" s="214">
        <v>9</v>
      </c>
    </row>
    <row r="413" spans="1:24" x14ac:dyDescent="0.25">
      <c r="A413" s="61" t="s">
        <v>0</v>
      </c>
      <c r="B413" s="60" t="s">
        <v>32</v>
      </c>
      <c r="C413" s="189" t="s">
        <v>8092</v>
      </c>
      <c r="D413" s="61" t="s">
        <v>626</v>
      </c>
      <c r="E413" s="61" t="s">
        <v>8096</v>
      </c>
      <c r="F413" s="61">
        <v>0.26</v>
      </c>
      <c r="G413" s="61" t="s">
        <v>8100</v>
      </c>
      <c r="H413" s="62"/>
      <c r="I413" s="62"/>
      <c r="J413" s="62"/>
      <c r="K413" s="61" t="s">
        <v>510</v>
      </c>
      <c r="W413" s="213">
        <v>413</v>
      </c>
      <c r="X413" s="214">
        <v>9</v>
      </c>
    </row>
    <row r="414" spans="1:24" x14ac:dyDescent="0.25">
      <c r="A414" s="63" t="s">
        <v>0</v>
      </c>
      <c r="B414" s="64" t="s">
        <v>32</v>
      </c>
      <c r="C414" s="139" t="s">
        <v>8093</v>
      </c>
      <c r="D414" s="63" t="s">
        <v>626</v>
      </c>
      <c r="E414" s="63" t="s">
        <v>8097</v>
      </c>
      <c r="F414" s="63">
        <v>0.372</v>
      </c>
      <c r="G414" s="63" t="s">
        <v>7648</v>
      </c>
      <c r="H414" s="65"/>
      <c r="I414" s="65"/>
      <c r="J414" s="65"/>
      <c r="K414" s="63" t="s">
        <v>510</v>
      </c>
      <c r="W414" s="213">
        <v>414</v>
      </c>
      <c r="X414" s="214">
        <v>9</v>
      </c>
    </row>
    <row r="415" spans="1:24" x14ac:dyDescent="0.25">
      <c r="A415" s="61" t="s">
        <v>0</v>
      </c>
      <c r="B415" s="60" t="s">
        <v>32</v>
      </c>
      <c r="C415" s="189" t="s">
        <v>8094</v>
      </c>
      <c r="D415" s="61" t="s">
        <v>626</v>
      </c>
      <c r="E415" s="61" t="s">
        <v>8098</v>
      </c>
      <c r="F415" s="61">
        <v>0.36899999999999999</v>
      </c>
      <c r="G415" s="61" t="s">
        <v>8101</v>
      </c>
      <c r="H415" s="62"/>
      <c r="I415" s="62"/>
      <c r="J415" s="62"/>
      <c r="K415" s="61" t="s">
        <v>510</v>
      </c>
      <c r="W415" s="213">
        <v>415</v>
      </c>
      <c r="X415" s="214">
        <v>9</v>
      </c>
    </row>
    <row r="416" spans="1:24" x14ac:dyDescent="0.25">
      <c r="A416" s="63" t="s">
        <v>0</v>
      </c>
      <c r="B416" s="64" t="s">
        <v>32</v>
      </c>
      <c r="C416" s="66" t="s">
        <v>1839</v>
      </c>
      <c r="D416" s="63" t="s">
        <v>1840</v>
      </c>
      <c r="E416" s="63" t="s">
        <v>1841</v>
      </c>
      <c r="F416" s="63">
        <v>0.182</v>
      </c>
      <c r="G416" s="63" t="s">
        <v>8100</v>
      </c>
      <c r="H416" s="65"/>
      <c r="I416" s="65"/>
      <c r="J416" s="65"/>
      <c r="K416" s="63" t="s">
        <v>510</v>
      </c>
      <c r="W416" s="213">
        <v>416</v>
      </c>
      <c r="X416" s="214">
        <v>9</v>
      </c>
    </row>
    <row r="417" spans="1:24" x14ac:dyDescent="0.25">
      <c r="A417" s="61" t="s">
        <v>0</v>
      </c>
      <c r="B417" s="60" t="s">
        <v>32</v>
      </c>
      <c r="C417" s="189" t="s">
        <v>8102</v>
      </c>
      <c r="D417" s="61" t="s">
        <v>626</v>
      </c>
      <c r="E417" s="61" t="s">
        <v>8105</v>
      </c>
      <c r="F417" s="61">
        <v>0.33900000000000002</v>
      </c>
      <c r="G417" s="61" t="s">
        <v>3853</v>
      </c>
      <c r="H417" s="62"/>
      <c r="I417" s="62"/>
      <c r="J417" s="62"/>
      <c r="K417" s="61" t="s">
        <v>510</v>
      </c>
      <c r="W417" s="213">
        <v>417</v>
      </c>
      <c r="X417" s="214">
        <v>9</v>
      </c>
    </row>
    <row r="418" spans="1:24" x14ac:dyDescent="0.25">
      <c r="A418" s="63" t="s">
        <v>0</v>
      </c>
      <c r="B418" s="64" t="s">
        <v>32</v>
      </c>
      <c r="C418" s="139" t="s">
        <v>8103</v>
      </c>
      <c r="D418" s="63" t="s">
        <v>626</v>
      </c>
      <c r="E418" s="63" t="s">
        <v>8106</v>
      </c>
      <c r="F418" s="63">
        <v>0.255</v>
      </c>
      <c r="G418" s="63" t="s">
        <v>8108</v>
      </c>
      <c r="H418" s="65"/>
      <c r="I418" s="65"/>
      <c r="J418" s="65"/>
      <c r="K418" s="63" t="s">
        <v>510</v>
      </c>
      <c r="W418" s="213">
        <v>418</v>
      </c>
      <c r="X418" s="214">
        <v>9</v>
      </c>
    </row>
    <row r="419" spans="1:24" x14ac:dyDescent="0.25">
      <c r="A419" s="61" t="s">
        <v>0</v>
      </c>
      <c r="B419" s="60" t="s">
        <v>32</v>
      </c>
      <c r="C419" s="189" t="s">
        <v>8104</v>
      </c>
      <c r="D419" s="61" t="s">
        <v>626</v>
      </c>
      <c r="E419" s="61" t="s">
        <v>8107</v>
      </c>
      <c r="F419" s="61">
        <v>0.26</v>
      </c>
      <c r="G419" s="61" t="s">
        <v>4621</v>
      </c>
      <c r="H419" s="62"/>
      <c r="I419" s="62"/>
      <c r="J419" s="62"/>
      <c r="K419" s="61" t="s">
        <v>510</v>
      </c>
      <c r="W419" s="213">
        <v>419</v>
      </c>
      <c r="X419" s="214">
        <v>9</v>
      </c>
    </row>
    <row r="420" spans="1:24" x14ac:dyDescent="0.25">
      <c r="A420" s="63" t="s">
        <v>0</v>
      </c>
      <c r="B420" s="64" t="s">
        <v>32</v>
      </c>
      <c r="C420" s="139" t="s">
        <v>1842</v>
      </c>
      <c r="D420" s="63" t="s">
        <v>50</v>
      </c>
      <c r="E420" s="63" t="s">
        <v>1843</v>
      </c>
      <c r="F420" s="63">
        <v>0.315</v>
      </c>
      <c r="G420" s="63" t="s">
        <v>1844</v>
      </c>
      <c r="H420" s="65"/>
      <c r="I420" s="65"/>
      <c r="J420" s="65"/>
      <c r="K420" s="63" t="s">
        <v>510</v>
      </c>
      <c r="W420" s="213">
        <v>420</v>
      </c>
      <c r="X420" s="214">
        <v>9</v>
      </c>
    </row>
    <row r="421" spans="1:24" x14ac:dyDescent="0.25">
      <c r="A421" s="61" t="s">
        <v>0</v>
      </c>
      <c r="B421" s="60" t="s">
        <v>32</v>
      </c>
      <c r="C421" s="189" t="s">
        <v>8109</v>
      </c>
      <c r="D421" s="61" t="s">
        <v>626</v>
      </c>
      <c r="E421" s="61" t="s">
        <v>8110</v>
      </c>
      <c r="F421" s="61">
        <v>0.27100000000000002</v>
      </c>
      <c r="G421" s="61" t="s">
        <v>8099</v>
      </c>
      <c r="H421" s="62"/>
      <c r="I421" s="62"/>
      <c r="J421" s="62"/>
      <c r="K421" s="61" t="s">
        <v>510</v>
      </c>
      <c r="W421" s="213">
        <v>421</v>
      </c>
      <c r="X421" s="214">
        <v>9</v>
      </c>
    </row>
    <row r="422" spans="1:24" x14ac:dyDescent="0.25">
      <c r="A422" s="63" t="s">
        <v>0</v>
      </c>
      <c r="B422" s="64" t="s">
        <v>32</v>
      </c>
      <c r="C422" s="139" t="s">
        <v>7646</v>
      </c>
      <c r="D422" s="63" t="s">
        <v>626</v>
      </c>
      <c r="E422" s="63" t="s">
        <v>7647</v>
      </c>
      <c r="F422" s="63">
        <v>0.33700000000000002</v>
      </c>
      <c r="G422" s="63" t="s">
        <v>7648</v>
      </c>
      <c r="H422" s="65"/>
      <c r="I422" s="65"/>
      <c r="J422" s="65"/>
      <c r="K422" s="63" t="s">
        <v>510</v>
      </c>
      <c r="W422" s="213">
        <v>422</v>
      </c>
      <c r="X422" s="214">
        <v>9</v>
      </c>
    </row>
    <row r="423" spans="1:24" x14ac:dyDescent="0.25">
      <c r="A423" s="61" t="s">
        <v>0</v>
      </c>
      <c r="B423" s="60" t="s">
        <v>32</v>
      </c>
      <c r="C423" s="59" t="s">
        <v>1845</v>
      </c>
      <c r="D423" s="61" t="s">
        <v>512</v>
      </c>
      <c r="E423" s="61" t="s">
        <v>1846</v>
      </c>
      <c r="F423" s="61">
        <v>0.35299999999999998</v>
      </c>
      <c r="G423" s="61" t="s">
        <v>8127</v>
      </c>
      <c r="H423" s="62"/>
      <c r="I423" s="62"/>
      <c r="J423" s="62"/>
      <c r="K423" s="61" t="s">
        <v>510</v>
      </c>
      <c r="W423" s="213">
        <v>423</v>
      </c>
      <c r="X423" s="214">
        <v>9</v>
      </c>
    </row>
    <row r="424" spans="1:24" x14ac:dyDescent="0.25">
      <c r="A424" s="63" t="s">
        <v>0</v>
      </c>
      <c r="B424" s="64" t="s">
        <v>32</v>
      </c>
      <c r="C424" s="139" t="s">
        <v>8111</v>
      </c>
      <c r="D424" s="63" t="s">
        <v>626</v>
      </c>
      <c r="E424" s="63" t="s">
        <v>8119</v>
      </c>
      <c r="F424" s="63">
        <v>0.34499999999999997</v>
      </c>
      <c r="G424" s="63" t="s">
        <v>5097</v>
      </c>
      <c r="H424" s="65"/>
      <c r="I424" s="65"/>
      <c r="J424" s="65"/>
      <c r="K424" s="63" t="s">
        <v>510</v>
      </c>
      <c r="W424" s="213">
        <v>424</v>
      </c>
      <c r="X424" s="214">
        <v>9</v>
      </c>
    </row>
    <row r="425" spans="1:24" x14ac:dyDescent="0.25">
      <c r="A425" s="61" t="s">
        <v>0</v>
      </c>
      <c r="B425" s="60" t="s">
        <v>32</v>
      </c>
      <c r="C425" s="189" t="s">
        <v>8112</v>
      </c>
      <c r="D425" s="61" t="s">
        <v>626</v>
      </c>
      <c r="E425" s="61" t="s">
        <v>8120</v>
      </c>
      <c r="F425" s="61">
        <v>0.36699999999999999</v>
      </c>
      <c r="G425" s="61" t="s">
        <v>8128</v>
      </c>
      <c r="H425" s="62"/>
      <c r="I425" s="62"/>
      <c r="J425" s="62"/>
      <c r="K425" s="61" t="s">
        <v>510</v>
      </c>
      <c r="W425" s="213">
        <v>425</v>
      </c>
      <c r="X425" s="214">
        <v>9</v>
      </c>
    </row>
    <row r="426" spans="1:24" x14ac:dyDescent="0.25">
      <c r="A426" s="63" t="s">
        <v>0</v>
      </c>
      <c r="B426" s="64" t="s">
        <v>32</v>
      </c>
      <c r="C426" s="139" t="s">
        <v>8113</v>
      </c>
      <c r="D426" s="63" t="s">
        <v>626</v>
      </c>
      <c r="E426" s="63" t="s">
        <v>8121</v>
      </c>
      <c r="F426" s="63">
        <v>0.36499999999999999</v>
      </c>
      <c r="G426" s="63" t="s">
        <v>8099</v>
      </c>
      <c r="H426" s="65"/>
      <c r="I426" s="65"/>
      <c r="J426" s="65"/>
      <c r="K426" s="63" t="s">
        <v>510</v>
      </c>
      <c r="W426" s="213">
        <v>426</v>
      </c>
      <c r="X426" s="214">
        <v>9</v>
      </c>
    </row>
    <row r="427" spans="1:24" x14ac:dyDescent="0.25">
      <c r="A427" s="61" t="s">
        <v>0</v>
      </c>
      <c r="B427" s="60" t="s">
        <v>32</v>
      </c>
      <c r="C427" s="189" t="s">
        <v>8114</v>
      </c>
      <c r="D427" s="61" t="s">
        <v>626</v>
      </c>
      <c r="E427" s="61" t="s">
        <v>8122</v>
      </c>
      <c r="F427" s="61">
        <v>0.373</v>
      </c>
      <c r="G427" s="61" t="s">
        <v>1844</v>
      </c>
      <c r="H427" s="62"/>
      <c r="I427" s="62"/>
      <c r="J427" s="62"/>
      <c r="K427" s="61" t="s">
        <v>510</v>
      </c>
      <c r="W427" s="213">
        <v>427</v>
      </c>
      <c r="X427" s="214">
        <v>9</v>
      </c>
    </row>
    <row r="428" spans="1:24" x14ac:dyDescent="0.25">
      <c r="A428" s="63" t="s">
        <v>0</v>
      </c>
      <c r="B428" s="64" t="s">
        <v>32</v>
      </c>
      <c r="C428" s="139" t="s">
        <v>8115</v>
      </c>
      <c r="D428" s="63" t="s">
        <v>626</v>
      </c>
      <c r="E428" s="63" t="s">
        <v>8123</v>
      </c>
      <c r="F428" s="63">
        <v>0.26300000000000001</v>
      </c>
      <c r="G428" s="63" t="s">
        <v>8129</v>
      </c>
      <c r="H428" s="65"/>
      <c r="I428" s="65"/>
      <c r="J428" s="65"/>
      <c r="K428" s="63" t="s">
        <v>510</v>
      </c>
      <c r="W428" s="213">
        <v>428</v>
      </c>
      <c r="X428" s="214">
        <v>9</v>
      </c>
    </row>
    <row r="429" spans="1:24" x14ac:dyDescent="0.25">
      <c r="A429" s="61" t="s">
        <v>0</v>
      </c>
      <c r="B429" s="60" t="s">
        <v>32</v>
      </c>
      <c r="C429" s="189" t="s">
        <v>8116</v>
      </c>
      <c r="D429" s="61" t="s">
        <v>626</v>
      </c>
      <c r="E429" s="61" t="s">
        <v>8124</v>
      </c>
      <c r="F429" s="61">
        <v>0.33600000000000002</v>
      </c>
      <c r="G429" s="61" t="s">
        <v>8130</v>
      </c>
      <c r="H429" s="62"/>
      <c r="I429" s="62"/>
      <c r="J429" s="62"/>
      <c r="K429" s="61" t="s">
        <v>510</v>
      </c>
      <c r="W429" s="213">
        <v>429</v>
      </c>
      <c r="X429" s="214">
        <v>9</v>
      </c>
    </row>
    <row r="430" spans="1:24" x14ac:dyDescent="0.25">
      <c r="A430" s="63" t="s">
        <v>0</v>
      </c>
      <c r="B430" s="64" t="s">
        <v>32</v>
      </c>
      <c r="C430" s="139" t="s">
        <v>8117</v>
      </c>
      <c r="D430" s="63" t="s">
        <v>626</v>
      </c>
      <c r="E430" s="63" t="s">
        <v>8125</v>
      </c>
      <c r="F430" s="63">
        <v>0.28399999999999997</v>
      </c>
      <c r="G430" s="63" t="s">
        <v>4403</v>
      </c>
      <c r="H430" s="65"/>
      <c r="I430" s="65"/>
      <c r="J430" s="65"/>
      <c r="K430" s="63" t="s">
        <v>510</v>
      </c>
      <c r="W430" s="213">
        <v>430</v>
      </c>
      <c r="X430" s="214">
        <v>9</v>
      </c>
    </row>
    <row r="431" spans="1:24" x14ac:dyDescent="0.25">
      <c r="A431" s="61" t="s">
        <v>0</v>
      </c>
      <c r="B431" s="60" t="s">
        <v>32</v>
      </c>
      <c r="C431" s="189" t="s">
        <v>8118</v>
      </c>
      <c r="D431" s="61" t="s">
        <v>626</v>
      </c>
      <c r="E431" s="61" t="s">
        <v>8126</v>
      </c>
      <c r="F431" s="61">
        <v>0.90900000000000003</v>
      </c>
      <c r="G431" s="61" t="s">
        <v>8131</v>
      </c>
      <c r="H431" s="62"/>
      <c r="I431" s="62"/>
      <c r="J431" s="62"/>
      <c r="K431" s="61" t="s">
        <v>510</v>
      </c>
      <c r="W431" s="213">
        <v>431</v>
      </c>
      <c r="X431" s="214">
        <v>9</v>
      </c>
    </row>
    <row r="432" spans="1:24" x14ac:dyDescent="0.25">
      <c r="A432" s="63" t="s">
        <v>0</v>
      </c>
      <c r="B432" s="64" t="s">
        <v>32</v>
      </c>
      <c r="C432" s="66" t="s">
        <v>1847</v>
      </c>
      <c r="D432" s="63" t="s">
        <v>1848</v>
      </c>
      <c r="E432" s="63" t="s">
        <v>1849</v>
      </c>
      <c r="F432" s="63">
        <v>0.156</v>
      </c>
      <c r="G432" s="63" t="s">
        <v>1850</v>
      </c>
      <c r="H432" s="65"/>
      <c r="I432" s="65"/>
      <c r="J432" s="65"/>
      <c r="K432" s="63" t="s">
        <v>9530</v>
      </c>
      <c r="W432" s="213">
        <v>432</v>
      </c>
      <c r="X432" s="214">
        <v>9</v>
      </c>
    </row>
    <row r="433" spans="1:24" x14ac:dyDescent="0.25">
      <c r="A433" s="61" t="s">
        <v>0</v>
      </c>
      <c r="B433" s="60" t="s">
        <v>32</v>
      </c>
      <c r="C433" s="189" t="s">
        <v>8132</v>
      </c>
      <c r="D433" s="61" t="s">
        <v>626</v>
      </c>
      <c r="E433" s="61" t="s">
        <v>8133</v>
      </c>
      <c r="F433" s="61">
        <v>0.14099999999999999</v>
      </c>
      <c r="G433" s="61" t="s">
        <v>8134</v>
      </c>
      <c r="H433" s="62"/>
      <c r="I433" s="62"/>
      <c r="J433" s="62"/>
      <c r="K433" s="61" t="s">
        <v>510</v>
      </c>
      <c r="W433" s="213">
        <v>433</v>
      </c>
      <c r="X433" s="214">
        <v>9</v>
      </c>
    </row>
    <row r="434" spans="1:24" x14ac:dyDescent="0.25">
      <c r="A434" s="63" t="s">
        <v>0</v>
      </c>
      <c r="B434" s="64" t="s">
        <v>32</v>
      </c>
      <c r="C434" s="139" t="s">
        <v>1851</v>
      </c>
      <c r="D434" s="63" t="s">
        <v>50</v>
      </c>
      <c r="E434" s="63" t="s">
        <v>1852</v>
      </c>
      <c r="F434" s="63">
        <v>0.20599999999999999</v>
      </c>
      <c r="G434" s="63" t="s">
        <v>1853</v>
      </c>
      <c r="H434" s="65"/>
      <c r="I434" s="139"/>
      <c r="J434" s="65"/>
      <c r="K434" s="63" t="s">
        <v>510</v>
      </c>
      <c r="W434" s="213">
        <v>434</v>
      </c>
      <c r="X434" s="214">
        <v>9</v>
      </c>
    </row>
    <row r="435" spans="1:24" x14ac:dyDescent="0.25">
      <c r="A435" s="61" t="s">
        <v>0</v>
      </c>
      <c r="B435" s="60" t="s">
        <v>32</v>
      </c>
      <c r="C435" s="189" t="s">
        <v>8135</v>
      </c>
      <c r="D435" s="61" t="s">
        <v>50</v>
      </c>
      <c r="E435" s="61" t="s">
        <v>8138</v>
      </c>
      <c r="F435" s="61">
        <v>0.33900000000000002</v>
      </c>
      <c r="G435" s="61" t="s">
        <v>7707</v>
      </c>
      <c r="H435" s="62"/>
      <c r="I435" s="189"/>
      <c r="J435" s="62"/>
      <c r="K435" s="61" t="s">
        <v>510</v>
      </c>
      <c r="W435" s="213">
        <v>435</v>
      </c>
      <c r="X435" s="214">
        <v>9</v>
      </c>
    </row>
    <row r="436" spans="1:24" x14ac:dyDescent="0.25">
      <c r="A436" s="63" t="s">
        <v>0</v>
      </c>
      <c r="B436" s="64" t="s">
        <v>32</v>
      </c>
      <c r="C436" s="139" t="s">
        <v>8136</v>
      </c>
      <c r="D436" s="63" t="s">
        <v>626</v>
      </c>
      <c r="E436" s="63" t="s">
        <v>8139</v>
      </c>
      <c r="F436" s="63">
        <v>0.122</v>
      </c>
      <c r="G436" s="63" t="s">
        <v>7672</v>
      </c>
      <c r="H436" s="65"/>
      <c r="I436" s="139"/>
      <c r="J436" s="65"/>
      <c r="K436" s="63" t="s">
        <v>510</v>
      </c>
      <c r="W436" s="213">
        <v>436</v>
      </c>
      <c r="X436" s="214">
        <v>9</v>
      </c>
    </row>
    <row r="437" spans="1:24" x14ac:dyDescent="0.25">
      <c r="A437" s="61" t="s">
        <v>0</v>
      </c>
      <c r="B437" s="60" t="s">
        <v>32</v>
      </c>
      <c r="C437" s="189" t="s">
        <v>8137</v>
      </c>
      <c r="D437" s="61" t="s">
        <v>626</v>
      </c>
      <c r="E437" s="61" t="s">
        <v>8140</v>
      </c>
      <c r="F437" s="61">
        <v>0.3</v>
      </c>
      <c r="G437" s="61" t="s">
        <v>8141</v>
      </c>
      <c r="H437" s="62"/>
      <c r="I437" s="189"/>
      <c r="J437" s="62"/>
      <c r="K437" s="61" t="s">
        <v>510</v>
      </c>
      <c r="W437" s="213">
        <v>437</v>
      </c>
      <c r="X437" s="214">
        <v>9</v>
      </c>
    </row>
    <row r="438" spans="1:24" x14ac:dyDescent="0.25">
      <c r="A438" s="63" t="s">
        <v>0</v>
      </c>
      <c r="B438" s="64" t="s">
        <v>32</v>
      </c>
      <c r="C438" s="139" t="s">
        <v>7649</v>
      </c>
      <c r="D438" s="63" t="s">
        <v>626</v>
      </c>
      <c r="E438" s="63" t="s">
        <v>7650</v>
      </c>
      <c r="F438" s="63">
        <v>0.248</v>
      </c>
      <c r="G438" s="63" t="s">
        <v>7651</v>
      </c>
      <c r="H438" s="65"/>
      <c r="I438" s="65"/>
      <c r="J438" s="65"/>
      <c r="K438" s="63" t="s">
        <v>510</v>
      </c>
      <c r="W438" s="213">
        <v>438</v>
      </c>
      <c r="X438" s="214">
        <v>9</v>
      </c>
    </row>
    <row r="439" spans="1:24" x14ac:dyDescent="0.25">
      <c r="A439" s="61" t="s">
        <v>0</v>
      </c>
      <c r="B439" s="60" t="s">
        <v>32</v>
      </c>
      <c r="C439" s="189" t="s">
        <v>8142</v>
      </c>
      <c r="D439" s="61" t="s">
        <v>626</v>
      </c>
      <c r="E439" s="61" t="s">
        <v>8143</v>
      </c>
      <c r="F439" s="61">
        <v>0.20399999999999999</v>
      </c>
      <c r="G439" s="61" t="s">
        <v>8144</v>
      </c>
      <c r="H439" s="62"/>
      <c r="I439" s="62"/>
      <c r="J439" s="62"/>
      <c r="K439" s="61" t="s">
        <v>510</v>
      </c>
      <c r="W439" s="213">
        <v>439</v>
      </c>
      <c r="X439" s="214">
        <v>9</v>
      </c>
    </row>
    <row r="440" spans="1:24" x14ac:dyDescent="0.25">
      <c r="A440" s="63" t="s">
        <v>0</v>
      </c>
      <c r="B440" s="64" t="s">
        <v>32</v>
      </c>
      <c r="C440" s="66" t="s">
        <v>1854</v>
      </c>
      <c r="D440" s="63" t="s">
        <v>1616</v>
      </c>
      <c r="E440" s="63" t="s">
        <v>1855</v>
      </c>
      <c r="F440" s="63">
        <v>0.38400000000000001</v>
      </c>
      <c r="G440" s="63" t="s">
        <v>8145</v>
      </c>
      <c r="H440" s="65"/>
      <c r="I440" s="65"/>
      <c r="J440" s="65"/>
      <c r="K440" s="63" t="s">
        <v>9531</v>
      </c>
      <c r="W440" s="213">
        <v>440</v>
      </c>
      <c r="X440" s="214">
        <v>9</v>
      </c>
    </row>
    <row r="441" spans="1:24" x14ac:dyDescent="0.25">
      <c r="A441" s="61" t="s">
        <v>0</v>
      </c>
      <c r="B441" s="60" t="s">
        <v>32</v>
      </c>
      <c r="C441" s="189" t="s">
        <v>8146</v>
      </c>
      <c r="D441" s="61" t="s">
        <v>626</v>
      </c>
      <c r="E441" s="61" t="s">
        <v>8151</v>
      </c>
      <c r="F441" s="61">
        <v>0.246</v>
      </c>
      <c r="G441" s="61" t="s">
        <v>7318</v>
      </c>
      <c r="H441" s="62"/>
      <c r="I441" s="62"/>
      <c r="J441" s="62"/>
      <c r="K441" s="61" t="s">
        <v>510</v>
      </c>
      <c r="W441" s="213">
        <v>441</v>
      </c>
      <c r="X441" s="214">
        <v>9</v>
      </c>
    </row>
    <row r="442" spans="1:24" x14ac:dyDescent="0.25">
      <c r="A442" s="63" t="s">
        <v>0</v>
      </c>
      <c r="B442" s="64" t="s">
        <v>32</v>
      </c>
      <c r="C442" s="139" t="s">
        <v>8147</v>
      </c>
      <c r="D442" s="63" t="s">
        <v>626</v>
      </c>
      <c r="E442" s="63" t="s">
        <v>8150</v>
      </c>
      <c r="F442" s="63">
        <v>0.17899999999999999</v>
      </c>
      <c r="G442" s="63" t="s">
        <v>8152</v>
      </c>
      <c r="H442" s="65"/>
      <c r="I442" s="65"/>
      <c r="J442" s="65"/>
      <c r="K442" s="63" t="s">
        <v>510</v>
      </c>
      <c r="W442" s="213">
        <v>442</v>
      </c>
      <c r="X442" s="214">
        <v>9</v>
      </c>
    </row>
    <row r="443" spans="1:24" x14ac:dyDescent="0.25">
      <c r="A443" s="61" t="s">
        <v>0</v>
      </c>
      <c r="B443" s="60" t="s">
        <v>32</v>
      </c>
      <c r="C443" s="189" t="s">
        <v>8148</v>
      </c>
      <c r="D443" s="61" t="s">
        <v>626</v>
      </c>
      <c r="E443" s="61" t="s">
        <v>8149</v>
      </c>
      <c r="F443" s="61">
        <v>0.30199999999999999</v>
      </c>
      <c r="G443" s="61" t="s">
        <v>1944</v>
      </c>
      <c r="H443" s="62"/>
      <c r="I443" s="62"/>
      <c r="J443" s="62"/>
      <c r="K443" s="61" t="s">
        <v>510</v>
      </c>
      <c r="W443" s="213">
        <v>443</v>
      </c>
      <c r="X443" s="214">
        <v>9</v>
      </c>
    </row>
    <row r="444" spans="1:24" x14ac:dyDescent="0.25">
      <c r="A444" s="63" t="s">
        <v>0</v>
      </c>
      <c r="B444" s="64" t="s">
        <v>32</v>
      </c>
      <c r="C444" s="63" t="s">
        <v>1856</v>
      </c>
      <c r="D444" s="63" t="s">
        <v>740</v>
      </c>
      <c r="E444" s="63" t="s">
        <v>1857</v>
      </c>
      <c r="F444" s="63">
        <v>0.27</v>
      </c>
      <c r="G444" s="63" t="s">
        <v>1611</v>
      </c>
      <c r="H444" s="65"/>
      <c r="I444" s="65"/>
      <c r="J444" s="65"/>
      <c r="K444" s="63" t="s">
        <v>510</v>
      </c>
      <c r="W444" s="213">
        <v>444</v>
      </c>
      <c r="X444" s="214">
        <v>9</v>
      </c>
    </row>
    <row r="445" spans="1:24" x14ac:dyDescent="0.25">
      <c r="A445" s="61" t="s">
        <v>0</v>
      </c>
      <c r="B445" s="60" t="s">
        <v>32</v>
      </c>
      <c r="C445" s="189" t="s">
        <v>8153</v>
      </c>
      <c r="D445" s="61" t="s">
        <v>626</v>
      </c>
      <c r="E445" s="61" t="s">
        <v>8154</v>
      </c>
      <c r="F445" s="61">
        <v>0.60099999999999998</v>
      </c>
      <c r="G445" s="61" t="s">
        <v>8155</v>
      </c>
      <c r="H445" s="62"/>
      <c r="I445" s="62"/>
      <c r="J445" s="62"/>
      <c r="K445" s="61" t="s">
        <v>510</v>
      </c>
      <c r="W445" s="213">
        <v>445</v>
      </c>
      <c r="X445" s="214">
        <v>9</v>
      </c>
    </row>
    <row r="446" spans="1:24" x14ac:dyDescent="0.25">
      <c r="A446" s="63" t="s">
        <v>0</v>
      </c>
      <c r="B446" s="64" t="s">
        <v>32</v>
      </c>
      <c r="C446" s="139" t="s">
        <v>1858</v>
      </c>
      <c r="D446" s="63" t="s">
        <v>50</v>
      </c>
      <c r="E446" s="63" t="s">
        <v>1859</v>
      </c>
      <c r="F446" s="63">
        <v>0.11600000000000001</v>
      </c>
      <c r="G446" s="63" t="s">
        <v>1860</v>
      </c>
      <c r="H446" s="65"/>
      <c r="I446" s="65"/>
      <c r="J446" s="65"/>
      <c r="K446" s="63" t="s">
        <v>510</v>
      </c>
      <c r="W446" s="213">
        <v>446</v>
      </c>
      <c r="X446" s="214">
        <v>9</v>
      </c>
    </row>
    <row r="447" spans="1:24" x14ac:dyDescent="0.25">
      <c r="A447" s="61" t="s">
        <v>0</v>
      </c>
      <c r="B447" s="60" t="s">
        <v>32</v>
      </c>
      <c r="C447" s="189" t="s">
        <v>7655</v>
      </c>
      <c r="D447" s="61" t="s">
        <v>50</v>
      </c>
      <c r="E447" s="61" t="s">
        <v>7656</v>
      </c>
      <c r="F447" s="61">
        <v>0.27500000000000002</v>
      </c>
      <c r="G447" s="61" t="s">
        <v>7657</v>
      </c>
      <c r="H447" s="62"/>
      <c r="I447" s="62"/>
      <c r="J447" s="62"/>
      <c r="K447" s="61" t="s">
        <v>510</v>
      </c>
      <c r="W447" s="213">
        <v>447</v>
      </c>
      <c r="X447" s="214">
        <v>9</v>
      </c>
    </row>
    <row r="448" spans="1:24" x14ac:dyDescent="0.25">
      <c r="A448" s="63" t="s">
        <v>0</v>
      </c>
      <c r="B448" s="64" t="s">
        <v>32</v>
      </c>
      <c r="C448" s="139" t="s">
        <v>7652</v>
      </c>
      <c r="D448" s="63" t="s">
        <v>626</v>
      </c>
      <c r="E448" s="63" t="s">
        <v>7653</v>
      </c>
      <c r="F448" s="63">
        <v>0.217</v>
      </c>
      <c r="G448" s="63" t="s">
        <v>7654</v>
      </c>
      <c r="H448" s="65"/>
      <c r="I448" s="65"/>
      <c r="J448" s="65"/>
      <c r="K448" s="63" t="s">
        <v>510</v>
      </c>
      <c r="W448" s="213">
        <v>448</v>
      </c>
      <c r="X448" s="214">
        <v>9</v>
      </c>
    </row>
    <row r="449" spans="1:24" x14ac:dyDescent="0.25">
      <c r="A449" s="61" t="s">
        <v>0</v>
      </c>
      <c r="B449" s="60" t="s">
        <v>32</v>
      </c>
      <c r="C449" s="189" t="s">
        <v>7658</v>
      </c>
      <c r="D449" s="61" t="s">
        <v>626</v>
      </c>
      <c r="E449" s="61" t="s">
        <v>7659</v>
      </c>
      <c r="F449" s="61">
        <v>0.50600000000000001</v>
      </c>
      <c r="G449" s="61" t="s">
        <v>1944</v>
      </c>
      <c r="H449" s="62"/>
      <c r="I449" s="62"/>
      <c r="J449" s="62"/>
      <c r="K449" s="61" t="s">
        <v>510</v>
      </c>
      <c r="W449" s="213">
        <v>449</v>
      </c>
      <c r="X449" s="214">
        <v>9</v>
      </c>
    </row>
    <row r="450" spans="1:24" x14ac:dyDescent="0.25">
      <c r="A450" s="63" t="s">
        <v>0</v>
      </c>
      <c r="B450" s="64" t="s">
        <v>32</v>
      </c>
      <c r="C450" s="139" t="s">
        <v>7660</v>
      </c>
      <c r="D450" s="63" t="s">
        <v>626</v>
      </c>
      <c r="E450" s="63" t="s">
        <v>7661</v>
      </c>
      <c r="F450" s="63">
        <v>0.29099999999999998</v>
      </c>
      <c r="G450" s="63" t="s">
        <v>7662</v>
      </c>
      <c r="H450" s="65"/>
      <c r="I450" s="65"/>
      <c r="J450" s="65"/>
      <c r="K450" s="63" t="s">
        <v>510</v>
      </c>
      <c r="W450" s="213">
        <v>450</v>
      </c>
      <c r="X450" s="214">
        <v>9</v>
      </c>
    </row>
    <row r="451" spans="1:24" x14ac:dyDescent="0.25">
      <c r="A451" s="61" t="s">
        <v>0</v>
      </c>
      <c r="B451" s="60" t="s">
        <v>32</v>
      </c>
      <c r="C451" s="189" t="s">
        <v>7663</v>
      </c>
      <c r="D451" s="61" t="s">
        <v>626</v>
      </c>
      <c r="E451" s="61" t="s">
        <v>7664</v>
      </c>
      <c r="F451" s="61">
        <v>0.29699999999999999</v>
      </c>
      <c r="G451" s="61" t="s">
        <v>7654</v>
      </c>
      <c r="H451" s="62"/>
      <c r="I451" s="62"/>
      <c r="J451" s="62"/>
      <c r="K451" s="61" t="s">
        <v>510</v>
      </c>
      <c r="W451" s="213">
        <v>451</v>
      </c>
      <c r="X451" s="214">
        <v>9</v>
      </c>
    </row>
    <row r="452" spans="1:24" x14ac:dyDescent="0.25">
      <c r="A452" s="63" t="s">
        <v>0</v>
      </c>
      <c r="B452" s="64" t="s">
        <v>32</v>
      </c>
      <c r="C452" s="139" t="s">
        <v>8156</v>
      </c>
      <c r="D452" s="63" t="s">
        <v>626</v>
      </c>
      <c r="E452" s="63" t="s">
        <v>8159</v>
      </c>
      <c r="F452" s="63">
        <v>0.313</v>
      </c>
      <c r="G452" s="63" t="s">
        <v>8160</v>
      </c>
      <c r="H452" s="65"/>
      <c r="I452" s="65"/>
      <c r="J452" s="65"/>
      <c r="K452" s="63" t="s">
        <v>510</v>
      </c>
      <c r="W452" s="213">
        <v>452</v>
      </c>
      <c r="X452" s="214">
        <v>9</v>
      </c>
    </row>
    <row r="453" spans="1:24" x14ac:dyDescent="0.25">
      <c r="A453" s="61" t="s">
        <v>0</v>
      </c>
      <c r="B453" s="60" t="s">
        <v>32</v>
      </c>
      <c r="C453" s="189" t="s">
        <v>8157</v>
      </c>
      <c r="D453" s="61" t="s">
        <v>626</v>
      </c>
      <c r="E453" s="61" t="s">
        <v>8158</v>
      </c>
      <c r="F453" s="61">
        <v>0.42</v>
      </c>
      <c r="G453" s="61" t="s">
        <v>8161</v>
      </c>
      <c r="H453" s="62"/>
      <c r="I453" s="62"/>
      <c r="J453" s="62"/>
      <c r="K453" s="61" t="s">
        <v>510</v>
      </c>
      <c r="W453" s="213">
        <v>453</v>
      </c>
      <c r="X453" s="214">
        <v>9</v>
      </c>
    </row>
    <row r="454" spans="1:24" x14ac:dyDescent="0.25">
      <c r="A454" s="63" t="s">
        <v>0</v>
      </c>
      <c r="B454" s="64" t="s">
        <v>32</v>
      </c>
      <c r="C454" s="66" t="s">
        <v>1861</v>
      </c>
      <c r="D454" s="63" t="s">
        <v>819</v>
      </c>
      <c r="E454" s="63" t="s">
        <v>1862</v>
      </c>
      <c r="F454" s="63">
        <v>0.47</v>
      </c>
      <c r="G454" s="63" t="s">
        <v>8419</v>
      </c>
      <c r="H454" s="65"/>
      <c r="I454" s="65"/>
      <c r="J454" s="65"/>
      <c r="K454" s="63" t="s">
        <v>510</v>
      </c>
      <c r="W454" s="213">
        <v>454</v>
      </c>
      <c r="X454" s="214">
        <v>9</v>
      </c>
    </row>
    <row r="455" spans="1:24" x14ac:dyDescent="0.25">
      <c r="A455" s="61" t="s">
        <v>0</v>
      </c>
      <c r="B455" s="60" t="s">
        <v>32</v>
      </c>
      <c r="C455" s="189" t="s">
        <v>7665</v>
      </c>
      <c r="D455" s="61" t="s">
        <v>626</v>
      </c>
      <c r="E455" s="61" t="s">
        <v>7666</v>
      </c>
      <c r="F455" s="61">
        <v>0.27900000000000003</v>
      </c>
      <c r="G455" s="61" t="s">
        <v>7667</v>
      </c>
      <c r="H455" s="62"/>
      <c r="I455" s="62"/>
      <c r="J455" s="62"/>
      <c r="K455" s="61" t="s">
        <v>510</v>
      </c>
      <c r="W455" s="213">
        <v>455</v>
      </c>
      <c r="X455" s="214">
        <v>9</v>
      </c>
    </row>
    <row r="456" spans="1:24" x14ac:dyDescent="0.25">
      <c r="A456" s="63" t="s">
        <v>0</v>
      </c>
      <c r="B456" s="64" t="s">
        <v>32</v>
      </c>
      <c r="C456" s="139" t="s">
        <v>8162</v>
      </c>
      <c r="D456" s="63" t="s">
        <v>626</v>
      </c>
      <c r="E456" s="63" t="s">
        <v>8166</v>
      </c>
      <c r="F456" s="63">
        <v>0.46200000000000002</v>
      </c>
      <c r="G456" s="63" t="s">
        <v>8170</v>
      </c>
      <c r="H456" s="65"/>
      <c r="I456" s="65"/>
      <c r="J456" s="65"/>
      <c r="K456" s="63" t="s">
        <v>510</v>
      </c>
      <c r="W456" s="213">
        <v>456</v>
      </c>
      <c r="X456" s="214">
        <v>9</v>
      </c>
    </row>
    <row r="457" spans="1:24" x14ac:dyDescent="0.25">
      <c r="A457" s="61" t="s">
        <v>0</v>
      </c>
      <c r="B457" s="60" t="s">
        <v>32</v>
      </c>
      <c r="C457" s="189" t="s">
        <v>8163</v>
      </c>
      <c r="D457" s="61" t="s">
        <v>626</v>
      </c>
      <c r="E457" s="61" t="s">
        <v>8167</v>
      </c>
      <c r="F457" s="61">
        <v>0.497</v>
      </c>
      <c r="G457" s="61" t="s">
        <v>8171</v>
      </c>
      <c r="H457" s="62"/>
      <c r="I457" s="62"/>
      <c r="J457" s="62"/>
      <c r="K457" s="61" t="s">
        <v>510</v>
      </c>
      <c r="W457" s="213">
        <v>457</v>
      </c>
      <c r="X457" s="214">
        <v>9</v>
      </c>
    </row>
    <row r="458" spans="1:24" x14ac:dyDescent="0.25">
      <c r="A458" s="63" t="s">
        <v>0</v>
      </c>
      <c r="B458" s="64" t="s">
        <v>32</v>
      </c>
      <c r="C458" s="139" t="s">
        <v>8164</v>
      </c>
      <c r="D458" s="63" t="s">
        <v>626</v>
      </c>
      <c r="E458" s="63" t="s">
        <v>8168</v>
      </c>
      <c r="F458" s="63">
        <v>0.40500000000000003</v>
      </c>
      <c r="G458" s="63" t="s">
        <v>8172</v>
      </c>
      <c r="H458" s="65"/>
      <c r="I458" s="65"/>
      <c r="J458" s="65"/>
      <c r="K458" s="63" t="s">
        <v>510</v>
      </c>
      <c r="W458" s="213">
        <v>458</v>
      </c>
      <c r="X458" s="214">
        <v>9</v>
      </c>
    </row>
    <row r="459" spans="1:24" x14ac:dyDescent="0.25">
      <c r="A459" s="61" t="s">
        <v>0</v>
      </c>
      <c r="B459" s="60" t="s">
        <v>32</v>
      </c>
      <c r="C459" s="189" t="s">
        <v>8165</v>
      </c>
      <c r="D459" s="61" t="s">
        <v>626</v>
      </c>
      <c r="E459" s="61" t="s">
        <v>8169</v>
      </c>
      <c r="F459" s="61">
        <v>0.27</v>
      </c>
      <c r="G459" s="61" t="s">
        <v>7822</v>
      </c>
      <c r="H459" s="62"/>
      <c r="I459" s="62"/>
      <c r="J459" s="62"/>
      <c r="K459" s="61" t="s">
        <v>510</v>
      </c>
      <c r="W459" s="213">
        <v>459</v>
      </c>
      <c r="X459" s="214">
        <v>9</v>
      </c>
    </row>
    <row r="460" spans="1:24" x14ac:dyDescent="0.25">
      <c r="A460" s="63" t="s">
        <v>0</v>
      </c>
      <c r="B460" s="64" t="s">
        <v>32</v>
      </c>
      <c r="C460" s="139" t="s">
        <v>7668</v>
      </c>
      <c r="D460" s="63" t="s">
        <v>626</v>
      </c>
      <c r="E460" s="63" t="s">
        <v>7669</v>
      </c>
      <c r="F460" s="63">
        <v>0.49</v>
      </c>
      <c r="G460" s="63" t="s">
        <v>6994</v>
      </c>
      <c r="H460" s="65"/>
      <c r="I460" s="65"/>
      <c r="J460" s="65"/>
      <c r="K460" s="63" t="s">
        <v>510</v>
      </c>
      <c r="W460" s="213">
        <v>460</v>
      </c>
      <c r="X460" s="214">
        <v>9</v>
      </c>
    </row>
    <row r="461" spans="1:24" x14ac:dyDescent="0.25">
      <c r="A461" s="61" t="s">
        <v>0</v>
      </c>
      <c r="B461" s="60" t="s">
        <v>32</v>
      </c>
      <c r="C461" s="189" t="s">
        <v>1866</v>
      </c>
      <c r="D461" s="61" t="s">
        <v>626</v>
      </c>
      <c r="E461" s="61" t="s">
        <v>1867</v>
      </c>
      <c r="F461" s="61">
        <v>0.48499999999999999</v>
      </c>
      <c r="G461" s="61" t="s">
        <v>1868</v>
      </c>
      <c r="H461" s="62"/>
      <c r="I461" s="62"/>
      <c r="J461" s="62"/>
      <c r="K461" s="61" t="s">
        <v>510</v>
      </c>
      <c r="W461" s="213">
        <v>461</v>
      </c>
      <c r="X461" s="214">
        <v>9</v>
      </c>
    </row>
    <row r="462" spans="1:24" x14ac:dyDescent="0.25">
      <c r="A462" s="63" t="s">
        <v>0</v>
      </c>
      <c r="B462" s="64" t="s">
        <v>32</v>
      </c>
      <c r="C462" s="139" t="s">
        <v>7670</v>
      </c>
      <c r="D462" s="63" t="s">
        <v>626</v>
      </c>
      <c r="E462" s="63" t="s">
        <v>7671</v>
      </c>
      <c r="F462" s="63">
        <v>0.249</v>
      </c>
      <c r="G462" s="63" t="s">
        <v>7672</v>
      </c>
      <c r="H462" s="65"/>
      <c r="I462" s="65"/>
      <c r="J462" s="65"/>
      <c r="K462" s="63" t="s">
        <v>510</v>
      </c>
      <c r="W462" s="213">
        <v>462</v>
      </c>
      <c r="X462" s="214">
        <v>9</v>
      </c>
    </row>
    <row r="463" spans="1:24" x14ac:dyDescent="0.25">
      <c r="A463" s="61" t="s">
        <v>0</v>
      </c>
      <c r="B463" s="60" t="s">
        <v>32</v>
      </c>
      <c r="C463" s="189" t="s">
        <v>8173</v>
      </c>
      <c r="D463" s="61" t="s">
        <v>626</v>
      </c>
      <c r="E463" s="61" t="s">
        <v>8435</v>
      </c>
      <c r="F463" s="61">
        <v>0.378</v>
      </c>
      <c r="G463" s="61" t="s">
        <v>1602</v>
      </c>
      <c r="H463" s="62"/>
      <c r="I463" s="62"/>
      <c r="J463" s="62"/>
      <c r="K463" s="61" t="s">
        <v>510</v>
      </c>
      <c r="W463" s="213">
        <v>463</v>
      </c>
      <c r="X463" s="214">
        <v>9</v>
      </c>
    </row>
    <row r="464" spans="1:24" x14ac:dyDescent="0.25">
      <c r="A464" s="63" t="s">
        <v>0</v>
      </c>
      <c r="B464" s="64" t="s">
        <v>32</v>
      </c>
      <c r="C464" s="63" t="s">
        <v>1863</v>
      </c>
      <c r="D464" s="63" t="s">
        <v>50</v>
      </c>
      <c r="E464" s="63" t="s">
        <v>1864</v>
      </c>
      <c r="F464" s="63">
        <v>0.46899999999999997</v>
      </c>
      <c r="G464" s="63" t="s">
        <v>1865</v>
      </c>
      <c r="H464" s="65"/>
      <c r="I464" s="65"/>
      <c r="J464" s="65"/>
      <c r="K464" s="63" t="s">
        <v>510</v>
      </c>
      <c r="W464" s="213">
        <v>464</v>
      </c>
      <c r="X464" s="214">
        <v>9</v>
      </c>
    </row>
    <row r="465" spans="1:24" x14ac:dyDescent="0.25">
      <c r="A465" s="61" t="s">
        <v>0</v>
      </c>
      <c r="B465" s="60" t="s">
        <v>32</v>
      </c>
      <c r="C465" s="189" t="s">
        <v>8174</v>
      </c>
      <c r="D465" s="61" t="s">
        <v>626</v>
      </c>
      <c r="E465" s="61" t="s">
        <v>8178</v>
      </c>
      <c r="F465" s="61">
        <v>0.442</v>
      </c>
      <c r="G465" s="61" t="s">
        <v>8185</v>
      </c>
      <c r="H465" s="62"/>
      <c r="I465" s="62"/>
      <c r="J465" s="62"/>
      <c r="K465" s="61" t="s">
        <v>510</v>
      </c>
      <c r="W465" s="213">
        <v>465</v>
      </c>
      <c r="X465" s="214">
        <v>9</v>
      </c>
    </row>
    <row r="466" spans="1:24" x14ac:dyDescent="0.25">
      <c r="A466" s="63" t="s">
        <v>0</v>
      </c>
      <c r="B466" s="64" t="s">
        <v>32</v>
      </c>
      <c r="C466" s="139" t="s">
        <v>8175</v>
      </c>
      <c r="D466" s="63" t="s">
        <v>626</v>
      </c>
      <c r="E466" s="63" t="s">
        <v>8179</v>
      </c>
      <c r="F466" s="63">
        <v>0.441</v>
      </c>
      <c r="G466" s="63" t="s">
        <v>8184</v>
      </c>
      <c r="H466" s="65"/>
      <c r="I466" s="65"/>
      <c r="J466" s="65"/>
      <c r="K466" s="63" t="s">
        <v>510</v>
      </c>
      <c r="W466" s="213">
        <v>466</v>
      </c>
      <c r="X466" s="214">
        <v>9</v>
      </c>
    </row>
    <row r="467" spans="1:24" x14ac:dyDescent="0.25">
      <c r="A467" s="61" t="s">
        <v>0</v>
      </c>
      <c r="B467" s="60" t="s">
        <v>32</v>
      </c>
      <c r="C467" s="61" t="s">
        <v>8176</v>
      </c>
      <c r="D467" s="61" t="s">
        <v>626</v>
      </c>
      <c r="E467" s="61" t="s">
        <v>8180</v>
      </c>
      <c r="F467" s="61">
        <v>0.44800000000000001</v>
      </c>
      <c r="G467" s="61" t="s">
        <v>8183</v>
      </c>
      <c r="H467" s="62"/>
      <c r="I467" s="62"/>
      <c r="J467" s="62"/>
      <c r="K467" s="61" t="s">
        <v>510</v>
      </c>
      <c r="W467" s="213">
        <v>467</v>
      </c>
      <c r="X467" s="214">
        <v>9</v>
      </c>
    </row>
    <row r="468" spans="1:24" x14ac:dyDescent="0.25">
      <c r="A468" s="63" t="s">
        <v>0</v>
      </c>
      <c r="B468" s="64" t="s">
        <v>32</v>
      </c>
      <c r="C468" s="63" t="s">
        <v>8177</v>
      </c>
      <c r="D468" s="63" t="s">
        <v>626</v>
      </c>
      <c r="E468" s="63" t="s">
        <v>8181</v>
      </c>
      <c r="F468" s="63">
        <v>0.498</v>
      </c>
      <c r="G468" s="63" t="s">
        <v>8182</v>
      </c>
      <c r="H468" s="65"/>
      <c r="I468" s="65"/>
      <c r="J468" s="65"/>
      <c r="K468" s="63" t="s">
        <v>510</v>
      </c>
      <c r="W468" s="213">
        <v>468</v>
      </c>
      <c r="X468" s="214">
        <v>9</v>
      </c>
    </row>
    <row r="469" spans="1:24" x14ac:dyDescent="0.25">
      <c r="A469" s="61" t="s">
        <v>0</v>
      </c>
      <c r="B469" s="60" t="s">
        <v>32</v>
      </c>
      <c r="C469" s="189" t="s">
        <v>7673</v>
      </c>
      <c r="D469" s="61" t="s">
        <v>626</v>
      </c>
      <c r="E469" s="61" t="s">
        <v>7674</v>
      </c>
      <c r="F469" s="61">
        <v>0.55800000000000005</v>
      </c>
      <c r="G469" s="61" t="s">
        <v>7675</v>
      </c>
      <c r="H469" s="62"/>
      <c r="I469" s="62"/>
      <c r="J469" s="62"/>
      <c r="K469" s="61" t="s">
        <v>510</v>
      </c>
      <c r="W469" s="213">
        <v>469</v>
      </c>
      <c r="X469" s="214">
        <v>9</v>
      </c>
    </row>
    <row r="470" spans="1:24" x14ac:dyDescent="0.25">
      <c r="A470" s="63" t="s">
        <v>0</v>
      </c>
      <c r="B470" s="64" t="s">
        <v>32</v>
      </c>
      <c r="C470" s="139" t="s">
        <v>1869</v>
      </c>
      <c r="D470" s="63" t="s">
        <v>626</v>
      </c>
      <c r="E470" s="63" t="s">
        <v>1870</v>
      </c>
      <c r="F470" s="63">
        <v>0.24199999999999999</v>
      </c>
      <c r="G470" s="63" t="s">
        <v>8099</v>
      </c>
      <c r="H470" s="65"/>
      <c r="I470" s="65"/>
      <c r="J470" s="65"/>
      <c r="K470" s="63" t="s">
        <v>510</v>
      </c>
      <c r="W470" s="213">
        <v>470</v>
      </c>
      <c r="X470" s="214">
        <v>9</v>
      </c>
    </row>
    <row r="471" spans="1:24" x14ac:dyDescent="0.25">
      <c r="A471" s="61" t="s">
        <v>0</v>
      </c>
      <c r="B471" s="60" t="s">
        <v>32</v>
      </c>
      <c r="C471" s="189" t="s">
        <v>8186</v>
      </c>
      <c r="D471" s="61" t="s">
        <v>626</v>
      </c>
      <c r="E471" s="61" t="s">
        <v>8188</v>
      </c>
      <c r="F471" s="61">
        <v>0.499</v>
      </c>
      <c r="G471" s="61" t="s">
        <v>8190</v>
      </c>
      <c r="H471" s="62"/>
      <c r="I471" s="62"/>
      <c r="J471" s="62"/>
      <c r="K471" s="61" t="s">
        <v>510</v>
      </c>
      <c r="W471" s="213">
        <v>471</v>
      </c>
      <c r="X471" s="214">
        <v>9</v>
      </c>
    </row>
    <row r="472" spans="1:24" x14ac:dyDescent="0.25">
      <c r="A472" s="63" t="s">
        <v>0</v>
      </c>
      <c r="B472" s="64" t="s">
        <v>32</v>
      </c>
      <c r="C472" s="139" t="s">
        <v>8187</v>
      </c>
      <c r="D472" s="63" t="s">
        <v>626</v>
      </c>
      <c r="E472" s="63" t="s">
        <v>8189</v>
      </c>
      <c r="F472" s="63">
        <v>0.19900000000000001</v>
      </c>
      <c r="G472" s="63" t="s">
        <v>1860</v>
      </c>
      <c r="H472" s="65"/>
      <c r="I472" s="65"/>
      <c r="J472" s="65"/>
      <c r="K472" s="63" t="s">
        <v>510</v>
      </c>
      <c r="W472" s="213">
        <v>472</v>
      </c>
      <c r="X472" s="214">
        <v>9</v>
      </c>
    </row>
    <row r="473" spans="1:24" x14ac:dyDescent="0.25">
      <c r="A473" s="61" t="s">
        <v>0</v>
      </c>
      <c r="B473" s="60" t="s">
        <v>32</v>
      </c>
      <c r="C473" s="59" t="s">
        <v>1871</v>
      </c>
      <c r="D473" s="61" t="s">
        <v>938</v>
      </c>
      <c r="E473" s="61" t="s">
        <v>1872</v>
      </c>
      <c r="F473" s="61">
        <v>0.46200000000000002</v>
      </c>
      <c r="G473" s="61" t="s">
        <v>8191</v>
      </c>
      <c r="H473" s="62"/>
      <c r="I473" s="62"/>
      <c r="J473" s="62"/>
      <c r="K473" s="61" t="s">
        <v>510</v>
      </c>
      <c r="W473" s="213">
        <v>473</v>
      </c>
      <c r="X473" s="214">
        <v>9</v>
      </c>
    </row>
    <row r="474" spans="1:24" x14ac:dyDescent="0.25">
      <c r="A474" s="63" t="s">
        <v>0</v>
      </c>
      <c r="B474" s="64" t="s">
        <v>32</v>
      </c>
      <c r="C474" s="63" t="s">
        <v>1873</v>
      </c>
      <c r="D474" s="63" t="s">
        <v>50</v>
      </c>
      <c r="E474" s="63" t="s">
        <v>1874</v>
      </c>
      <c r="F474" s="63">
        <v>0.41799999999999998</v>
      </c>
      <c r="G474" s="63" t="s">
        <v>8194</v>
      </c>
      <c r="H474" s="65"/>
      <c r="I474" s="65"/>
      <c r="J474" s="65"/>
      <c r="K474" s="63" t="s">
        <v>510</v>
      </c>
      <c r="W474" s="213">
        <v>474</v>
      </c>
      <c r="X474" s="214">
        <v>9</v>
      </c>
    </row>
    <row r="475" spans="1:24" x14ac:dyDescent="0.25">
      <c r="A475" s="61" t="s">
        <v>0</v>
      </c>
      <c r="B475" s="60" t="s">
        <v>32</v>
      </c>
      <c r="C475" s="189" t="s">
        <v>8192</v>
      </c>
      <c r="D475" s="61" t="s">
        <v>626</v>
      </c>
      <c r="E475" s="61" t="s">
        <v>8193</v>
      </c>
      <c r="F475" s="61">
        <v>9.1999999999999998E-2</v>
      </c>
      <c r="G475" s="61" t="s">
        <v>7648</v>
      </c>
      <c r="H475" s="62"/>
      <c r="I475" s="62"/>
      <c r="J475" s="62"/>
      <c r="K475" s="61" t="s">
        <v>510</v>
      </c>
      <c r="W475" s="213">
        <v>475</v>
      </c>
      <c r="X475" s="214">
        <v>9</v>
      </c>
    </row>
    <row r="476" spans="1:24" x14ac:dyDescent="0.25">
      <c r="A476" s="63" t="s">
        <v>0</v>
      </c>
      <c r="B476" s="64" t="s">
        <v>32</v>
      </c>
      <c r="C476" s="139" t="s">
        <v>8195</v>
      </c>
      <c r="D476" s="63" t="s">
        <v>626</v>
      </c>
      <c r="E476" s="63" t="s">
        <v>8200</v>
      </c>
      <c r="F476" s="63">
        <v>0.17799999999999999</v>
      </c>
      <c r="G476" s="63" t="s">
        <v>8205</v>
      </c>
      <c r="H476" s="65"/>
      <c r="I476" s="65"/>
      <c r="J476" s="65"/>
      <c r="K476" s="63" t="s">
        <v>510</v>
      </c>
      <c r="W476" s="213">
        <v>476</v>
      </c>
      <c r="X476" s="214">
        <v>9</v>
      </c>
    </row>
    <row r="477" spans="1:24" x14ac:dyDescent="0.25">
      <c r="A477" s="61" t="s">
        <v>0</v>
      </c>
      <c r="B477" s="60" t="s">
        <v>32</v>
      </c>
      <c r="C477" s="189" t="s">
        <v>8196</v>
      </c>
      <c r="D477" s="61" t="s">
        <v>626</v>
      </c>
      <c r="E477" s="61" t="s">
        <v>8201</v>
      </c>
      <c r="F477" s="61">
        <v>0.107</v>
      </c>
      <c r="G477" s="61" t="s">
        <v>8206</v>
      </c>
      <c r="H477" s="62"/>
      <c r="I477" s="62"/>
      <c r="J477" s="62"/>
      <c r="K477" s="61" t="s">
        <v>510</v>
      </c>
      <c r="W477" s="213">
        <v>477</v>
      </c>
      <c r="X477" s="214">
        <v>9</v>
      </c>
    </row>
    <row r="478" spans="1:24" x14ac:dyDescent="0.25">
      <c r="A478" s="63" t="s">
        <v>0</v>
      </c>
      <c r="B478" s="64" t="s">
        <v>32</v>
      </c>
      <c r="C478" s="139" t="s">
        <v>8197</v>
      </c>
      <c r="D478" s="63" t="s">
        <v>626</v>
      </c>
      <c r="E478" s="63" t="s">
        <v>8202</v>
      </c>
      <c r="F478" s="63">
        <v>0.159</v>
      </c>
      <c r="G478" s="63" t="s">
        <v>8099</v>
      </c>
      <c r="H478" s="65"/>
      <c r="I478" s="65"/>
      <c r="J478" s="65"/>
      <c r="K478" s="63" t="s">
        <v>510</v>
      </c>
      <c r="W478" s="213">
        <v>478</v>
      </c>
      <c r="X478" s="214">
        <v>9</v>
      </c>
    </row>
    <row r="479" spans="1:24" x14ac:dyDescent="0.25">
      <c r="A479" s="61" t="s">
        <v>0</v>
      </c>
      <c r="B479" s="60" t="s">
        <v>32</v>
      </c>
      <c r="C479" s="189" t="s">
        <v>8198</v>
      </c>
      <c r="D479" s="61" t="s">
        <v>626</v>
      </c>
      <c r="E479" s="61" t="s">
        <v>8203</v>
      </c>
      <c r="F479" s="61">
        <v>0.48799999999999999</v>
      </c>
      <c r="G479" s="61" t="s">
        <v>8207</v>
      </c>
      <c r="H479" s="62"/>
      <c r="I479" s="62"/>
      <c r="J479" s="62"/>
      <c r="K479" s="61" t="s">
        <v>510</v>
      </c>
      <c r="W479" s="213">
        <v>479</v>
      </c>
      <c r="X479" s="214">
        <v>9</v>
      </c>
    </row>
    <row r="480" spans="1:24" x14ac:dyDescent="0.25">
      <c r="A480" s="63" t="s">
        <v>0</v>
      </c>
      <c r="B480" s="64" t="s">
        <v>32</v>
      </c>
      <c r="C480" s="139" t="s">
        <v>8199</v>
      </c>
      <c r="D480" s="63" t="s">
        <v>626</v>
      </c>
      <c r="E480" s="63" t="s">
        <v>8204</v>
      </c>
      <c r="F480" s="63">
        <v>7.6999999999999999E-2</v>
      </c>
      <c r="G480" s="63" t="s">
        <v>8208</v>
      </c>
      <c r="H480" s="65"/>
      <c r="I480" s="65"/>
      <c r="J480" s="65"/>
      <c r="K480" s="63" t="s">
        <v>510</v>
      </c>
      <c r="W480" s="213">
        <v>480</v>
      </c>
      <c r="X480" s="214">
        <v>9</v>
      </c>
    </row>
    <row r="481" spans="1:24" x14ac:dyDescent="0.25">
      <c r="A481" s="61" t="s">
        <v>0</v>
      </c>
      <c r="B481" s="60" t="s">
        <v>32</v>
      </c>
      <c r="C481" s="59" t="s">
        <v>1878</v>
      </c>
      <c r="D481" s="61" t="s">
        <v>1879</v>
      </c>
      <c r="E481" s="61" t="s">
        <v>1880</v>
      </c>
      <c r="F481" s="61">
        <v>0.52900000000000003</v>
      </c>
      <c r="G481" s="61" t="s">
        <v>1881</v>
      </c>
      <c r="H481" s="62"/>
      <c r="I481" s="62"/>
      <c r="J481" s="62"/>
      <c r="K481" s="61" t="s">
        <v>510</v>
      </c>
      <c r="W481" s="213">
        <v>481</v>
      </c>
      <c r="X481" s="214">
        <v>9</v>
      </c>
    </row>
    <row r="482" spans="1:24" x14ac:dyDescent="0.25">
      <c r="A482" s="63" t="s">
        <v>0</v>
      </c>
      <c r="B482" s="64" t="s">
        <v>32</v>
      </c>
      <c r="C482" s="139" t="s">
        <v>8209</v>
      </c>
      <c r="D482" s="63" t="s">
        <v>626</v>
      </c>
      <c r="E482" s="63" t="s">
        <v>8212</v>
      </c>
      <c r="F482" s="63">
        <v>0.27600000000000002</v>
      </c>
      <c r="G482" s="63" t="s">
        <v>811</v>
      </c>
      <c r="H482" s="65"/>
      <c r="I482" s="65"/>
      <c r="J482" s="65"/>
      <c r="K482" s="63" t="s">
        <v>510</v>
      </c>
      <c r="W482" s="213">
        <v>482</v>
      </c>
      <c r="X482" s="214">
        <v>9</v>
      </c>
    </row>
    <row r="483" spans="1:24" x14ac:dyDescent="0.25">
      <c r="A483" s="61" t="s">
        <v>0</v>
      </c>
      <c r="B483" s="60" t="s">
        <v>32</v>
      </c>
      <c r="C483" s="189" t="s">
        <v>8210</v>
      </c>
      <c r="D483" s="61" t="s">
        <v>626</v>
      </c>
      <c r="E483" s="61" t="s">
        <v>8211</v>
      </c>
      <c r="F483" s="61">
        <v>0.18</v>
      </c>
      <c r="G483" s="61" t="s">
        <v>8213</v>
      </c>
      <c r="H483" s="62"/>
      <c r="I483" s="62"/>
      <c r="J483" s="62"/>
      <c r="K483" s="61" t="s">
        <v>510</v>
      </c>
      <c r="W483" s="213">
        <v>483</v>
      </c>
      <c r="X483" s="214">
        <v>9</v>
      </c>
    </row>
    <row r="484" spans="1:24" x14ac:dyDescent="0.25">
      <c r="A484" s="63" t="s">
        <v>0</v>
      </c>
      <c r="B484" s="64" t="s">
        <v>32</v>
      </c>
      <c r="C484" s="139" t="s">
        <v>7676</v>
      </c>
      <c r="D484" s="63" t="s">
        <v>626</v>
      </c>
      <c r="E484" s="63" t="s">
        <v>7677</v>
      </c>
      <c r="F484" s="63">
        <v>7.1999999999999995E-2</v>
      </c>
      <c r="G484" s="63" t="s">
        <v>7678</v>
      </c>
      <c r="H484" s="65"/>
      <c r="I484" s="65"/>
      <c r="J484" s="65"/>
      <c r="K484" s="63" t="s">
        <v>510</v>
      </c>
      <c r="W484" s="213">
        <v>484</v>
      </c>
      <c r="X484" s="214">
        <v>9</v>
      </c>
    </row>
    <row r="485" spans="1:24" x14ac:dyDescent="0.25">
      <c r="A485" s="61" t="s">
        <v>0</v>
      </c>
      <c r="B485" s="60" t="s">
        <v>32</v>
      </c>
      <c r="C485" s="189" t="s">
        <v>7679</v>
      </c>
      <c r="D485" s="61" t="s">
        <v>626</v>
      </c>
      <c r="E485" s="61" t="s">
        <v>7680</v>
      </c>
      <c r="F485" s="61">
        <v>0.152</v>
      </c>
      <c r="G485" s="61" t="s">
        <v>7681</v>
      </c>
      <c r="H485" s="62"/>
      <c r="I485" s="62"/>
      <c r="J485" s="62"/>
      <c r="K485" s="61" t="s">
        <v>510</v>
      </c>
      <c r="W485" s="213">
        <v>485</v>
      </c>
      <c r="X485" s="214">
        <v>9</v>
      </c>
    </row>
    <row r="486" spans="1:24" x14ac:dyDescent="0.25">
      <c r="A486" s="63" t="s">
        <v>0</v>
      </c>
      <c r="B486" s="64" t="s">
        <v>32</v>
      </c>
      <c r="C486" s="63" t="s">
        <v>1875</v>
      </c>
      <c r="D486" s="63" t="s">
        <v>50</v>
      </c>
      <c r="E486" s="63" t="s">
        <v>1876</v>
      </c>
      <c r="F486" s="63">
        <v>0.108</v>
      </c>
      <c r="G486" s="63" t="s">
        <v>1877</v>
      </c>
      <c r="H486" s="65"/>
      <c r="I486" s="65"/>
      <c r="J486" s="65"/>
      <c r="K486" s="63" t="s">
        <v>510</v>
      </c>
      <c r="W486" s="213">
        <v>486</v>
      </c>
      <c r="X486" s="214">
        <v>9</v>
      </c>
    </row>
    <row r="487" spans="1:24" x14ac:dyDescent="0.25">
      <c r="A487" s="61" t="s">
        <v>0</v>
      </c>
      <c r="B487" s="60" t="s">
        <v>32</v>
      </c>
      <c r="C487" s="189" t="s">
        <v>7682</v>
      </c>
      <c r="D487" s="61" t="s">
        <v>626</v>
      </c>
      <c r="E487" s="61" t="s">
        <v>7683</v>
      </c>
      <c r="F487" s="61">
        <v>0.40799999999999997</v>
      </c>
      <c r="G487" s="61" t="s">
        <v>7684</v>
      </c>
      <c r="H487" s="62"/>
      <c r="I487" s="62"/>
      <c r="J487" s="62"/>
      <c r="K487" s="61" t="s">
        <v>510</v>
      </c>
      <c r="W487" s="213">
        <v>487</v>
      </c>
      <c r="X487" s="214">
        <v>9</v>
      </c>
    </row>
    <row r="488" spans="1:24" x14ac:dyDescent="0.25">
      <c r="A488" s="63" t="s">
        <v>0</v>
      </c>
      <c r="B488" s="64" t="s">
        <v>32</v>
      </c>
      <c r="C488" s="139" t="s">
        <v>8214</v>
      </c>
      <c r="D488" s="63" t="s">
        <v>50</v>
      </c>
      <c r="E488" s="63" t="s">
        <v>8216</v>
      </c>
      <c r="F488" s="63">
        <v>0.27600000000000002</v>
      </c>
      <c r="G488" s="63" t="s">
        <v>7678</v>
      </c>
      <c r="H488" s="65"/>
      <c r="I488" s="65"/>
      <c r="J488" s="65"/>
      <c r="K488" s="63" t="s">
        <v>510</v>
      </c>
      <c r="W488" s="213">
        <v>488</v>
      </c>
      <c r="X488" s="214">
        <v>9</v>
      </c>
    </row>
    <row r="489" spans="1:24" x14ac:dyDescent="0.25">
      <c r="A489" s="61" t="s">
        <v>0</v>
      </c>
      <c r="B489" s="60" t="s">
        <v>32</v>
      </c>
      <c r="C489" s="189" t="s">
        <v>8215</v>
      </c>
      <c r="D489" s="61" t="s">
        <v>626</v>
      </c>
      <c r="E489" s="61" t="s">
        <v>8217</v>
      </c>
      <c r="F489" s="61">
        <v>0.13300000000000001</v>
      </c>
      <c r="G489" s="61" t="s">
        <v>8144</v>
      </c>
      <c r="H489" s="62"/>
      <c r="I489" s="62"/>
      <c r="J489" s="62"/>
      <c r="K489" s="61" t="s">
        <v>510</v>
      </c>
      <c r="W489" s="213">
        <v>489</v>
      </c>
      <c r="X489" s="214">
        <v>9</v>
      </c>
    </row>
    <row r="490" spans="1:24" x14ac:dyDescent="0.25">
      <c r="A490" s="63" t="s">
        <v>0</v>
      </c>
      <c r="B490" s="64" t="s">
        <v>32</v>
      </c>
      <c r="C490" s="139" t="s">
        <v>7685</v>
      </c>
      <c r="D490" s="63" t="s">
        <v>626</v>
      </c>
      <c r="E490" s="63" t="s">
        <v>7686</v>
      </c>
      <c r="F490" s="63">
        <v>3.7999999999999999E-2</v>
      </c>
      <c r="G490" s="63" t="s">
        <v>3133</v>
      </c>
      <c r="H490" s="65"/>
      <c r="I490" s="65"/>
      <c r="J490" s="65"/>
      <c r="K490" s="63" t="s">
        <v>510</v>
      </c>
      <c r="W490" s="213">
        <v>490</v>
      </c>
      <c r="X490" s="214">
        <v>9</v>
      </c>
    </row>
    <row r="491" spans="1:24" x14ac:dyDescent="0.25">
      <c r="A491" s="61" t="s">
        <v>0</v>
      </c>
      <c r="B491" s="60" t="s">
        <v>32</v>
      </c>
      <c r="C491" s="189" t="s">
        <v>7687</v>
      </c>
      <c r="D491" s="61" t="s">
        <v>626</v>
      </c>
      <c r="E491" s="61" t="s">
        <v>7688</v>
      </c>
      <c r="F491" s="61">
        <v>0.30099999999999999</v>
      </c>
      <c r="G491" s="61" t="s">
        <v>6764</v>
      </c>
      <c r="H491" s="62"/>
      <c r="I491" s="62"/>
      <c r="J491" s="62"/>
      <c r="K491" s="61" t="s">
        <v>510</v>
      </c>
      <c r="W491" s="213">
        <v>491</v>
      </c>
      <c r="X491" s="214">
        <v>9</v>
      </c>
    </row>
    <row r="492" spans="1:24" x14ac:dyDescent="0.25">
      <c r="A492" s="63" t="s">
        <v>0</v>
      </c>
      <c r="B492" s="64" t="s">
        <v>32</v>
      </c>
      <c r="C492" s="139" t="s">
        <v>8218</v>
      </c>
      <c r="D492" s="63" t="s">
        <v>626</v>
      </c>
      <c r="E492" s="63" t="s">
        <v>8220</v>
      </c>
      <c r="F492" s="63">
        <v>8.4000000000000005E-2</v>
      </c>
      <c r="G492" s="63" t="s">
        <v>8222</v>
      </c>
      <c r="H492" s="65"/>
      <c r="I492" s="65"/>
      <c r="J492" s="65"/>
      <c r="K492" s="63" t="s">
        <v>510</v>
      </c>
      <c r="W492" s="213">
        <v>492</v>
      </c>
      <c r="X492" s="214">
        <v>9</v>
      </c>
    </row>
    <row r="493" spans="1:24" x14ac:dyDescent="0.25">
      <c r="A493" s="61" t="s">
        <v>0</v>
      </c>
      <c r="B493" s="60" t="s">
        <v>32</v>
      </c>
      <c r="C493" s="189" t="s">
        <v>8219</v>
      </c>
      <c r="D493" s="61" t="s">
        <v>626</v>
      </c>
      <c r="E493" s="61" t="s">
        <v>8221</v>
      </c>
      <c r="F493" s="61">
        <v>0.26300000000000001</v>
      </c>
      <c r="G493" s="61" t="s">
        <v>8223</v>
      </c>
      <c r="H493" s="62"/>
      <c r="I493" s="62"/>
      <c r="J493" s="62"/>
      <c r="K493" s="61" t="s">
        <v>510</v>
      </c>
      <c r="W493" s="213">
        <v>493</v>
      </c>
      <c r="X493" s="214">
        <v>9</v>
      </c>
    </row>
    <row r="494" spans="1:24" x14ac:dyDescent="0.25">
      <c r="A494" s="63" t="s">
        <v>0</v>
      </c>
      <c r="B494" s="64" t="s">
        <v>32</v>
      </c>
      <c r="C494" s="139" t="s">
        <v>7689</v>
      </c>
      <c r="D494" s="63" t="s">
        <v>626</v>
      </c>
      <c r="E494" s="63" t="s">
        <v>7690</v>
      </c>
      <c r="F494" s="63">
        <v>0.12</v>
      </c>
      <c r="G494" s="63" t="s">
        <v>7691</v>
      </c>
      <c r="H494" s="65"/>
      <c r="I494" s="65"/>
      <c r="J494" s="65"/>
      <c r="K494" s="63" t="s">
        <v>510</v>
      </c>
      <c r="W494" s="213">
        <v>494</v>
      </c>
      <c r="X494" s="214">
        <v>9</v>
      </c>
    </row>
    <row r="495" spans="1:24" x14ac:dyDescent="0.25">
      <c r="A495" s="61" t="s">
        <v>0</v>
      </c>
      <c r="B495" s="60" t="s">
        <v>32</v>
      </c>
      <c r="C495" s="61" t="s">
        <v>1887</v>
      </c>
      <c r="D495" s="61" t="s">
        <v>50</v>
      </c>
      <c r="E495" s="61" t="s">
        <v>1888</v>
      </c>
      <c r="F495" s="61">
        <v>0.32600000000000001</v>
      </c>
      <c r="G495" s="61" t="s">
        <v>1889</v>
      </c>
      <c r="H495" s="62"/>
      <c r="I495" s="62"/>
      <c r="J495" s="62"/>
      <c r="K495" s="61" t="s">
        <v>510</v>
      </c>
      <c r="W495" s="213">
        <v>495</v>
      </c>
      <c r="X495" s="214">
        <v>9</v>
      </c>
    </row>
    <row r="496" spans="1:24" x14ac:dyDescent="0.25">
      <c r="A496" s="63" t="s">
        <v>0</v>
      </c>
      <c r="B496" s="64" t="s">
        <v>32</v>
      </c>
      <c r="C496" s="139" t="s">
        <v>8224</v>
      </c>
      <c r="D496" s="63" t="s">
        <v>626</v>
      </c>
      <c r="E496" s="63" t="s">
        <v>8225</v>
      </c>
      <c r="F496" s="63">
        <v>0.35199999999999998</v>
      </c>
      <c r="G496" s="63" t="s">
        <v>8226</v>
      </c>
      <c r="H496" s="65"/>
      <c r="I496" s="65"/>
      <c r="J496" s="65"/>
      <c r="K496" s="63" t="s">
        <v>510</v>
      </c>
      <c r="W496" s="213">
        <v>496</v>
      </c>
      <c r="X496" s="214">
        <v>9</v>
      </c>
    </row>
    <row r="497" spans="1:24" x14ac:dyDescent="0.25">
      <c r="A497" s="61" t="s">
        <v>0</v>
      </c>
      <c r="B497" s="60" t="s">
        <v>32</v>
      </c>
      <c r="C497" s="59" t="s">
        <v>1882</v>
      </c>
      <c r="D497" s="61" t="s">
        <v>64</v>
      </c>
      <c r="E497" s="61" t="s">
        <v>1883</v>
      </c>
      <c r="F497" s="61">
        <v>0.52800000000000002</v>
      </c>
      <c r="G497" s="61" t="s">
        <v>1868</v>
      </c>
      <c r="H497" s="62"/>
      <c r="I497" s="62"/>
      <c r="J497" s="62"/>
      <c r="K497" s="61" t="s">
        <v>510</v>
      </c>
      <c r="W497" s="213">
        <v>497</v>
      </c>
      <c r="X497" s="214">
        <v>9</v>
      </c>
    </row>
    <row r="498" spans="1:24" x14ac:dyDescent="0.25">
      <c r="A498" s="63" t="s">
        <v>0</v>
      </c>
      <c r="B498" s="64" t="s">
        <v>32</v>
      </c>
      <c r="C498" s="139" t="s">
        <v>7692</v>
      </c>
      <c r="D498" s="63" t="s">
        <v>626</v>
      </c>
      <c r="E498" s="63" t="s">
        <v>7693</v>
      </c>
      <c r="F498" s="63">
        <v>0.495</v>
      </c>
      <c r="G498" s="63" t="s">
        <v>5935</v>
      </c>
      <c r="H498" s="65"/>
      <c r="I498" s="65"/>
      <c r="J498" s="65"/>
      <c r="K498" s="63" t="s">
        <v>510</v>
      </c>
      <c r="W498" s="213">
        <v>498</v>
      </c>
      <c r="X498" s="214">
        <v>9</v>
      </c>
    </row>
    <row r="499" spans="1:24" x14ac:dyDescent="0.25">
      <c r="A499" s="61" t="s">
        <v>0</v>
      </c>
      <c r="B499" s="60" t="s">
        <v>32</v>
      </c>
      <c r="C499" s="189" t="s">
        <v>8227</v>
      </c>
      <c r="D499" s="61" t="s">
        <v>626</v>
      </c>
      <c r="E499" s="61" t="s">
        <v>8228</v>
      </c>
      <c r="F499" s="61">
        <v>0.49299999999999999</v>
      </c>
      <c r="G499" s="61" t="s">
        <v>8229</v>
      </c>
      <c r="H499" s="62"/>
      <c r="I499" s="62"/>
      <c r="J499" s="62"/>
      <c r="K499" s="61" t="s">
        <v>510</v>
      </c>
      <c r="W499" s="213">
        <v>499</v>
      </c>
      <c r="X499" s="214">
        <v>9</v>
      </c>
    </row>
    <row r="500" spans="1:24" x14ac:dyDescent="0.25">
      <c r="A500" s="63" t="s">
        <v>0</v>
      </c>
      <c r="B500" s="64" t="s">
        <v>32</v>
      </c>
      <c r="C500" s="139" t="s">
        <v>7694</v>
      </c>
      <c r="D500" s="63" t="s">
        <v>626</v>
      </c>
      <c r="E500" s="190" t="s">
        <v>7695</v>
      </c>
      <c r="F500" s="63">
        <v>0.157</v>
      </c>
      <c r="G500" s="63" t="s">
        <v>6764</v>
      </c>
      <c r="H500" s="65"/>
      <c r="I500" s="65"/>
      <c r="J500" s="65"/>
      <c r="K500" s="63" t="s">
        <v>510</v>
      </c>
      <c r="W500" s="213">
        <v>500</v>
      </c>
      <c r="X500" s="214">
        <v>9</v>
      </c>
    </row>
    <row r="501" spans="1:24" x14ac:dyDescent="0.25">
      <c r="A501" s="61" t="s">
        <v>0</v>
      </c>
      <c r="B501" s="60" t="s">
        <v>32</v>
      </c>
      <c r="C501" s="189" t="s">
        <v>8230</v>
      </c>
      <c r="D501" s="61" t="s">
        <v>626</v>
      </c>
      <c r="E501" s="191" t="s">
        <v>8237</v>
      </c>
      <c r="F501" s="61">
        <v>0.54900000000000004</v>
      </c>
      <c r="G501" s="61" t="s">
        <v>4601</v>
      </c>
      <c r="H501" s="62"/>
      <c r="I501" s="62"/>
      <c r="J501" s="62"/>
      <c r="K501" s="61" t="s">
        <v>510</v>
      </c>
      <c r="W501" s="213">
        <v>501</v>
      </c>
      <c r="X501" s="214">
        <v>9</v>
      </c>
    </row>
    <row r="502" spans="1:24" x14ac:dyDescent="0.25">
      <c r="A502" s="63" t="s">
        <v>0</v>
      </c>
      <c r="B502" s="64" t="s">
        <v>32</v>
      </c>
      <c r="C502" s="139" t="s">
        <v>8231</v>
      </c>
      <c r="D502" s="63" t="s">
        <v>50</v>
      </c>
      <c r="E502" s="190" t="s">
        <v>8236</v>
      </c>
      <c r="F502" s="63">
        <v>0.249</v>
      </c>
      <c r="G502" s="63" t="s">
        <v>3853</v>
      </c>
      <c r="H502" s="65"/>
      <c r="I502" s="65"/>
      <c r="J502" s="65"/>
      <c r="K502" s="63" t="s">
        <v>510</v>
      </c>
      <c r="W502" s="213">
        <v>502</v>
      </c>
      <c r="X502" s="214">
        <v>9</v>
      </c>
    </row>
    <row r="503" spans="1:24" x14ac:dyDescent="0.25">
      <c r="A503" s="61" t="s">
        <v>0</v>
      </c>
      <c r="B503" s="60" t="s">
        <v>32</v>
      </c>
      <c r="C503" s="189" t="s">
        <v>8232</v>
      </c>
      <c r="D503" s="61" t="s">
        <v>626</v>
      </c>
      <c r="E503" s="191" t="s">
        <v>8235</v>
      </c>
      <c r="F503" s="61">
        <v>0.19</v>
      </c>
      <c r="G503" s="61" t="s">
        <v>8239</v>
      </c>
      <c r="H503" s="62"/>
      <c r="I503" s="62"/>
      <c r="J503" s="62"/>
      <c r="K503" s="61" t="s">
        <v>510</v>
      </c>
      <c r="W503" s="213">
        <v>503</v>
      </c>
      <c r="X503" s="214">
        <v>9</v>
      </c>
    </row>
    <row r="504" spans="1:24" x14ac:dyDescent="0.25">
      <c r="A504" s="63" t="s">
        <v>0</v>
      </c>
      <c r="B504" s="64" t="s">
        <v>32</v>
      </c>
      <c r="C504" s="139" t="s">
        <v>8233</v>
      </c>
      <c r="D504" s="63" t="s">
        <v>626</v>
      </c>
      <c r="E504" s="190" t="s">
        <v>8234</v>
      </c>
      <c r="F504" s="63">
        <v>0.374</v>
      </c>
      <c r="G504" s="63" t="s">
        <v>8238</v>
      </c>
      <c r="H504" s="65"/>
      <c r="I504" s="65"/>
      <c r="J504" s="65"/>
      <c r="K504" s="63" t="s">
        <v>510</v>
      </c>
      <c r="W504" s="213">
        <v>504</v>
      </c>
      <c r="X504" s="214">
        <v>9</v>
      </c>
    </row>
    <row r="505" spans="1:24" x14ac:dyDescent="0.25">
      <c r="A505" s="61" t="s">
        <v>0</v>
      </c>
      <c r="B505" s="60" t="s">
        <v>32</v>
      </c>
      <c r="C505" s="189" t="s">
        <v>7696</v>
      </c>
      <c r="D505" s="61" t="s">
        <v>626</v>
      </c>
      <c r="E505" s="191" t="s">
        <v>7697</v>
      </c>
      <c r="F505" s="61">
        <v>0.22</v>
      </c>
      <c r="G505" s="61" t="s">
        <v>7648</v>
      </c>
      <c r="H505" s="62"/>
      <c r="I505" s="62"/>
      <c r="J505" s="62"/>
      <c r="K505" s="61" t="s">
        <v>510</v>
      </c>
      <c r="W505" s="213">
        <v>505</v>
      </c>
      <c r="X505" s="214">
        <v>9</v>
      </c>
    </row>
    <row r="506" spans="1:24" x14ac:dyDescent="0.25">
      <c r="A506" s="63" t="s">
        <v>0</v>
      </c>
      <c r="B506" s="64" t="s">
        <v>32</v>
      </c>
      <c r="C506" s="63" t="s">
        <v>1884</v>
      </c>
      <c r="D506" s="63" t="s">
        <v>740</v>
      </c>
      <c r="E506" s="63" t="s">
        <v>1885</v>
      </c>
      <c r="F506" s="63">
        <v>0.33300000000000002</v>
      </c>
      <c r="G506" s="63" t="s">
        <v>1886</v>
      </c>
      <c r="H506" s="65"/>
      <c r="I506" s="65"/>
      <c r="J506" s="65"/>
      <c r="K506" s="63" t="s">
        <v>510</v>
      </c>
      <c r="W506" s="213">
        <v>506</v>
      </c>
      <c r="X506" s="214">
        <v>9</v>
      </c>
    </row>
    <row r="507" spans="1:24" x14ac:dyDescent="0.25">
      <c r="A507" s="61" t="s">
        <v>0</v>
      </c>
      <c r="B507" s="60" t="s">
        <v>32</v>
      </c>
      <c r="C507" s="189" t="s">
        <v>8241</v>
      </c>
      <c r="D507" s="61" t="s">
        <v>626</v>
      </c>
      <c r="E507" s="61" t="s">
        <v>8242</v>
      </c>
      <c r="F507" s="61">
        <v>0.53600000000000003</v>
      </c>
      <c r="G507" s="61" t="s">
        <v>8243</v>
      </c>
      <c r="H507" s="62"/>
      <c r="I507" s="62"/>
      <c r="J507" s="62"/>
      <c r="K507" s="61" t="s">
        <v>510</v>
      </c>
      <c r="W507" s="213">
        <v>507</v>
      </c>
      <c r="X507" s="214">
        <v>9</v>
      </c>
    </row>
    <row r="508" spans="1:24" x14ac:dyDescent="0.25">
      <c r="A508" s="63" t="s">
        <v>0</v>
      </c>
      <c r="B508" s="64" t="s">
        <v>32</v>
      </c>
      <c r="C508" s="139" t="s">
        <v>7698</v>
      </c>
      <c r="D508" s="63" t="s">
        <v>50</v>
      </c>
      <c r="E508" s="63" t="s">
        <v>8240</v>
      </c>
      <c r="F508" s="63">
        <v>0.27100000000000002</v>
      </c>
      <c r="G508" s="63" t="s">
        <v>7699</v>
      </c>
      <c r="H508" s="65"/>
      <c r="I508" s="65"/>
      <c r="J508" s="65"/>
      <c r="K508" s="63" t="s">
        <v>510</v>
      </c>
      <c r="W508" s="213">
        <v>508</v>
      </c>
      <c r="X508" s="214">
        <v>9</v>
      </c>
    </row>
    <row r="509" spans="1:24" x14ac:dyDescent="0.25">
      <c r="A509" s="61" t="s">
        <v>0</v>
      </c>
      <c r="B509" s="60" t="s">
        <v>32</v>
      </c>
      <c r="C509" s="189" t="s">
        <v>8244</v>
      </c>
      <c r="D509" s="61" t="s">
        <v>626</v>
      </c>
      <c r="E509" s="61" t="s">
        <v>8245</v>
      </c>
      <c r="F509" s="61">
        <v>0.56499999999999995</v>
      </c>
      <c r="G509" s="61" t="s">
        <v>8246</v>
      </c>
      <c r="H509" s="62"/>
      <c r="I509" s="62"/>
      <c r="J509" s="62"/>
      <c r="K509" s="61" t="s">
        <v>510</v>
      </c>
      <c r="W509" s="213">
        <v>509</v>
      </c>
      <c r="X509" s="214">
        <v>9</v>
      </c>
    </row>
    <row r="510" spans="1:24" x14ac:dyDescent="0.25">
      <c r="A510" s="63" t="s">
        <v>0</v>
      </c>
      <c r="B510" s="64" t="s">
        <v>32</v>
      </c>
      <c r="C510" s="139" t="s">
        <v>7700</v>
      </c>
      <c r="D510" s="63" t="s">
        <v>626</v>
      </c>
      <c r="E510" s="63" t="s">
        <v>7701</v>
      </c>
      <c r="F510" s="63">
        <v>0.16900000000000001</v>
      </c>
      <c r="G510" s="63" t="s">
        <v>1950</v>
      </c>
      <c r="H510" s="65"/>
      <c r="I510" s="65"/>
      <c r="J510" s="65"/>
      <c r="K510" s="63" t="s">
        <v>510</v>
      </c>
      <c r="W510" s="213">
        <v>510</v>
      </c>
      <c r="X510" s="214">
        <v>9</v>
      </c>
    </row>
    <row r="511" spans="1:24" x14ac:dyDescent="0.25">
      <c r="A511" s="61" t="s">
        <v>0</v>
      </c>
      <c r="B511" s="60" t="s">
        <v>32</v>
      </c>
      <c r="C511" s="189" t="s">
        <v>8247</v>
      </c>
      <c r="D511" s="61" t="s">
        <v>626</v>
      </c>
      <c r="E511" s="61" t="s">
        <v>8252</v>
      </c>
      <c r="F511" s="61">
        <v>0.57699999999999996</v>
      </c>
      <c r="G511" s="61" t="s">
        <v>8208</v>
      </c>
      <c r="H511" s="62"/>
      <c r="I511" s="62"/>
      <c r="J511" s="62"/>
      <c r="K511" s="61" t="s">
        <v>510</v>
      </c>
      <c r="W511" s="213">
        <v>511</v>
      </c>
      <c r="X511" s="214">
        <v>9</v>
      </c>
    </row>
    <row r="512" spans="1:24" x14ac:dyDescent="0.25">
      <c r="A512" s="63" t="s">
        <v>0</v>
      </c>
      <c r="B512" s="64" t="s">
        <v>32</v>
      </c>
      <c r="C512" s="139" t="s">
        <v>8248</v>
      </c>
      <c r="D512" s="63" t="s">
        <v>626</v>
      </c>
      <c r="E512" s="63" t="s">
        <v>8251</v>
      </c>
      <c r="F512" s="63">
        <v>0.30299999999999999</v>
      </c>
      <c r="G512" s="63" t="s">
        <v>5841</v>
      </c>
      <c r="H512" s="65"/>
      <c r="I512" s="65"/>
      <c r="J512" s="65"/>
      <c r="K512" s="63" t="s">
        <v>510</v>
      </c>
      <c r="W512" s="213">
        <v>512</v>
      </c>
      <c r="X512" s="214">
        <v>9</v>
      </c>
    </row>
    <row r="513" spans="1:24" x14ac:dyDescent="0.25">
      <c r="A513" s="61" t="s">
        <v>0</v>
      </c>
      <c r="B513" s="60" t="s">
        <v>32</v>
      </c>
      <c r="C513" s="189" t="s">
        <v>8249</v>
      </c>
      <c r="D513" s="61" t="s">
        <v>626</v>
      </c>
      <c r="E513" s="61" t="s">
        <v>8250</v>
      </c>
      <c r="F513" s="61">
        <v>0.182</v>
      </c>
      <c r="G513" s="61" t="s">
        <v>4290</v>
      </c>
      <c r="H513" s="62"/>
      <c r="I513" s="62"/>
      <c r="J513" s="62"/>
      <c r="K513" s="61" t="s">
        <v>510</v>
      </c>
      <c r="W513" s="213">
        <v>513</v>
      </c>
      <c r="X513" s="214">
        <v>9</v>
      </c>
    </row>
    <row r="514" spans="1:24" x14ac:dyDescent="0.25">
      <c r="A514" s="63" t="s">
        <v>0</v>
      </c>
      <c r="B514" s="64" t="s">
        <v>32</v>
      </c>
      <c r="C514" s="63" t="s">
        <v>1890</v>
      </c>
      <c r="D514" s="63" t="s">
        <v>740</v>
      </c>
      <c r="E514" s="63" t="s">
        <v>1891</v>
      </c>
      <c r="F514" s="63">
        <v>0.21</v>
      </c>
      <c r="G514" s="63" t="s">
        <v>1892</v>
      </c>
      <c r="H514" s="65"/>
      <c r="I514" s="65"/>
      <c r="J514" s="65"/>
      <c r="K514" s="63" t="s">
        <v>510</v>
      </c>
      <c r="W514" s="213">
        <v>514</v>
      </c>
      <c r="X514" s="214">
        <v>9</v>
      </c>
    </row>
    <row r="515" spans="1:24" x14ac:dyDescent="0.25">
      <c r="A515" s="61" t="s">
        <v>0</v>
      </c>
      <c r="B515" s="60" t="s">
        <v>32</v>
      </c>
      <c r="C515" s="189" t="s">
        <v>8253</v>
      </c>
      <c r="D515" s="61" t="s">
        <v>626</v>
      </c>
      <c r="E515" s="61" t="s">
        <v>8256</v>
      </c>
      <c r="F515" s="61">
        <v>0.248</v>
      </c>
      <c r="G515" s="61" t="s">
        <v>7849</v>
      </c>
      <c r="H515" s="62"/>
      <c r="I515" s="62"/>
      <c r="J515" s="62"/>
      <c r="K515" s="61" t="s">
        <v>510</v>
      </c>
      <c r="W515" s="213">
        <v>515</v>
      </c>
      <c r="X515" s="214">
        <v>9</v>
      </c>
    </row>
    <row r="516" spans="1:24" x14ac:dyDescent="0.25">
      <c r="A516" s="63" t="s">
        <v>0</v>
      </c>
      <c r="B516" s="64" t="s">
        <v>32</v>
      </c>
      <c r="C516" s="139" t="s">
        <v>1893</v>
      </c>
      <c r="D516" s="63" t="s">
        <v>626</v>
      </c>
      <c r="E516" s="63" t="s">
        <v>1894</v>
      </c>
      <c r="F516" s="63">
        <v>8.1000000000000003E-2</v>
      </c>
      <c r="G516" s="63" t="s">
        <v>1895</v>
      </c>
      <c r="H516" s="65"/>
      <c r="I516" s="65"/>
      <c r="J516" s="65"/>
      <c r="K516" s="63" t="s">
        <v>510</v>
      </c>
      <c r="W516" s="213">
        <v>516</v>
      </c>
      <c r="X516" s="214">
        <v>9</v>
      </c>
    </row>
    <row r="517" spans="1:24" x14ac:dyDescent="0.25">
      <c r="A517" s="61" t="s">
        <v>0</v>
      </c>
      <c r="B517" s="60" t="s">
        <v>32</v>
      </c>
      <c r="C517" s="189" t="s">
        <v>8254</v>
      </c>
      <c r="D517" s="61" t="s">
        <v>626</v>
      </c>
      <c r="E517" s="61" t="s">
        <v>8255</v>
      </c>
      <c r="F517" s="61">
        <v>0.28899999999999998</v>
      </c>
      <c r="G517" s="61" t="s">
        <v>3511</v>
      </c>
      <c r="H517" s="62"/>
      <c r="I517" s="62"/>
      <c r="J517" s="62"/>
      <c r="K517" s="61" t="s">
        <v>510</v>
      </c>
      <c r="W517" s="213">
        <v>517</v>
      </c>
      <c r="X517" s="214">
        <v>9</v>
      </c>
    </row>
    <row r="518" spans="1:24" x14ac:dyDescent="0.25">
      <c r="A518" s="63" t="s">
        <v>0</v>
      </c>
      <c r="B518" s="64" t="s">
        <v>32</v>
      </c>
      <c r="C518" s="139" t="s">
        <v>8257</v>
      </c>
      <c r="D518" s="63" t="s">
        <v>626</v>
      </c>
      <c r="E518" s="63" t="s">
        <v>8258</v>
      </c>
      <c r="F518" s="63">
        <v>0.35</v>
      </c>
      <c r="G518" s="63" t="s">
        <v>4865</v>
      </c>
      <c r="H518" s="65"/>
      <c r="I518" s="65"/>
      <c r="J518" s="65"/>
      <c r="K518" s="63" t="s">
        <v>510</v>
      </c>
      <c r="W518" s="213">
        <v>518</v>
      </c>
      <c r="X518" s="214">
        <v>9</v>
      </c>
    </row>
    <row r="519" spans="1:24" x14ac:dyDescent="0.25">
      <c r="A519" s="61" t="s">
        <v>0</v>
      </c>
      <c r="B519" s="60" t="s">
        <v>32</v>
      </c>
      <c r="C519" s="61" t="s">
        <v>1899</v>
      </c>
      <c r="D519" s="61" t="s">
        <v>626</v>
      </c>
      <c r="E519" s="61" t="s">
        <v>1900</v>
      </c>
      <c r="F519" s="61">
        <v>0.216</v>
      </c>
      <c r="G519" s="61" t="s">
        <v>1901</v>
      </c>
      <c r="H519" s="62"/>
      <c r="I519" s="62"/>
      <c r="J519" s="62"/>
      <c r="K519" s="61" t="s">
        <v>510</v>
      </c>
      <c r="W519" s="213">
        <v>519</v>
      </c>
      <c r="X519" s="214">
        <v>9</v>
      </c>
    </row>
    <row r="520" spans="1:24" x14ac:dyDescent="0.25">
      <c r="A520" s="63" t="s">
        <v>0</v>
      </c>
      <c r="B520" s="64" t="s">
        <v>32</v>
      </c>
      <c r="C520" s="139" t="s">
        <v>8259</v>
      </c>
      <c r="D520" s="63" t="s">
        <v>626</v>
      </c>
      <c r="E520" s="63" t="s">
        <v>8260</v>
      </c>
      <c r="F520" s="63">
        <v>0.307</v>
      </c>
      <c r="G520" s="63" t="s">
        <v>8261</v>
      </c>
      <c r="H520" s="65"/>
      <c r="I520" s="65"/>
      <c r="J520" s="65"/>
      <c r="K520" s="63" t="s">
        <v>510</v>
      </c>
      <c r="W520" s="213">
        <v>520</v>
      </c>
      <c r="X520" s="214">
        <v>9</v>
      </c>
    </row>
    <row r="521" spans="1:24" x14ac:dyDescent="0.25">
      <c r="A521" s="61" t="s">
        <v>0</v>
      </c>
      <c r="B521" s="60" t="s">
        <v>32</v>
      </c>
      <c r="C521" s="189" t="s">
        <v>7702</v>
      </c>
      <c r="D521" s="61" t="s">
        <v>626</v>
      </c>
      <c r="E521" s="61" t="s">
        <v>7703</v>
      </c>
      <c r="F521" s="61">
        <v>0.432</v>
      </c>
      <c r="G521" s="61" t="s">
        <v>7704</v>
      </c>
      <c r="H521" s="62"/>
      <c r="I521" s="62"/>
      <c r="J521" s="62"/>
      <c r="K521" s="61" t="s">
        <v>510</v>
      </c>
      <c r="W521" s="213">
        <v>521</v>
      </c>
      <c r="X521" s="214">
        <v>9</v>
      </c>
    </row>
    <row r="522" spans="1:24" x14ac:dyDescent="0.25">
      <c r="A522" s="63" t="s">
        <v>0</v>
      </c>
      <c r="B522" s="64" t="s">
        <v>32</v>
      </c>
      <c r="C522" s="139" t="s">
        <v>7705</v>
      </c>
      <c r="D522" s="63" t="s">
        <v>626</v>
      </c>
      <c r="E522" s="63" t="s">
        <v>7706</v>
      </c>
      <c r="F522" s="63">
        <v>0.151</v>
      </c>
      <c r="G522" s="63" t="s">
        <v>7707</v>
      </c>
      <c r="H522" s="65"/>
      <c r="I522" s="65"/>
      <c r="J522" s="65"/>
      <c r="K522" s="63" t="s">
        <v>510</v>
      </c>
      <c r="W522" s="213">
        <v>522</v>
      </c>
      <c r="X522" s="214">
        <v>9</v>
      </c>
    </row>
    <row r="523" spans="1:24" x14ac:dyDescent="0.25">
      <c r="A523" s="61" t="s">
        <v>0</v>
      </c>
      <c r="B523" s="60" t="s">
        <v>32</v>
      </c>
      <c r="C523" s="189" t="s">
        <v>7708</v>
      </c>
      <c r="D523" s="61" t="s">
        <v>626</v>
      </c>
      <c r="E523" s="61" t="s">
        <v>7709</v>
      </c>
      <c r="F523" s="61">
        <v>0.216</v>
      </c>
      <c r="G523" s="61" t="s">
        <v>5841</v>
      </c>
      <c r="H523" s="62"/>
      <c r="I523" s="62"/>
      <c r="J523" s="62"/>
      <c r="K523" s="61" t="s">
        <v>510</v>
      </c>
      <c r="W523" s="213">
        <v>523</v>
      </c>
      <c r="X523" s="214">
        <v>9</v>
      </c>
    </row>
    <row r="524" spans="1:24" x14ac:dyDescent="0.25">
      <c r="A524" s="63" t="s">
        <v>0</v>
      </c>
      <c r="B524" s="64" t="s">
        <v>32</v>
      </c>
      <c r="C524" s="139" t="s">
        <v>8262</v>
      </c>
      <c r="D524" s="63" t="s">
        <v>626</v>
      </c>
      <c r="E524" s="63" t="s">
        <v>8267</v>
      </c>
      <c r="F524" s="63">
        <v>0.28100000000000003</v>
      </c>
      <c r="G524" s="63" t="s">
        <v>8269</v>
      </c>
      <c r="H524" s="65"/>
      <c r="I524" s="65"/>
      <c r="J524" s="65"/>
      <c r="K524" s="63" t="s">
        <v>510</v>
      </c>
      <c r="W524" s="213">
        <v>524</v>
      </c>
      <c r="X524" s="214">
        <v>9</v>
      </c>
    </row>
    <row r="525" spans="1:24" x14ac:dyDescent="0.25">
      <c r="A525" s="61" t="s">
        <v>0</v>
      </c>
      <c r="B525" s="60" t="s">
        <v>32</v>
      </c>
      <c r="C525" s="189" t="s">
        <v>8263</v>
      </c>
      <c r="D525" s="61" t="s">
        <v>626</v>
      </c>
      <c r="E525" s="61" t="s">
        <v>8266</v>
      </c>
      <c r="F525" s="61">
        <v>0.26200000000000001</v>
      </c>
      <c r="G525" s="61" t="s">
        <v>8172</v>
      </c>
      <c r="H525" s="62"/>
      <c r="I525" s="62"/>
      <c r="J525" s="62"/>
      <c r="K525" s="61" t="s">
        <v>510</v>
      </c>
      <c r="W525" s="213">
        <v>525</v>
      </c>
      <c r="X525" s="214">
        <v>9</v>
      </c>
    </row>
    <row r="526" spans="1:24" x14ac:dyDescent="0.25">
      <c r="A526" s="63" t="s">
        <v>0</v>
      </c>
      <c r="B526" s="64" t="s">
        <v>32</v>
      </c>
      <c r="C526" s="139" t="s">
        <v>8264</v>
      </c>
      <c r="D526" s="63" t="s">
        <v>626</v>
      </c>
      <c r="E526" s="63" t="s">
        <v>8265</v>
      </c>
      <c r="F526" s="63">
        <v>0.14000000000000001</v>
      </c>
      <c r="G526" s="63" t="s">
        <v>8268</v>
      </c>
      <c r="H526" s="65"/>
      <c r="I526" s="65"/>
      <c r="J526" s="65"/>
      <c r="K526" s="63" t="s">
        <v>510</v>
      </c>
      <c r="W526" s="213">
        <v>526</v>
      </c>
      <c r="X526" s="214">
        <v>9</v>
      </c>
    </row>
    <row r="527" spans="1:24" x14ac:dyDescent="0.25">
      <c r="A527" s="61" t="s">
        <v>0</v>
      </c>
      <c r="B527" s="60" t="s">
        <v>32</v>
      </c>
      <c r="C527" s="61" t="s">
        <v>7710</v>
      </c>
      <c r="D527" s="61" t="s">
        <v>626</v>
      </c>
      <c r="E527" s="61" t="s">
        <v>7711</v>
      </c>
      <c r="F527" s="61">
        <v>0.20399999999999999</v>
      </c>
      <c r="G527" s="61" t="s">
        <v>7712</v>
      </c>
      <c r="H527" s="62"/>
      <c r="I527" s="62"/>
      <c r="J527" s="62"/>
      <c r="K527" s="61" t="s">
        <v>510</v>
      </c>
      <c r="W527" s="213">
        <v>527</v>
      </c>
      <c r="X527" s="214">
        <v>9</v>
      </c>
    </row>
    <row r="528" spans="1:24" x14ac:dyDescent="0.25">
      <c r="A528" s="63" t="s">
        <v>0</v>
      </c>
      <c r="B528" s="64" t="s">
        <v>32</v>
      </c>
      <c r="C528" s="63" t="s">
        <v>1902</v>
      </c>
      <c r="D528" s="63" t="s">
        <v>740</v>
      </c>
      <c r="E528" s="63" t="s">
        <v>1903</v>
      </c>
      <c r="F528" s="63">
        <v>0.29899999999999999</v>
      </c>
      <c r="G528" s="63" t="s">
        <v>1904</v>
      </c>
      <c r="H528" s="65"/>
      <c r="I528" s="65"/>
      <c r="J528" s="65"/>
      <c r="K528" s="63" t="s">
        <v>510</v>
      </c>
      <c r="W528" s="213">
        <v>528</v>
      </c>
      <c r="X528" s="214">
        <v>9</v>
      </c>
    </row>
    <row r="529" spans="1:24" x14ac:dyDescent="0.25">
      <c r="A529" s="61" t="s">
        <v>0</v>
      </c>
      <c r="B529" s="60" t="s">
        <v>32</v>
      </c>
      <c r="C529" s="189" t="s">
        <v>8270</v>
      </c>
      <c r="D529" s="61" t="s">
        <v>626</v>
      </c>
      <c r="E529" s="61" t="s">
        <v>8271</v>
      </c>
      <c r="F529" s="61">
        <v>0.434</v>
      </c>
      <c r="G529" s="61" t="s">
        <v>8272</v>
      </c>
      <c r="H529" s="62"/>
      <c r="I529" s="62"/>
      <c r="J529" s="62"/>
      <c r="K529" s="61" t="s">
        <v>510</v>
      </c>
      <c r="W529" s="213">
        <v>529</v>
      </c>
      <c r="X529" s="214">
        <v>9</v>
      </c>
    </row>
    <row r="530" spans="1:24" x14ac:dyDescent="0.25">
      <c r="A530" s="63" t="s">
        <v>0</v>
      </c>
      <c r="B530" s="64" t="s">
        <v>32</v>
      </c>
      <c r="C530" s="63" t="s">
        <v>1896</v>
      </c>
      <c r="D530" s="63" t="s">
        <v>50</v>
      </c>
      <c r="E530" s="63" t="s">
        <v>1897</v>
      </c>
      <c r="F530" s="63">
        <v>0.14199999999999999</v>
      </c>
      <c r="G530" s="63" t="s">
        <v>1898</v>
      </c>
      <c r="H530" s="65"/>
      <c r="I530" s="65"/>
      <c r="J530" s="65"/>
      <c r="K530" s="63" t="s">
        <v>510</v>
      </c>
      <c r="W530" s="213">
        <v>530</v>
      </c>
      <c r="X530" s="214">
        <v>9</v>
      </c>
    </row>
    <row r="531" spans="1:24" x14ac:dyDescent="0.25">
      <c r="A531" s="61" t="s">
        <v>0</v>
      </c>
      <c r="B531" s="60" t="s">
        <v>32</v>
      </c>
      <c r="C531" s="189" t="s">
        <v>1908</v>
      </c>
      <c r="D531" s="61" t="s">
        <v>50</v>
      </c>
      <c r="E531" s="61" t="s">
        <v>1909</v>
      </c>
      <c r="F531" s="61">
        <v>0.14299999999999999</v>
      </c>
      <c r="G531" s="61" t="s">
        <v>1910</v>
      </c>
      <c r="H531" s="62"/>
      <c r="I531" s="62"/>
      <c r="J531" s="62"/>
      <c r="K531" s="61" t="s">
        <v>510</v>
      </c>
      <c r="W531" s="213">
        <v>531</v>
      </c>
      <c r="X531" s="214">
        <v>9</v>
      </c>
    </row>
    <row r="532" spans="1:24" x14ac:dyDescent="0.25">
      <c r="A532" s="63" t="s">
        <v>0</v>
      </c>
      <c r="B532" s="64" t="s">
        <v>32</v>
      </c>
      <c r="C532" s="139" t="s">
        <v>8273</v>
      </c>
      <c r="D532" s="63" t="s">
        <v>626</v>
      </c>
      <c r="E532" s="63" t="s">
        <v>8274</v>
      </c>
      <c r="F532" s="63">
        <v>5.8999999999999997E-2</v>
      </c>
      <c r="G532" s="63" t="s">
        <v>8275</v>
      </c>
      <c r="H532" s="65"/>
      <c r="I532" s="65"/>
      <c r="J532" s="65"/>
      <c r="K532" s="63" t="s">
        <v>510</v>
      </c>
      <c r="W532" s="213">
        <v>532</v>
      </c>
      <c r="X532" s="214">
        <v>9</v>
      </c>
    </row>
    <row r="533" spans="1:24" x14ac:dyDescent="0.25">
      <c r="A533" s="61" t="s">
        <v>0</v>
      </c>
      <c r="B533" s="60" t="s">
        <v>32</v>
      </c>
      <c r="C533" s="61" t="s">
        <v>1905</v>
      </c>
      <c r="D533" s="61" t="s">
        <v>740</v>
      </c>
      <c r="E533" s="61" t="s">
        <v>1906</v>
      </c>
      <c r="F533" s="61">
        <v>0.114</v>
      </c>
      <c r="G533" s="61" t="s">
        <v>1907</v>
      </c>
      <c r="H533" s="62"/>
      <c r="I533" s="62"/>
      <c r="J533" s="62"/>
      <c r="K533" s="61" t="s">
        <v>510</v>
      </c>
      <c r="W533" s="213">
        <v>533</v>
      </c>
      <c r="X533" s="214">
        <v>9</v>
      </c>
    </row>
    <row r="534" spans="1:24" x14ac:dyDescent="0.25">
      <c r="A534" s="63" t="s">
        <v>0</v>
      </c>
      <c r="B534" s="64" t="s">
        <v>32</v>
      </c>
      <c r="C534" s="139" t="s">
        <v>7713</v>
      </c>
      <c r="D534" s="63" t="s">
        <v>50</v>
      </c>
      <c r="E534" s="63" t="s">
        <v>7714</v>
      </c>
      <c r="F534" s="63">
        <v>0.129</v>
      </c>
      <c r="G534" s="63" t="s">
        <v>7715</v>
      </c>
      <c r="H534" s="65"/>
      <c r="I534" s="65"/>
      <c r="J534" s="65"/>
      <c r="K534" s="63" t="s">
        <v>510</v>
      </c>
      <c r="W534" s="213">
        <v>534</v>
      </c>
      <c r="X534" s="214">
        <v>9</v>
      </c>
    </row>
    <row r="535" spans="1:24" x14ac:dyDescent="0.25">
      <c r="A535" s="61" t="s">
        <v>0</v>
      </c>
      <c r="B535" s="60" t="s">
        <v>32</v>
      </c>
      <c r="C535" s="189" t="s">
        <v>8276</v>
      </c>
      <c r="D535" s="61" t="s">
        <v>626</v>
      </c>
      <c r="E535" s="61" t="s">
        <v>8277</v>
      </c>
      <c r="F535" s="61">
        <v>0.28000000000000003</v>
      </c>
      <c r="G535" s="61" t="s">
        <v>5183</v>
      </c>
      <c r="H535" s="62"/>
      <c r="I535" s="62"/>
      <c r="J535" s="62"/>
      <c r="K535" s="61" t="s">
        <v>510</v>
      </c>
      <c r="W535" s="213">
        <v>535</v>
      </c>
      <c r="X535" s="214">
        <v>9</v>
      </c>
    </row>
    <row r="536" spans="1:24" x14ac:dyDescent="0.25">
      <c r="A536" s="63" t="s">
        <v>0</v>
      </c>
      <c r="B536" s="64" t="s">
        <v>32</v>
      </c>
      <c r="C536" s="139" t="s">
        <v>7716</v>
      </c>
      <c r="D536" s="63" t="s">
        <v>626</v>
      </c>
      <c r="E536" s="63" t="s">
        <v>7717</v>
      </c>
      <c r="F536" s="63">
        <v>0.54200000000000004</v>
      </c>
      <c r="G536" s="63" t="s">
        <v>1868</v>
      </c>
      <c r="H536" s="65"/>
      <c r="I536" s="65"/>
      <c r="J536" s="65"/>
      <c r="K536" s="63" t="s">
        <v>510</v>
      </c>
      <c r="W536" s="213">
        <v>536</v>
      </c>
      <c r="X536" s="214">
        <v>9</v>
      </c>
    </row>
    <row r="537" spans="1:24" x14ac:dyDescent="0.25">
      <c r="A537" s="61" t="s">
        <v>0</v>
      </c>
      <c r="B537" s="60" t="s">
        <v>32</v>
      </c>
      <c r="C537" s="189" t="s">
        <v>7718</v>
      </c>
      <c r="D537" s="61" t="s">
        <v>626</v>
      </c>
      <c r="E537" s="61" t="s">
        <v>7719</v>
      </c>
      <c r="F537" s="61">
        <v>0.55100000000000005</v>
      </c>
      <c r="G537" s="61" t="s">
        <v>7540</v>
      </c>
      <c r="H537" s="62"/>
      <c r="I537" s="62"/>
      <c r="J537" s="62"/>
      <c r="K537" s="61" t="s">
        <v>510</v>
      </c>
      <c r="W537" s="213">
        <v>537</v>
      </c>
      <c r="X537" s="214">
        <v>9</v>
      </c>
    </row>
    <row r="538" spans="1:24" x14ac:dyDescent="0.25">
      <c r="A538" s="63" t="s">
        <v>0</v>
      </c>
      <c r="B538" s="64" t="s">
        <v>32</v>
      </c>
      <c r="C538" s="63" t="s">
        <v>1911</v>
      </c>
      <c r="D538" s="63" t="s">
        <v>50</v>
      </c>
      <c r="E538" s="63" t="s">
        <v>1912</v>
      </c>
      <c r="F538" s="63">
        <v>0.375</v>
      </c>
      <c r="G538" s="63" t="s">
        <v>1913</v>
      </c>
      <c r="H538" s="65"/>
      <c r="I538" s="65"/>
      <c r="J538" s="65"/>
      <c r="K538" s="63" t="s">
        <v>510</v>
      </c>
      <c r="W538" s="213">
        <v>538</v>
      </c>
      <c r="X538" s="214">
        <v>9</v>
      </c>
    </row>
    <row r="539" spans="1:24" x14ac:dyDescent="0.25">
      <c r="A539" s="61" t="s">
        <v>0</v>
      </c>
      <c r="B539" s="60" t="s">
        <v>32</v>
      </c>
      <c r="C539" s="189" t="s">
        <v>7723</v>
      </c>
      <c r="D539" s="61" t="s">
        <v>626</v>
      </c>
      <c r="E539" s="61" t="s">
        <v>7724</v>
      </c>
      <c r="F539" s="61">
        <v>0.14299999999999999</v>
      </c>
      <c r="G539" s="61" t="s">
        <v>7725</v>
      </c>
      <c r="H539" s="62"/>
      <c r="I539" s="62"/>
      <c r="J539" s="62"/>
      <c r="K539" s="61" t="s">
        <v>510</v>
      </c>
      <c r="W539" s="213">
        <v>539</v>
      </c>
      <c r="X539" s="214">
        <v>9</v>
      </c>
    </row>
    <row r="540" spans="1:24" x14ac:dyDescent="0.25">
      <c r="A540" s="63" t="s">
        <v>0</v>
      </c>
      <c r="B540" s="64" t="s">
        <v>32</v>
      </c>
      <c r="C540" s="63" t="s">
        <v>1914</v>
      </c>
      <c r="D540" s="63" t="s">
        <v>50</v>
      </c>
      <c r="E540" s="63" t="s">
        <v>1915</v>
      </c>
      <c r="F540" s="63">
        <v>0.12</v>
      </c>
      <c r="G540" s="63" t="s">
        <v>1916</v>
      </c>
      <c r="H540" s="65"/>
      <c r="I540" s="65"/>
      <c r="J540" s="65"/>
      <c r="K540" s="63" t="s">
        <v>510</v>
      </c>
      <c r="W540" s="213">
        <v>540</v>
      </c>
      <c r="X540" s="214">
        <v>9</v>
      </c>
    </row>
    <row r="541" spans="1:24" x14ac:dyDescent="0.25">
      <c r="A541" s="61" t="s">
        <v>0</v>
      </c>
      <c r="B541" s="60" t="s">
        <v>32</v>
      </c>
      <c r="C541" s="189" t="s">
        <v>8278</v>
      </c>
      <c r="D541" s="61" t="s">
        <v>626</v>
      </c>
      <c r="E541" s="61" t="s">
        <v>8280</v>
      </c>
      <c r="F541" s="61">
        <v>8.8999999999999996E-2</v>
      </c>
      <c r="G541" s="61" t="s">
        <v>1651</v>
      </c>
      <c r="H541" s="62"/>
      <c r="I541" s="62"/>
      <c r="J541" s="62"/>
      <c r="K541" s="61" t="s">
        <v>510</v>
      </c>
      <c r="W541" s="213">
        <v>541</v>
      </c>
      <c r="X541" s="214">
        <v>9</v>
      </c>
    </row>
    <row r="542" spans="1:24" x14ac:dyDescent="0.25">
      <c r="A542" s="63" t="s">
        <v>0</v>
      </c>
      <c r="B542" s="64" t="s">
        <v>32</v>
      </c>
      <c r="C542" s="139" t="s">
        <v>8279</v>
      </c>
      <c r="D542" s="63" t="s">
        <v>626</v>
      </c>
      <c r="E542" s="63" t="s">
        <v>8281</v>
      </c>
      <c r="F542" s="63">
        <v>0.65200000000000002</v>
      </c>
      <c r="G542" s="63" t="s">
        <v>8282</v>
      </c>
      <c r="H542" s="65"/>
      <c r="I542" s="65"/>
      <c r="J542" s="65"/>
      <c r="K542" s="63" t="s">
        <v>510</v>
      </c>
      <c r="W542" s="213">
        <v>542</v>
      </c>
      <c r="X542" s="214">
        <v>9</v>
      </c>
    </row>
    <row r="543" spans="1:24" x14ac:dyDescent="0.25">
      <c r="A543" s="61" t="s">
        <v>0</v>
      </c>
      <c r="B543" s="60" t="s">
        <v>32</v>
      </c>
      <c r="C543" s="189" t="s">
        <v>7720</v>
      </c>
      <c r="D543" s="61" t="s">
        <v>626</v>
      </c>
      <c r="E543" s="61" t="s">
        <v>7721</v>
      </c>
      <c r="F543" s="61">
        <v>0.16500000000000001</v>
      </c>
      <c r="G543" s="61" t="s">
        <v>7722</v>
      </c>
      <c r="H543" s="62"/>
      <c r="I543" s="62"/>
      <c r="J543" s="62"/>
      <c r="K543" s="61" t="s">
        <v>510</v>
      </c>
      <c r="W543" s="213">
        <v>543</v>
      </c>
      <c r="X543" s="214">
        <v>9</v>
      </c>
    </row>
    <row r="544" spans="1:24" x14ac:dyDescent="0.25">
      <c r="A544" s="63" t="s">
        <v>0</v>
      </c>
      <c r="B544" s="64" t="s">
        <v>32</v>
      </c>
      <c r="C544" s="139" t="s">
        <v>7726</v>
      </c>
      <c r="D544" s="63" t="s">
        <v>50</v>
      </c>
      <c r="E544" s="63" t="s">
        <v>7727</v>
      </c>
      <c r="F544" s="63">
        <v>0.371</v>
      </c>
      <c r="G544" s="63" t="s">
        <v>7728</v>
      </c>
      <c r="H544" s="65"/>
      <c r="I544" s="65"/>
      <c r="J544" s="65"/>
      <c r="K544" s="63" t="s">
        <v>510</v>
      </c>
      <c r="W544" s="213">
        <v>544</v>
      </c>
      <c r="X544" s="214">
        <v>9</v>
      </c>
    </row>
    <row r="545" spans="1:24" x14ac:dyDescent="0.25">
      <c r="A545" s="61" t="s">
        <v>0</v>
      </c>
      <c r="B545" s="60" t="s">
        <v>32</v>
      </c>
      <c r="C545" s="189" t="s">
        <v>8283</v>
      </c>
      <c r="D545" s="61" t="s">
        <v>626</v>
      </c>
      <c r="E545" s="61" t="s">
        <v>8287</v>
      </c>
      <c r="F545" s="61">
        <v>0.57499999999999996</v>
      </c>
      <c r="G545" s="61" t="s">
        <v>7798</v>
      </c>
      <c r="H545" s="62"/>
      <c r="I545" s="62"/>
      <c r="J545" s="62"/>
      <c r="K545" s="61" t="s">
        <v>510</v>
      </c>
      <c r="W545" s="213">
        <v>545</v>
      </c>
      <c r="X545" s="214">
        <v>9</v>
      </c>
    </row>
    <row r="546" spans="1:24" x14ac:dyDescent="0.25">
      <c r="A546" s="63" t="s">
        <v>0</v>
      </c>
      <c r="B546" s="64" t="s">
        <v>32</v>
      </c>
      <c r="C546" s="139" t="s">
        <v>8284</v>
      </c>
      <c r="D546" s="63" t="s">
        <v>626</v>
      </c>
      <c r="E546" s="63" t="s">
        <v>8288</v>
      </c>
      <c r="F546" s="63">
        <v>0.215</v>
      </c>
      <c r="G546" s="63" t="s">
        <v>8291</v>
      </c>
      <c r="H546" s="65"/>
      <c r="I546" s="65"/>
      <c r="J546" s="65"/>
      <c r="K546" s="63" t="s">
        <v>510</v>
      </c>
      <c r="W546" s="213">
        <v>546</v>
      </c>
      <c r="X546" s="214">
        <v>9</v>
      </c>
    </row>
    <row r="547" spans="1:24" x14ac:dyDescent="0.25">
      <c r="A547" s="61" t="s">
        <v>0</v>
      </c>
      <c r="B547" s="60" t="s">
        <v>32</v>
      </c>
      <c r="C547" s="189" t="s">
        <v>8285</v>
      </c>
      <c r="D547" s="61" t="s">
        <v>626</v>
      </c>
      <c r="E547" s="61" t="s">
        <v>8289</v>
      </c>
      <c r="F547" s="61">
        <v>0.30599999999999999</v>
      </c>
      <c r="G547" s="61" t="s">
        <v>7754</v>
      </c>
      <c r="H547" s="62"/>
      <c r="I547" s="62"/>
      <c r="J547" s="62"/>
      <c r="K547" s="61" t="s">
        <v>510</v>
      </c>
      <c r="W547" s="213">
        <v>547</v>
      </c>
      <c r="X547" s="214">
        <v>9</v>
      </c>
    </row>
    <row r="548" spans="1:24" x14ac:dyDescent="0.25">
      <c r="A548" s="63" t="s">
        <v>0</v>
      </c>
      <c r="B548" s="64" t="s">
        <v>32</v>
      </c>
      <c r="C548" s="139" t="s">
        <v>8286</v>
      </c>
      <c r="D548" s="63" t="s">
        <v>626</v>
      </c>
      <c r="E548" s="63" t="s">
        <v>8290</v>
      </c>
      <c r="F548" s="63">
        <v>0.161</v>
      </c>
      <c r="G548" s="63" t="s">
        <v>7672</v>
      </c>
      <c r="H548" s="65"/>
      <c r="I548" s="65"/>
      <c r="J548" s="65"/>
      <c r="K548" s="63" t="s">
        <v>510</v>
      </c>
      <c r="W548" s="213">
        <v>548</v>
      </c>
      <c r="X548" s="214">
        <v>9</v>
      </c>
    </row>
    <row r="549" spans="1:24" x14ac:dyDescent="0.25">
      <c r="A549" s="61" t="s">
        <v>0</v>
      </c>
      <c r="B549" s="60" t="s">
        <v>32</v>
      </c>
      <c r="C549" s="189" t="s">
        <v>7729</v>
      </c>
      <c r="D549" s="61" t="s">
        <v>626</v>
      </c>
      <c r="E549" s="61" t="s">
        <v>7730</v>
      </c>
      <c r="F549" s="61">
        <v>0.313</v>
      </c>
      <c r="G549" s="61" t="s">
        <v>7593</v>
      </c>
      <c r="H549" s="62"/>
      <c r="I549" s="62"/>
      <c r="J549" s="62"/>
      <c r="K549" s="61" t="s">
        <v>510</v>
      </c>
      <c r="W549" s="213">
        <v>549</v>
      </c>
      <c r="X549" s="214">
        <v>9</v>
      </c>
    </row>
    <row r="550" spans="1:24" x14ac:dyDescent="0.25">
      <c r="A550" s="63" t="s">
        <v>0</v>
      </c>
      <c r="B550" s="64" t="s">
        <v>32</v>
      </c>
      <c r="C550" s="139" t="s">
        <v>8292</v>
      </c>
      <c r="D550" s="63" t="s">
        <v>626</v>
      </c>
      <c r="E550" s="63" t="s">
        <v>8295</v>
      </c>
      <c r="F550" s="63">
        <v>0.40400000000000003</v>
      </c>
      <c r="G550" s="63" t="s">
        <v>8298</v>
      </c>
      <c r="H550" s="65"/>
      <c r="I550" s="65"/>
      <c r="J550" s="65"/>
      <c r="K550" s="63" t="s">
        <v>510</v>
      </c>
      <c r="W550" s="213">
        <v>550</v>
      </c>
      <c r="X550" s="214">
        <v>9</v>
      </c>
    </row>
    <row r="551" spans="1:24" x14ac:dyDescent="0.25">
      <c r="A551" s="61" t="s">
        <v>0</v>
      </c>
      <c r="B551" s="60" t="s">
        <v>32</v>
      </c>
      <c r="C551" s="189" t="s">
        <v>8293</v>
      </c>
      <c r="D551" s="61" t="s">
        <v>626</v>
      </c>
      <c r="E551" s="61" t="s">
        <v>8296</v>
      </c>
      <c r="F551" s="61">
        <v>2.1999999999999999E-2</v>
      </c>
      <c r="G551" s="61" t="s">
        <v>8238</v>
      </c>
      <c r="H551" s="62"/>
      <c r="I551" s="62"/>
      <c r="J551" s="62"/>
      <c r="K551" s="61" t="s">
        <v>510</v>
      </c>
      <c r="W551" s="213">
        <v>551</v>
      </c>
      <c r="X551" s="214">
        <v>9</v>
      </c>
    </row>
    <row r="552" spans="1:24" x14ac:dyDescent="0.25">
      <c r="A552" s="63" t="s">
        <v>0</v>
      </c>
      <c r="B552" s="64" t="s">
        <v>32</v>
      </c>
      <c r="C552" s="139" t="s">
        <v>8294</v>
      </c>
      <c r="D552" s="63" t="s">
        <v>626</v>
      </c>
      <c r="E552" s="63" t="s">
        <v>8297</v>
      </c>
      <c r="F552" s="63">
        <v>0.14099999999999999</v>
      </c>
      <c r="G552" s="63" t="s">
        <v>8134</v>
      </c>
      <c r="H552" s="65"/>
      <c r="I552" s="65"/>
      <c r="J552" s="65"/>
      <c r="K552" s="63" t="s">
        <v>510</v>
      </c>
      <c r="W552" s="213">
        <v>552</v>
      </c>
      <c r="X552" s="214">
        <v>9</v>
      </c>
    </row>
    <row r="553" spans="1:24" x14ac:dyDescent="0.25">
      <c r="A553" s="61" t="s">
        <v>0</v>
      </c>
      <c r="B553" s="60" t="s">
        <v>32</v>
      </c>
      <c r="C553" s="189" t="s">
        <v>7731</v>
      </c>
      <c r="D553" s="61" t="s">
        <v>626</v>
      </c>
      <c r="E553" s="61" t="s">
        <v>7732</v>
      </c>
      <c r="F553" s="61">
        <v>0.36</v>
      </c>
      <c r="G553" s="61" t="s">
        <v>7733</v>
      </c>
      <c r="H553" s="62"/>
      <c r="I553" s="62"/>
      <c r="J553" s="62"/>
      <c r="K553" s="61" t="s">
        <v>510</v>
      </c>
      <c r="W553" s="213">
        <v>553</v>
      </c>
      <c r="X553" s="214">
        <v>9</v>
      </c>
    </row>
    <row r="554" spans="1:24" x14ac:dyDescent="0.25">
      <c r="A554" s="63" t="s">
        <v>0</v>
      </c>
      <c r="B554" s="64" t="s">
        <v>32</v>
      </c>
      <c r="C554" s="139" t="s">
        <v>7734</v>
      </c>
      <c r="D554" s="63" t="s">
        <v>626</v>
      </c>
      <c r="E554" s="63" t="s">
        <v>7735</v>
      </c>
      <c r="F554" s="63">
        <v>0.23200000000000001</v>
      </c>
      <c r="G554" s="63" t="s">
        <v>7736</v>
      </c>
      <c r="H554" s="65"/>
      <c r="I554" s="65"/>
      <c r="J554" s="65"/>
      <c r="K554" s="63" t="s">
        <v>510</v>
      </c>
      <c r="W554" s="213">
        <v>554</v>
      </c>
      <c r="X554" s="214">
        <v>9</v>
      </c>
    </row>
    <row r="555" spans="1:24" x14ac:dyDescent="0.25">
      <c r="A555" s="61" t="s">
        <v>0</v>
      </c>
      <c r="B555" s="60" t="s">
        <v>32</v>
      </c>
      <c r="C555" s="189" t="s">
        <v>7737</v>
      </c>
      <c r="D555" s="61" t="s">
        <v>626</v>
      </c>
      <c r="E555" s="61" t="s">
        <v>7738</v>
      </c>
      <c r="F555" s="61">
        <v>0.311</v>
      </c>
      <c r="G555" s="61" t="s">
        <v>7739</v>
      </c>
      <c r="H555" s="62"/>
      <c r="I555" s="62"/>
      <c r="J555" s="62"/>
      <c r="K555" s="61" t="s">
        <v>510</v>
      </c>
      <c r="W555" s="213">
        <v>555</v>
      </c>
      <c r="X555" s="214">
        <v>9</v>
      </c>
    </row>
    <row r="556" spans="1:24" x14ac:dyDescent="0.25">
      <c r="A556" s="63" t="s">
        <v>0</v>
      </c>
      <c r="B556" s="64" t="s">
        <v>32</v>
      </c>
      <c r="C556" s="63" t="s">
        <v>1923</v>
      </c>
      <c r="D556" s="63" t="s">
        <v>740</v>
      </c>
      <c r="E556" s="63" t="s">
        <v>1924</v>
      </c>
      <c r="F556" s="63">
        <v>0.46100000000000002</v>
      </c>
      <c r="G556" s="63" t="s">
        <v>1925</v>
      </c>
      <c r="H556" s="65"/>
      <c r="I556" s="65"/>
      <c r="J556" s="65"/>
      <c r="K556" s="63" t="s">
        <v>510</v>
      </c>
      <c r="W556" s="213">
        <v>556</v>
      </c>
      <c r="X556" s="214">
        <v>9</v>
      </c>
    </row>
    <row r="557" spans="1:24" x14ac:dyDescent="0.25">
      <c r="A557" s="61" t="s">
        <v>0</v>
      </c>
      <c r="B557" s="60" t="s">
        <v>32</v>
      </c>
      <c r="C557" s="189" t="s">
        <v>7740</v>
      </c>
      <c r="D557" s="61" t="s">
        <v>626</v>
      </c>
      <c r="E557" s="61" t="s">
        <v>7741</v>
      </c>
      <c r="F557" s="61">
        <v>0.433</v>
      </c>
      <c r="G557" s="61" t="s">
        <v>7742</v>
      </c>
      <c r="H557" s="62"/>
      <c r="I557" s="62"/>
      <c r="J557" s="62"/>
      <c r="K557" s="61" t="s">
        <v>510</v>
      </c>
      <c r="W557" s="213">
        <v>557</v>
      </c>
      <c r="X557" s="214">
        <v>9</v>
      </c>
    </row>
    <row r="558" spans="1:24" x14ac:dyDescent="0.25">
      <c r="A558" s="63" t="s">
        <v>0</v>
      </c>
      <c r="B558" s="64" t="s">
        <v>32</v>
      </c>
      <c r="C558" s="63" t="s">
        <v>7746</v>
      </c>
      <c r="D558" s="63" t="s">
        <v>626</v>
      </c>
      <c r="E558" s="63" t="s">
        <v>7747</v>
      </c>
      <c r="F558" s="63">
        <v>0.25700000000000001</v>
      </c>
      <c r="G558" s="63" t="s">
        <v>7748</v>
      </c>
      <c r="H558" s="65"/>
      <c r="I558" s="65"/>
      <c r="J558" s="65"/>
      <c r="K558" s="63" t="s">
        <v>510</v>
      </c>
      <c r="W558" s="213">
        <v>558</v>
      </c>
      <c r="X558" s="214">
        <v>9</v>
      </c>
    </row>
    <row r="559" spans="1:24" x14ac:dyDescent="0.25">
      <c r="A559" s="61" t="s">
        <v>0</v>
      </c>
      <c r="B559" s="60" t="s">
        <v>32</v>
      </c>
      <c r="C559" s="61" t="s">
        <v>1917</v>
      </c>
      <c r="D559" s="61" t="s">
        <v>626</v>
      </c>
      <c r="E559" s="61" t="s">
        <v>1918</v>
      </c>
      <c r="F559" s="61">
        <v>0.20599999999999999</v>
      </c>
      <c r="G559" s="61" t="s">
        <v>1919</v>
      </c>
      <c r="H559" s="62"/>
      <c r="I559" s="62"/>
      <c r="J559" s="62"/>
      <c r="K559" s="61" t="s">
        <v>510</v>
      </c>
      <c r="W559" s="213">
        <v>559</v>
      </c>
      <c r="X559" s="214">
        <v>9</v>
      </c>
    </row>
    <row r="560" spans="1:24" x14ac:dyDescent="0.25">
      <c r="A560" s="63" t="s">
        <v>0</v>
      </c>
      <c r="B560" s="64" t="s">
        <v>32</v>
      </c>
      <c r="C560" s="63" t="s">
        <v>7755</v>
      </c>
      <c r="D560" s="63" t="s">
        <v>626</v>
      </c>
      <c r="E560" s="63" t="s">
        <v>7756</v>
      </c>
      <c r="F560" s="63">
        <v>0.113</v>
      </c>
      <c r="G560" s="63" t="s">
        <v>7757</v>
      </c>
      <c r="H560" s="65"/>
      <c r="I560" s="65"/>
      <c r="J560" s="65"/>
      <c r="K560" s="63" t="s">
        <v>510</v>
      </c>
      <c r="W560" s="213">
        <v>560</v>
      </c>
      <c r="X560" s="214">
        <v>9</v>
      </c>
    </row>
    <row r="561" spans="1:24" x14ac:dyDescent="0.25">
      <c r="A561" s="61" t="s">
        <v>0</v>
      </c>
      <c r="B561" s="60" t="s">
        <v>32</v>
      </c>
      <c r="C561" s="189" t="s">
        <v>8299</v>
      </c>
      <c r="D561" s="61" t="s">
        <v>649</v>
      </c>
      <c r="E561" s="61" t="s">
        <v>8300</v>
      </c>
      <c r="F561" s="61">
        <v>3.6999999999999998E-2</v>
      </c>
      <c r="G561" s="61" t="s">
        <v>8144</v>
      </c>
      <c r="H561" s="62"/>
      <c r="I561" s="62"/>
      <c r="J561" s="62"/>
      <c r="K561" s="61" t="s">
        <v>510</v>
      </c>
      <c r="W561" s="213">
        <v>561</v>
      </c>
      <c r="X561" s="214">
        <v>9</v>
      </c>
    </row>
    <row r="562" spans="1:24" x14ac:dyDescent="0.25">
      <c r="A562" s="63" t="s">
        <v>0</v>
      </c>
      <c r="B562" s="64" t="s">
        <v>32</v>
      </c>
      <c r="C562" s="63" t="s">
        <v>1920</v>
      </c>
      <c r="D562" s="63" t="s">
        <v>740</v>
      </c>
      <c r="E562" s="63" t="s">
        <v>1921</v>
      </c>
      <c r="F562" s="63">
        <v>0.47</v>
      </c>
      <c r="G562" s="63" t="s">
        <v>1922</v>
      </c>
      <c r="H562" s="65"/>
      <c r="I562" s="65"/>
      <c r="J562" s="65"/>
      <c r="K562" s="63" t="s">
        <v>510</v>
      </c>
      <c r="W562" s="213">
        <v>562</v>
      </c>
      <c r="X562" s="214">
        <v>9</v>
      </c>
    </row>
    <row r="563" spans="1:24" x14ac:dyDescent="0.25">
      <c r="A563" s="61" t="s">
        <v>0</v>
      </c>
      <c r="B563" s="60" t="s">
        <v>32</v>
      </c>
      <c r="C563" s="189" t="s">
        <v>7743</v>
      </c>
      <c r="D563" s="61" t="s">
        <v>626</v>
      </c>
      <c r="E563" s="61" t="s">
        <v>7744</v>
      </c>
      <c r="F563" s="61">
        <v>0.249</v>
      </c>
      <c r="G563" s="61" t="s">
        <v>7745</v>
      </c>
      <c r="H563" s="62"/>
      <c r="I563" s="62"/>
      <c r="J563" s="62"/>
      <c r="K563" s="61" t="s">
        <v>510</v>
      </c>
      <c r="W563" s="213">
        <v>563</v>
      </c>
      <c r="X563" s="214">
        <v>9</v>
      </c>
    </row>
    <row r="564" spans="1:24" x14ac:dyDescent="0.25">
      <c r="A564" s="63" t="s">
        <v>0</v>
      </c>
      <c r="B564" s="64" t="s">
        <v>32</v>
      </c>
      <c r="C564" s="63" t="s">
        <v>7761</v>
      </c>
      <c r="D564" s="63" t="s">
        <v>626</v>
      </c>
      <c r="E564" s="63" t="s">
        <v>7762</v>
      </c>
      <c r="F564" s="63">
        <v>0.45700000000000002</v>
      </c>
      <c r="G564" s="63" t="s">
        <v>7667</v>
      </c>
      <c r="H564" s="65"/>
      <c r="I564" s="65"/>
      <c r="J564" s="65"/>
      <c r="K564" s="63" t="s">
        <v>510</v>
      </c>
      <c r="W564" s="213">
        <v>564</v>
      </c>
      <c r="X564" s="214">
        <v>9</v>
      </c>
    </row>
    <row r="565" spans="1:24" x14ac:dyDescent="0.25">
      <c r="A565" s="61" t="s">
        <v>0</v>
      </c>
      <c r="B565" s="60" t="s">
        <v>32</v>
      </c>
      <c r="C565" s="189" t="s">
        <v>8301</v>
      </c>
      <c r="D565" s="61" t="s">
        <v>626</v>
      </c>
      <c r="E565" s="61" t="s">
        <v>8302</v>
      </c>
      <c r="F565" s="61">
        <v>0.23</v>
      </c>
      <c r="G565" s="61" t="s">
        <v>8303</v>
      </c>
      <c r="H565" s="62"/>
      <c r="I565" s="62"/>
      <c r="J565" s="62"/>
      <c r="K565" s="61" t="s">
        <v>510</v>
      </c>
      <c r="W565" s="213">
        <v>565</v>
      </c>
      <c r="X565" s="214">
        <v>9</v>
      </c>
    </row>
    <row r="566" spans="1:24" x14ac:dyDescent="0.25">
      <c r="A566" s="63" t="s">
        <v>0</v>
      </c>
      <c r="B566" s="64" t="s">
        <v>32</v>
      </c>
      <c r="C566" s="139" t="s">
        <v>7749</v>
      </c>
      <c r="D566" s="63" t="s">
        <v>626</v>
      </c>
      <c r="E566" s="63" t="s">
        <v>7750</v>
      </c>
      <c r="F566" s="63">
        <v>0.51300000000000001</v>
      </c>
      <c r="G566" s="63" t="s">
        <v>7751</v>
      </c>
      <c r="H566" s="65"/>
      <c r="I566" s="65"/>
      <c r="J566" s="65"/>
      <c r="K566" s="63" t="s">
        <v>510</v>
      </c>
      <c r="W566" s="213">
        <v>566</v>
      </c>
      <c r="X566" s="214">
        <v>9</v>
      </c>
    </row>
    <row r="567" spans="1:24" x14ac:dyDescent="0.25">
      <c r="A567" s="61" t="s">
        <v>0</v>
      </c>
      <c r="B567" s="60" t="s">
        <v>32</v>
      </c>
      <c r="C567" s="189" t="s">
        <v>7752</v>
      </c>
      <c r="D567" s="61" t="s">
        <v>626</v>
      </c>
      <c r="E567" s="61" t="s">
        <v>7753</v>
      </c>
      <c r="F567" s="61">
        <v>0.248</v>
      </c>
      <c r="G567" s="61" t="s">
        <v>7754</v>
      </c>
      <c r="H567" s="62"/>
      <c r="I567" s="62"/>
      <c r="J567" s="62"/>
      <c r="K567" s="61" t="s">
        <v>510</v>
      </c>
      <c r="W567" s="213">
        <v>567</v>
      </c>
      <c r="X567" s="214">
        <v>9</v>
      </c>
    </row>
    <row r="568" spans="1:24" x14ac:dyDescent="0.25">
      <c r="A568" s="63" t="s">
        <v>0</v>
      </c>
      <c r="B568" s="64" t="s">
        <v>32</v>
      </c>
      <c r="C568" s="139" t="s">
        <v>8304</v>
      </c>
      <c r="D568" s="63" t="s">
        <v>626</v>
      </c>
      <c r="E568" s="63" t="s">
        <v>8305</v>
      </c>
      <c r="F568" s="63">
        <v>0.182</v>
      </c>
      <c r="G568" s="63" t="s">
        <v>1944</v>
      </c>
      <c r="H568" s="65"/>
      <c r="I568" s="65"/>
      <c r="J568" s="65"/>
      <c r="K568" s="63" t="s">
        <v>510</v>
      </c>
      <c r="W568" s="213">
        <v>568</v>
      </c>
      <c r="X568" s="214">
        <v>9</v>
      </c>
    </row>
    <row r="569" spans="1:24" x14ac:dyDescent="0.25">
      <c r="A569" s="61" t="s">
        <v>0</v>
      </c>
      <c r="B569" s="60" t="s">
        <v>32</v>
      </c>
      <c r="C569" s="61" t="s">
        <v>1926</v>
      </c>
      <c r="D569" s="61" t="s">
        <v>626</v>
      </c>
      <c r="E569" s="61" t="s">
        <v>1927</v>
      </c>
      <c r="F569" s="61">
        <v>0.252</v>
      </c>
      <c r="G569" s="61" t="s">
        <v>1928</v>
      </c>
      <c r="H569" s="62"/>
      <c r="I569" s="62"/>
      <c r="J569" s="62"/>
      <c r="K569" s="61" t="s">
        <v>510</v>
      </c>
      <c r="W569" s="213">
        <v>569</v>
      </c>
      <c r="X569" s="214">
        <v>9</v>
      </c>
    </row>
    <row r="570" spans="1:24" x14ac:dyDescent="0.25">
      <c r="A570" s="63" t="s">
        <v>0</v>
      </c>
      <c r="B570" s="64" t="s">
        <v>32</v>
      </c>
      <c r="C570" s="139" t="s">
        <v>8306</v>
      </c>
      <c r="D570" s="63" t="s">
        <v>626</v>
      </c>
      <c r="E570" s="63" t="s">
        <v>8311</v>
      </c>
      <c r="F570" s="63">
        <v>0.316</v>
      </c>
      <c r="G570" s="63" t="s">
        <v>8312</v>
      </c>
      <c r="H570" s="65"/>
      <c r="I570" s="65"/>
      <c r="J570" s="65"/>
      <c r="K570" s="63" t="s">
        <v>510</v>
      </c>
      <c r="W570" s="213">
        <v>570</v>
      </c>
      <c r="X570" s="214">
        <v>9</v>
      </c>
    </row>
    <row r="571" spans="1:24" x14ac:dyDescent="0.25">
      <c r="A571" s="61" t="s">
        <v>0</v>
      </c>
      <c r="B571" s="60" t="s">
        <v>32</v>
      </c>
      <c r="C571" s="189" t="s">
        <v>8307</v>
      </c>
      <c r="D571" s="61" t="s">
        <v>626</v>
      </c>
      <c r="E571" s="61" t="s">
        <v>8310</v>
      </c>
      <c r="F571" s="61">
        <v>0.56999999999999995</v>
      </c>
      <c r="G571" s="61" t="s">
        <v>1892</v>
      </c>
      <c r="H571" s="62"/>
      <c r="I571" s="62"/>
      <c r="J571" s="62"/>
      <c r="K571" s="61" t="s">
        <v>510</v>
      </c>
      <c r="W571" s="213">
        <v>571</v>
      </c>
      <c r="X571" s="214">
        <v>9</v>
      </c>
    </row>
    <row r="572" spans="1:24" x14ac:dyDescent="0.25">
      <c r="A572" s="63" t="s">
        <v>0</v>
      </c>
      <c r="B572" s="64" t="s">
        <v>32</v>
      </c>
      <c r="C572" s="139" t="s">
        <v>8308</v>
      </c>
      <c r="D572" s="63" t="s">
        <v>626</v>
      </c>
      <c r="E572" s="63" t="s">
        <v>8309</v>
      </c>
      <c r="F572" s="63">
        <v>0.124</v>
      </c>
      <c r="G572" s="63" t="s">
        <v>4865</v>
      </c>
      <c r="H572" s="65"/>
      <c r="I572" s="65"/>
      <c r="J572" s="65"/>
      <c r="K572" s="63" t="s">
        <v>510</v>
      </c>
      <c r="W572" s="213">
        <v>572</v>
      </c>
      <c r="X572" s="214">
        <v>9</v>
      </c>
    </row>
    <row r="573" spans="1:24" x14ac:dyDescent="0.25">
      <c r="A573" s="61" t="s">
        <v>0</v>
      </c>
      <c r="B573" s="60" t="s">
        <v>32</v>
      </c>
      <c r="C573" s="189" t="s">
        <v>7758</v>
      </c>
      <c r="D573" s="61" t="s">
        <v>626</v>
      </c>
      <c r="E573" s="61" t="s">
        <v>7759</v>
      </c>
      <c r="F573" s="61">
        <v>0.47499999999999998</v>
      </c>
      <c r="G573" s="61" t="s">
        <v>7760</v>
      </c>
      <c r="H573" s="62"/>
      <c r="I573" s="62"/>
      <c r="J573" s="62"/>
      <c r="K573" s="61" t="s">
        <v>510</v>
      </c>
      <c r="W573" s="213">
        <v>573</v>
      </c>
      <c r="X573" s="214">
        <v>9</v>
      </c>
    </row>
    <row r="574" spans="1:24" x14ac:dyDescent="0.25">
      <c r="A574" s="63" t="s">
        <v>0</v>
      </c>
      <c r="B574" s="64" t="s">
        <v>32</v>
      </c>
      <c r="C574" s="139" t="s">
        <v>7763</v>
      </c>
      <c r="D574" s="63" t="s">
        <v>626</v>
      </c>
      <c r="E574" s="63" t="s">
        <v>7764</v>
      </c>
      <c r="F574" s="63">
        <v>0.318</v>
      </c>
      <c r="G574" s="63" t="s">
        <v>7765</v>
      </c>
      <c r="H574" s="65"/>
      <c r="I574" s="65"/>
      <c r="J574" s="65"/>
      <c r="K574" s="63" t="s">
        <v>510</v>
      </c>
      <c r="W574" s="213">
        <v>574</v>
      </c>
      <c r="X574" s="214">
        <v>9</v>
      </c>
    </row>
    <row r="575" spans="1:24" x14ac:dyDescent="0.25">
      <c r="A575" s="61" t="s">
        <v>0</v>
      </c>
      <c r="B575" s="60" t="s">
        <v>32</v>
      </c>
      <c r="C575" s="189" t="s">
        <v>8313</v>
      </c>
      <c r="D575" s="61" t="s">
        <v>626</v>
      </c>
      <c r="E575" s="61" t="s">
        <v>8314</v>
      </c>
      <c r="F575" s="61">
        <v>0.46600000000000003</v>
      </c>
      <c r="G575" s="61" t="s">
        <v>1892</v>
      </c>
      <c r="H575" s="62"/>
      <c r="I575" s="62"/>
      <c r="J575" s="62"/>
      <c r="K575" s="61" t="s">
        <v>510</v>
      </c>
      <c r="W575" s="213">
        <v>575</v>
      </c>
      <c r="X575" s="214">
        <v>9</v>
      </c>
    </row>
    <row r="576" spans="1:24" x14ac:dyDescent="0.25">
      <c r="A576" s="63" t="s">
        <v>0</v>
      </c>
      <c r="B576" s="64" t="s">
        <v>32</v>
      </c>
      <c r="C576" s="139" t="s">
        <v>7766</v>
      </c>
      <c r="D576" s="63" t="s">
        <v>626</v>
      </c>
      <c r="E576" s="63" t="s">
        <v>7767</v>
      </c>
      <c r="F576" s="63">
        <v>0.06</v>
      </c>
      <c r="G576" s="63" t="s">
        <v>1928</v>
      </c>
      <c r="H576" s="65"/>
      <c r="I576" s="65"/>
      <c r="J576" s="65"/>
      <c r="K576" s="63" t="s">
        <v>510</v>
      </c>
      <c r="W576" s="213">
        <v>576</v>
      </c>
      <c r="X576" s="214">
        <v>9</v>
      </c>
    </row>
    <row r="577" spans="1:24" x14ac:dyDescent="0.25">
      <c r="A577" s="61" t="s">
        <v>0</v>
      </c>
      <c r="B577" s="60" t="s">
        <v>32</v>
      </c>
      <c r="C577" s="189" t="s">
        <v>8315</v>
      </c>
      <c r="D577" s="61" t="s">
        <v>626</v>
      </c>
      <c r="E577" s="61" t="s">
        <v>8316</v>
      </c>
      <c r="F577" s="61">
        <v>0.34200000000000003</v>
      </c>
      <c r="G577" s="61" t="s">
        <v>8317</v>
      </c>
      <c r="H577" s="62"/>
      <c r="I577" s="62"/>
      <c r="J577" s="62"/>
      <c r="K577" s="61" t="s">
        <v>510</v>
      </c>
      <c r="W577" s="213">
        <v>577</v>
      </c>
      <c r="X577" s="214">
        <v>9</v>
      </c>
    </row>
    <row r="578" spans="1:24" x14ac:dyDescent="0.25">
      <c r="A578" s="63" t="s">
        <v>0</v>
      </c>
      <c r="B578" s="64" t="s">
        <v>32</v>
      </c>
      <c r="C578" s="139" t="s">
        <v>7771</v>
      </c>
      <c r="D578" s="63" t="s">
        <v>626</v>
      </c>
      <c r="E578" s="63" t="s">
        <v>7772</v>
      </c>
      <c r="F578" s="63">
        <v>0.25700000000000001</v>
      </c>
      <c r="G578" s="63" t="s">
        <v>7773</v>
      </c>
      <c r="H578" s="65"/>
      <c r="I578" s="65"/>
      <c r="J578" s="65"/>
      <c r="K578" s="63" t="s">
        <v>510</v>
      </c>
      <c r="W578" s="213">
        <v>578</v>
      </c>
      <c r="X578" s="214">
        <v>9</v>
      </c>
    </row>
    <row r="579" spans="1:24" x14ac:dyDescent="0.25">
      <c r="A579" s="61" t="s">
        <v>0</v>
      </c>
      <c r="B579" s="60" t="s">
        <v>32</v>
      </c>
      <c r="C579" s="189" t="s">
        <v>7774</v>
      </c>
      <c r="D579" s="61" t="s">
        <v>626</v>
      </c>
      <c r="E579" s="61" t="s">
        <v>7775</v>
      </c>
      <c r="F579" s="61">
        <v>0.48</v>
      </c>
      <c r="G579" s="61" t="s">
        <v>7672</v>
      </c>
      <c r="H579" s="62"/>
      <c r="I579" s="62"/>
      <c r="J579" s="62"/>
      <c r="K579" s="61" t="s">
        <v>510</v>
      </c>
      <c r="W579" s="213">
        <v>579</v>
      </c>
      <c r="X579" s="214">
        <v>9</v>
      </c>
    </row>
    <row r="580" spans="1:24" x14ac:dyDescent="0.25">
      <c r="A580" s="63" t="s">
        <v>0</v>
      </c>
      <c r="B580" s="64" t="s">
        <v>32</v>
      </c>
      <c r="C580" s="139" t="s">
        <v>8318</v>
      </c>
      <c r="D580" s="63" t="s">
        <v>626</v>
      </c>
      <c r="E580" s="63" t="s">
        <v>8320</v>
      </c>
      <c r="F580" s="63">
        <v>0.27300000000000002</v>
      </c>
      <c r="G580" s="63" t="s">
        <v>8322</v>
      </c>
      <c r="H580" s="65"/>
      <c r="I580" s="65"/>
      <c r="J580" s="65"/>
      <c r="K580" s="63" t="s">
        <v>510</v>
      </c>
      <c r="W580" s="213">
        <v>580</v>
      </c>
      <c r="X580" s="214">
        <v>9</v>
      </c>
    </row>
    <row r="581" spans="1:24" x14ac:dyDescent="0.25">
      <c r="A581" s="61" t="s">
        <v>0</v>
      </c>
      <c r="B581" s="60" t="s">
        <v>32</v>
      </c>
      <c r="C581" s="189" t="s">
        <v>8319</v>
      </c>
      <c r="D581" s="61" t="s">
        <v>626</v>
      </c>
      <c r="E581" s="61" t="s">
        <v>8321</v>
      </c>
      <c r="F581" s="61">
        <v>0.27900000000000003</v>
      </c>
      <c r="G581" s="61" t="s">
        <v>8323</v>
      </c>
      <c r="H581" s="62"/>
      <c r="I581" s="62"/>
      <c r="J581" s="62"/>
      <c r="K581" s="61" t="s">
        <v>510</v>
      </c>
      <c r="W581" s="213">
        <v>581</v>
      </c>
      <c r="X581" s="214">
        <v>9</v>
      </c>
    </row>
    <row r="582" spans="1:24" x14ac:dyDescent="0.25">
      <c r="A582" s="63" t="s">
        <v>0</v>
      </c>
      <c r="B582" s="64" t="s">
        <v>32</v>
      </c>
      <c r="C582" s="139" t="s">
        <v>7776</v>
      </c>
      <c r="D582" s="63" t="s">
        <v>626</v>
      </c>
      <c r="E582" s="63" t="s">
        <v>7777</v>
      </c>
      <c r="F582" s="63">
        <v>0.58799999999999997</v>
      </c>
      <c r="G582" s="63" t="s">
        <v>7778</v>
      </c>
      <c r="H582" s="65"/>
      <c r="I582" s="65"/>
      <c r="J582" s="65"/>
      <c r="K582" s="63" t="s">
        <v>510</v>
      </c>
      <c r="W582" s="213">
        <v>582</v>
      </c>
      <c r="X582" s="214">
        <v>9</v>
      </c>
    </row>
    <row r="583" spans="1:24" x14ac:dyDescent="0.25">
      <c r="A583" s="61" t="s">
        <v>0</v>
      </c>
      <c r="B583" s="60" t="s">
        <v>32</v>
      </c>
      <c r="C583" s="189" t="s">
        <v>1932</v>
      </c>
      <c r="D583" s="61" t="s">
        <v>626</v>
      </c>
      <c r="E583" s="61" t="s">
        <v>1933</v>
      </c>
      <c r="F583" s="61">
        <v>0.434</v>
      </c>
      <c r="G583" s="61" t="s">
        <v>8324</v>
      </c>
      <c r="H583" s="62"/>
      <c r="I583" s="62"/>
      <c r="J583" s="62"/>
      <c r="K583" s="61" t="s">
        <v>510</v>
      </c>
      <c r="W583" s="213">
        <v>583</v>
      </c>
      <c r="X583" s="214">
        <v>9</v>
      </c>
    </row>
    <row r="584" spans="1:24" x14ac:dyDescent="0.25">
      <c r="A584" s="63" t="s">
        <v>0</v>
      </c>
      <c r="B584" s="64" t="s">
        <v>32</v>
      </c>
      <c r="C584" s="63" t="s">
        <v>7779</v>
      </c>
      <c r="D584" s="63" t="s">
        <v>626</v>
      </c>
      <c r="E584" s="63" t="s">
        <v>7780</v>
      </c>
      <c r="F584" s="63">
        <v>0.39900000000000002</v>
      </c>
      <c r="G584" s="63" t="s">
        <v>7781</v>
      </c>
      <c r="H584" s="65"/>
      <c r="I584" s="65"/>
      <c r="J584" s="65"/>
      <c r="K584" s="63" t="s">
        <v>510</v>
      </c>
      <c r="W584" s="213">
        <v>584</v>
      </c>
      <c r="X584" s="214">
        <v>9</v>
      </c>
    </row>
    <row r="585" spans="1:24" x14ac:dyDescent="0.25">
      <c r="A585" s="61" t="s">
        <v>0</v>
      </c>
      <c r="B585" s="60" t="s">
        <v>32</v>
      </c>
      <c r="C585" s="189" t="s">
        <v>1929</v>
      </c>
      <c r="D585" s="61" t="s">
        <v>50</v>
      </c>
      <c r="E585" s="61" t="s">
        <v>1930</v>
      </c>
      <c r="F585" s="61">
        <v>0.57399999999999995</v>
      </c>
      <c r="G585" s="61" t="s">
        <v>1931</v>
      </c>
      <c r="H585" s="62"/>
      <c r="I585" s="62"/>
      <c r="J585" s="62"/>
      <c r="K585" s="61" t="s">
        <v>510</v>
      </c>
      <c r="W585" s="213">
        <v>585</v>
      </c>
      <c r="X585" s="214">
        <v>9</v>
      </c>
    </row>
    <row r="586" spans="1:24" x14ac:dyDescent="0.25">
      <c r="A586" s="63" t="s">
        <v>0</v>
      </c>
      <c r="B586" s="64" t="s">
        <v>32</v>
      </c>
      <c r="C586" s="63" t="s">
        <v>7768</v>
      </c>
      <c r="D586" s="63" t="s">
        <v>626</v>
      </c>
      <c r="E586" s="63" t="s">
        <v>7769</v>
      </c>
      <c r="F586" s="63">
        <v>0.26200000000000001</v>
      </c>
      <c r="G586" s="63" t="s">
        <v>7770</v>
      </c>
      <c r="H586" s="65"/>
      <c r="I586" s="65"/>
      <c r="J586" s="65"/>
      <c r="K586" s="63" t="s">
        <v>510</v>
      </c>
      <c r="W586" s="213">
        <v>586</v>
      </c>
      <c r="X586" s="214">
        <v>9</v>
      </c>
    </row>
    <row r="587" spans="1:24" x14ac:dyDescent="0.25">
      <c r="A587" s="61" t="s">
        <v>0</v>
      </c>
      <c r="B587" s="60" t="s">
        <v>32</v>
      </c>
      <c r="C587" s="189" t="s">
        <v>8325</v>
      </c>
      <c r="D587" s="61" t="s">
        <v>626</v>
      </c>
      <c r="E587" s="61" t="s">
        <v>8326</v>
      </c>
      <c r="F587" s="61">
        <v>0.66500000000000004</v>
      </c>
      <c r="G587" s="61" t="s">
        <v>8327</v>
      </c>
      <c r="H587" s="62"/>
      <c r="I587" s="62"/>
      <c r="J587" s="62"/>
      <c r="K587" s="61" t="s">
        <v>510</v>
      </c>
      <c r="W587" s="213">
        <v>587</v>
      </c>
      <c r="X587" s="214">
        <v>9</v>
      </c>
    </row>
    <row r="588" spans="1:24" x14ac:dyDescent="0.25">
      <c r="A588" s="63" t="s">
        <v>0</v>
      </c>
      <c r="B588" s="64" t="s">
        <v>32</v>
      </c>
      <c r="C588" s="139" t="s">
        <v>7782</v>
      </c>
      <c r="D588" s="63" t="s">
        <v>626</v>
      </c>
      <c r="E588" s="63" t="s">
        <v>7783</v>
      </c>
      <c r="F588" s="63">
        <v>0.20399999999999999</v>
      </c>
      <c r="G588" s="63" t="s">
        <v>1913</v>
      </c>
      <c r="H588" s="65"/>
      <c r="I588" s="65"/>
      <c r="J588" s="65"/>
      <c r="K588" s="63" t="s">
        <v>510</v>
      </c>
      <c r="W588" s="213">
        <v>588</v>
      </c>
      <c r="X588" s="214">
        <v>9</v>
      </c>
    </row>
    <row r="589" spans="1:24" x14ac:dyDescent="0.25">
      <c r="A589" s="61" t="s">
        <v>0</v>
      </c>
      <c r="B589" s="60" t="s">
        <v>32</v>
      </c>
      <c r="C589" s="189" t="s">
        <v>8328</v>
      </c>
      <c r="D589" s="61" t="s">
        <v>626</v>
      </c>
      <c r="E589" s="61" t="s">
        <v>8330</v>
      </c>
      <c r="F589" s="61">
        <v>2.5999999999999999E-2</v>
      </c>
      <c r="G589" s="61" t="s">
        <v>8331</v>
      </c>
      <c r="H589" s="62"/>
      <c r="I589" s="62"/>
      <c r="J589" s="62"/>
      <c r="K589" s="61" t="s">
        <v>510</v>
      </c>
      <c r="W589" s="213">
        <v>589</v>
      </c>
      <c r="X589" s="214">
        <v>9</v>
      </c>
    </row>
    <row r="590" spans="1:24" x14ac:dyDescent="0.25">
      <c r="A590" s="63" t="s">
        <v>0</v>
      </c>
      <c r="B590" s="64" t="s">
        <v>32</v>
      </c>
      <c r="C590" s="139" t="s">
        <v>8329</v>
      </c>
      <c r="D590" s="63" t="s">
        <v>626</v>
      </c>
      <c r="E590" s="63" t="s">
        <v>8332</v>
      </c>
      <c r="F590" s="63">
        <v>0.60099999999999998</v>
      </c>
      <c r="G590" s="63" t="s">
        <v>8333</v>
      </c>
      <c r="H590" s="65"/>
      <c r="I590" s="65"/>
      <c r="J590" s="65"/>
      <c r="K590" s="63" t="s">
        <v>510</v>
      </c>
      <c r="W590" s="213">
        <v>590</v>
      </c>
      <c r="X590" s="214">
        <v>9</v>
      </c>
    </row>
    <row r="591" spans="1:24" x14ac:dyDescent="0.25">
      <c r="A591" s="61" t="s">
        <v>0</v>
      </c>
      <c r="B591" s="60" t="s">
        <v>32</v>
      </c>
      <c r="C591" s="189" t="s">
        <v>1934</v>
      </c>
      <c r="D591" s="61" t="s">
        <v>626</v>
      </c>
      <c r="E591" s="61" t="s">
        <v>1935</v>
      </c>
      <c r="F591" s="61">
        <v>0.13300000000000001</v>
      </c>
      <c r="G591" s="61" t="s">
        <v>811</v>
      </c>
      <c r="H591" s="62"/>
      <c r="I591" s="62"/>
      <c r="J591" s="62"/>
      <c r="K591" s="61" t="s">
        <v>510</v>
      </c>
      <c r="W591" s="213">
        <v>591</v>
      </c>
      <c r="X591" s="214">
        <v>9</v>
      </c>
    </row>
    <row r="592" spans="1:24" x14ac:dyDescent="0.25">
      <c r="A592" s="63" t="s">
        <v>0</v>
      </c>
      <c r="B592" s="64" t="s">
        <v>32</v>
      </c>
      <c r="C592" s="139" t="s">
        <v>7784</v>
      </c>
      <c r="D592" s="63" t="s">
        <v>626</v>
      </c>
      <c r="E592" s="63" t="s">
        <v>7785</v>
      </c>
      <c r="F592" s="63">
        <v>0.11700000000000001</v>
      </c>
      <c r="G592" s="63" t="s">
        <v>7786</v>
      </c>
      <c r="H592" s="65"/>
      <c r="I592" s="65"/>
      <c r="J592" s="65"/>
      <c r="K592" s="63" t="s">
        <v>510</v>
      </c>
      <c r="W592" s="213">
        <v>592</v>
      </c>
      <c r="X592" s="214">
        <v>9</v>
      </c>
    </row>
    <row r="593" spans="1:24" x14ac:dyDescent="0.25">
      <c r="A593" s="61" t="s">
        <v>0</v>
      </c>
      <c r="B593" s="60" t="s">
        <v>32</v>
      </c>
      <c r="C593" s="189" t="s">
        <v>8334</v>
      </c>
      <c r="D593" s="61" t="s">
        <v>626</v>
      </c>
      <c r="E593" s="61" t="s">
        <v>8336</v>
      </c>
      <c r="F593" s="61">
        <v>0.255</v>
      </c>
      <c r="G593" s="61" t="s">
        <v>8338</v>
      </c>
      <c r="H593" s="62"/>
      <c r="I593" s="62"/>
      <c r="J593" s="62"/>
      <c r="K593" s="61" t="s">
        <v>510</v>
      </c>
      <c r="W593" s="213">
        <v>593</v>
      </c>
      <c r="X593" s="214">
        <v>9</v>
      </c>
    </row>
    <row r="594" spans="1:24" x14ac:dyDescent="0.25">
      <c r="A594" s="63" t="s">
        <v>0</v>
      </c>
      <c r="B594" s="64" t="s">
        <v>32</v>
      </c>
      <c r="C594" s="139" t="s">
        <v>8335</v>
      </c>
      <c r="D594" s="63" t="s">
        <v>626</v>
      </c>
      <c r="E594" s="63" t="s">
        <v>8337</v>
      </c>
      <c r="F594" s="63">
        <v>5.8999999999999997E-2</v>
      </c>
      <c r="G594" s="63" t="s">
        <v>1928</v>
      </c>
      <c r="H594" s="139"/>
      <c r="I594" s="65"/>
      <c r="J594" s="65"/>
      <c r="K594" s="63" t="s">
        <v>510</v>
      </c>
      <c r="W594" s="213">
        <v>594</v>
      </c>
      <c r="X594" s="214">
        <v>9</v>
      </c>
    </row>
    <row r="595" spans="1:24" x14ac:dyDescent="0.25">
      <c r="A595" s="61" t="s">
        <v>0</v>
      </c>
      <c r="B595" s="60" t="s">
        <v>32</v>
      </c>
      <c r="C595" s="189" t="s">
        <v>8339</v>
      </c>
      <c r="D595" s="61" t="s">
        <v>626</v>
      </c>
      <c r="E595" s="61" t="s">
        <v>8341</v>
      </c>
      <c r="F595" s="61">
        <v>0.502</v>
      </c>
      <c r="G595" s="61" t="s">
        <v>8343</v>
      </c>
      <c r="H595" s="189"/>
      <c r="I595" s="62"/>
      <c r="J595" s="62"/>
      <c r="K595" s="61" t="s">
        <v>510</v>
      </c>
      <c r="W595" s="213">
        <v>595</v>
      </c>
      <c r="X595" s="214">
        <v>9</v>
      </c>
    </row>
    <row r="596" spans="1:24" x14ac:dyDescent="0.25">
      <c r="A596" s="63" t="s">
        <v>0</v>
      </c>
      <c r="B596" s="64" t="s">
        <v>32</v>
      </c>
      <c r="C596" s="63" t="s">
        <v>1936</v>
      </c>
      <c r="D596" s="63" t="s">
        <v>50</v>
      </c>
      <c r="E596" s="63" t="s">
        <v>1937</v>
      </c>
      <c r="F596" s="63">
        <v>0.182</v>
      </c>
      <c r="G596" s="63" t="s">
        <v>1938</v>
      </c>
      <c r="H596" s="65"/>
      <c r="I596" s="65"/>
      <c r="J596" s="65"/>
      <c r="K596" s="63" t="s">
        <v>510</v>
      </c>
      <c r="W596" s="213">
        <v>596</v>
      </c>
      <c r="X596" s="214">
        <v>9</v>
      </c>
    </row>
    <row r="597" spans="1:24" x14ac:dyDescent="0.25">
      <c r="A597" s="61" t="s">
        <v>0</v>
      </c>
      <c r="B597" s="60" t="s">
        <v>32</v>
      </c>
      <c r="C597" s="189" t="s">
        <v>8340</v>
      </c>
      <c r="D597" s="61" t="s">
        <v>626</v>
      </c>
      <c r="E597" s="61" t="s">
        <v>8342</v>
      </c>
      <c r="F597" s="61">
        <v>0.21</v>
      </c>
      <c r="G597" s="61" t="s">
        <v>8344</v>
      </c>
      <c r="H597" s="62"/>
      <c r="I597" s="62"/>
      <c r="J597" s="62"/>
      <c r="K597" s="61" t="s">
        <v>510</v>
      </c>
      <c r="W597" s="213">
        <v>597</v>
      </c>
      <c r="X597" s="214">
        <v>9</v>
      </c>
    </row>
    <row r="598" spans="1:24" x14ac:dyDescent="0.25">
      <c r="A598" s="63" t="s">
        <v>0</v>
      </c>
      <c r="B598" s="64" t="s">
        <v>32</v>
      </c>
      <c r="C598" s="139" t="s">
        <v>7787</v>
      </c>
      <c r="D598" s="63" t="s">
        <v>626</v>
      </c>
      <c r="E598" s="63" t="s">
        <v>7788</v>
      </c>
      <c r="F598" s="63">
        <v>0.252</v>
      </c>
      <c r="G598" s="63" t="s">
        <v>7789</v>
      </c>
      <c r="H598" s="65"/>
      <c r="I598" s="65"/>
      <c r="J598" s="65"/>
      <c r="K598" s="63" t="s">
        <v>510</v>
      </c>
      <c r="W598" s="213">
        <v>598</v>
      </c>
      <c r="X598" s="214">
        <v>9</v>
      </c>
    </row>
    <row r="599" spans="1:24" x14ac:dyDescent="0.25">
      <c r="A599" s="61" t="s">
        <v>0</v>
      </c>
      <c r="B599" s="60" t="s">
        <v>32</v>
      </c>
      <c r="C599" s="189" t="s">
        <v>8345</v>
      </c>
      <c r="D599" s="61" t="s">
        <v>626</v>
      </c>
      <c r="E599" s="61" t="s">
        <v>8346</v>
      </c>
      <c r="F599" s="61">
        <v>0.47399999999999998</v>
      </c>
      <c r="G599" s="61" t="s">
        <v>8347</v>
      </c>
      <c r="H599" s="62"/>
      <c r="I599" s="62"/>
      <c r="J599" s="62"/>
      <c r="K599" s="61" t="s">
        <v>510</v>
      </c>
      <c r="W599" s="213">
        <v>599</v>
      </c>
      <c r="X599" s="214">
        <v>9</v>
      </c>
    </row>
    <row r="600" spans="1:24" x14ac:dyDescent="0.25">
      <c r="A600" s="63" t="s">
        <v>0</v>
      </c>
      <c r="B600" s="64" t="s">
        <v>32</v>
      </c>
      <c r="C600" s="139" t="s">
        <v>8348</v>
      </c>
      <c r="D600" s="63" t="s">
        <v>626</v>
      </c>
      <c r="E600" s="63" t="s">
        <v>8349</v>
      </c>
      <c r="F600" s="63">
        <v>0.39900000000000002</v>
      </c>
      <c r="G600" s="63" t="s">
        <v>1944</v>
      </c>
      <c r="H600" s="65"/>
      <c r="I600" s="65"/>
      <c r="J600" s="65"/>
      <c r="K600" s="63" t="s">
        <v>510</v>
      </c>
      <c r="W600" s="213">
        <v>600</v>
      </c>
      <c r="X600" s="214">
        <v>9</v>
      </c>
    </row>
    <row r="601" spans="1:24" x14ac:dyDescent="0.25">
      <c r="A601" s="61" t="s">
        <v>0</v>
      </c>
      <c r="B601" s="60" t="s">
        <v>32</v>
      </c>
      <c r="C601" s="61" t="s">
        <v>1939</v>
      </c>
      <c r="D601" s="61" t="s">
        <v>50</v>
      </c>
      <c r="E601" s="61" t="s">
        <v>1940</v>
      </c>
      <c r="F601" s="61">
        <v>0.47799999999999998</v>
      </c>
      <c r="G601" s="61" t="s">
        <v>1941</v>
      </c>
      <c r="H601" s="62"/>
      <c r="I601" s="62"/>
      <c r="J601" s="62"/>
      <c r="K601" s="61" t="s">
        <v>510</v>
      </c>
      <c r="W601" s="213">
        <v>601</v>
      </c>
      <c r="X601" s="214">
        <v>9</v>
      </c>
    </row>
    <row r="602" spans="1:24" x14ac:dyDescent="0.25">
      <c r="A602" s="63" t="s">
        <v>0</v>
      </c>
      <c r="B602" s="64" t="s">
        <v>32</v>
      </c>
      <c r="C602" s="139" t="s">
        <v>7790</v>
      </c>
      <c r="D602" s="63" t="s">
        <v>626</v>
      </c>
      <c r="E602" s="63" t="s">
        <v>7791</v>
      </c>
      <c r="F602" s="63">
        <v>0.374</v>
      </c>
      <c r="G602" s="63" t="s">
        <v>4601</v>
      </c>
      <c r="H602" s="65"/>
      <c r="I602" s="65"/>
      <c r="J602" s="65"/>
      <c r="K602" s="63" t="s">
        <v>510</v>
      </c>
      <c r="W602" s="213">
        <v>602</v>
      </c>
      <c r="X602" s="214">
        <v>9</v>
      </c>
    </row>
    <row r="603" spans="1:24" x14ac:dyDescent="0.25">
      <c r="A603" s="61" t="s">
        <v>0</v>
      </c>
      <c r="B603" s="60" t="s">
        <v>32</v>
      </c>
      <c r="C603" s="189" t="s">
        <v>8350</v>
      </c>
      <c r="D603" s="61" t="s">
        <v>626</v>
      </c>
      <c r="E603" s="191" t="s">
        <v>8351</v>
      </c>
      <c r="F603" s="61">
        <v>0.35899999999999999</v>
      </c>
      <c r="G603" s="61" t="s">
        <v>8352</v>
      </c>
      <c r="H603" s="62"/>
      <c r="I603" s="62"/>
      <c r="J603" s="62"/>
      <c r="K603" s="61" t="s">
        <v>510</v>
      </c>
      <c r="W603" s="213">
        <v>603</v>
      </c>
      <c r="X603" s="214">
        <v>9</v>
      </c>
    </row>
    <row r="604" spans="1:24" x14ac:dyDescent="0.25">
      <c r="A604" s="63" t="s">
        <v>0</v>
      </c>
      <c r="B604" s="64" t="s">
        <v>32</v>
      </c>
      <c r="C604" s="139" t="s">
        <v>8353</v>
      </c>
      <c r="D604" s="63" t="s">
        <v>626</v>
      </c>
      <c r="E604" s="190" t="s">
        <v>8355</v>
      </c>
      <c r="F604" s="63">
        <v>0.151</v>
      </c>
      <c r="G604" s="63" t="s">
        <v>8152</v>
      </c>
      <c r="H604" s="65"/>
      <c r="I604" s="65"/>
      <c r="J604" s="65"/>
      <c r="K604" s="63" t="s">
        <v>510</v>
      </c>
      <c r="W604" s="213">
        <v>604</v>
      </c>
      <c r="X604" s="214">
        <v>9</v>
      </c>
    </row>
    <row r="605" spans="1:24" x14ac:dyDescent="0.25">
      <c r="A605" s="61" t="s">
        <v>0</v>
      </c>
      <c r="B605" s="60" t="s">
        <v>32</v>
      </c>
      <c r="C605" s="189" t="s">
        <v>8354</v>
      </c>
      <c r="D605" s="61" t="s">
        <v>626</v>
      </c>
      <c r="E605" s="191" t="s">
        <v>8356</v>
      </c>
      <c r="F605" s="61">
        <v>4.7E-2</v>
      </c>
      <c r="G605" s="61" t="s">
        <v>8343</v>
      </c>
      <c r="H605" s="62"/>
      <c r="I605" s="62"/>
      <c r="J605" s="62"/>
      <c r="K605" s="61" t="s">
        <v>510</v>
      </c>
      <c r="W605" s="213">
        <v>605</v>
      </c>
      <c r="X605" s="214">
        <v>9</v>
      </c>
    </row>
    <row r="606" spans="1:24" x14ac:dyDescent="0.25">
      <c r="A606" s="63" t="s">
        <v>0</v>
      </c>
      <c r="B606" s="64" t="s">
        <v>32</v>
      </c>
      <c r="C606" s="139" t="s">
        <v>7794</v>
      </c>
      <c r="D606" s="63" t="s">
        <v>626</v>
      </c>
      <c r="E606" s="63" t="s">
        <v>7795</v>
      </c>
      <c r="F606" s="63">
        <v>0.45</v>
      </c>
      <c r="G606" s="63" t="s">
        <v>4921</v>
      </c>
      <c r="H606" s="65"/>
      <c r="I606" s="65"/>
      <c r="J606" s="65"/>
      <c r="K606" s="63" t="s">
        <v>510</v>
      </c>
      <c r="W606" s="213">
        <v>606</v>
      </c>
      <c r="X606" s="214">
        <v>9</v>
      </c>
    </row>
    <row r="607" spans="1:24" x14ac:dyDescent="0.25">
      <c r="A607" s="61" t="s">
        <v>0</v>
      </c>
      <c r="B607" s="60" t="s">
        <v>32</v>
      </c>
      <c r="C607" s="189" t="s">
        <v>7796</v>
      </c>
      <c r="D607" s="61" t="s">
        <v>626</v>
      </c>
      <c r="E607" s="61" t="s">
        <v>7797</v>
      </c>
      <c r="F607" s="61">
        <v>0.42499999999999999</v>
      </c>
      <c r="G607" s="61" t="s">
        <v>7798</v>
      </c>
      <c r="H607" s="62"/>
      <c r="I607" s="62"/>
      <c r="J607" s="62"/>
      <c r="K607" s="61" t="s">
        <v>510</v>
      </c>
      <c r="W607" s="213">
        <v>607</v>
      </c>
      <c r="X607" s="214">
        <v>9</v>
      </c>
    </row>
    <row r="608" spans="1:24" x14ac:dyDescent="0.25">
      <c r="A608" s="63" t="s">
        <v>0</v>
      </c>
      <c r="B608" s="64" t="s">
        <v>32</v>
      </c>
      <c r="C608" s="139" t="s">
        <v>7799</v>
      </c>
      <c r="D608" s="63" t="s">
        <v>626</v>
      </c>
      <c r="E608" s="63" t="s">
        <v>7800</v>
      </c>
      <c r="F608" s="63">
        <v>0.45300000000000001</v>
      </c>
      <c r="G608" s="63" t="s">
        <v>7801</v>
      </c>
      <c r="H608" s="65"/>
      <c r="I608" s="65"/>
      <c r="J608" s="65"/>
      <c r="K608" s="63" t="s">
        <v>510</v>
      </c>
      <c r="W608" s="213">
        <v>608</v>
      </c>
      <c r="X608" s="214">
        <v>9</v>
      </c>
    </row>
    <row r="609" spans="1:24" x14ac:dyDescent="0.25">
      <c r="A609" s="61" t="s">
        <v>0</v>
      </c>
      <c r="B609" s="60" t="s">
        <v>32</v>
      </c>
      <c r="C609" s="189" t="s">
        <v>8357</v>
      </c>
      <c r="D609" s="61" t="s">
        <v>626</v>
      </c>
      <c r="E609" s="61" t="s">
        <v>8360</v>
      </c>
      <c r="F609" s="61">
        <v>0.154</v>
      </c>
      <c r="G609" s="61" t="s">
        <v>8363</v>
      </c>
      <c r="H609" s="62"/>
      <c r="I609" s="62"/>
      <c r="J609" s="62"/>
      <c r="K609" s="61" t="s">
        <v>510</v>
      </c>
      <c r="W609" s="213">
        <v>609</v>
      </c>
      <c r="X609" s="214">
        <v>9</v>
      </c>
    </row>
    <row r="610" spans="1:24" x14ac:dyDescent="0.25">
      <c r="A610" s="63" t="s">
        <v>0</v>
      </c>
      <c r="B610" s="64" t="s">
        <v>32</v>
      </c>
      <c r="C610" s="63" t="s">
        <v>1942</v>
      </c>
      <c r="D610" s="63" t="s">
        <v>626</v>
      </c>
      <c r="E610" s="63" t="s">
        <v>1943</v>
      </c>
      <c r="F610" s="63">
        <v>0.13600000000000001</v>
      </c>
      <c r="G610" s="63" t="s">
        <v>1944</v>
      </c>
      <c r="H610" s="65"/>
      <c r="I610" s="65"/>
      <c r="J610" s="65"/>
      <c r="K610" s="63" t="s">
        <v>510</v>
      </c>
      <c r="W610" s="213">
        <v>610</v>
      </c>
      <c r="X610" s="214">
        <v>9</v>
      </c>
    </row>
    <row r="611" spans="1:24" x14ac:dyDescent="0.25">
      <c r="A611" s="61" t="s">
        <v>0</v>
      </c>
      <c r="B611" s="60" t="s">
        <v>32</v>
      </c>
      <c r="C611" s="189" t="s">
        <v>8358</v>
      </c>
      <c r="D611" s="61" t="s">
        <v>626</v>
      </c>
      <c r="E611" s="61" t="s">
        <v>8361</v>
      </c>
      <c r="F611" s="61">
        <v>0.23799999999999999</v>
      </c>
      <c r="G611" s="61" t="s">
        <v>6759</v>
      </c>
      <c r="H611" s="62"/>
      <c r="I611" s="62"/>
      <c r="J611" s="62"/>
      <c r="K611" s="61" t="s">
        <v>510</v>
      </c>
      <c r="W611" s="213">
        <v>611</v>
      </c>
      <c r="X611" s="214">
        <v>9</v>
      </c>
    </row>
    <row r="612" spans="1:24" x14ac:dyDescent="0.25">
      <c r="A612" s="63" t="s">
        <v>0</v>
      </c>
      <c r="B612" s="64" t="s">
        <v>32</v>
      </c>
      <c r="C612" s="139" t="s">
        <v>8359</v>
      </c>
      <c r="D612" s="63" t="s">
        <v>626</v>
      </c>
      <c r="E612" s="63" t="s">
        <v>8362</v>
      </c>
      <c r="F612" s="63">
        <v>0.26400000000000001</v>
      </c>
      <c r="G612" s="63" t="s">
        <v>8364</v>
      </c>
      <c r="H612" s="65"/>
      <c r="I612" s="65"/>
      <c r="J612" s="65"/>
      <c r="K612" s="63" t="s">
        <v>510</v>
      </c>
      <c r="W612" s="213">
        <v>612</v>
      </c>
      <c r="X612" s="214">
        <v>9</v>
      </c>
    </row>
    <row r="613" spans="1:24" x14ac:dyDescent="0.25">
      <c r="A613" s="61" t="s">
        <v>0</v>
      </c>
      <c r="B613" s="60" t="s">
        <v>32</v>
      </c>
      <c r="C613" s="61" t="s">
        <v>1945</v>
      </c>
      <c r="D613" s="61" t="s">
        <v>626</v>
      </c>
      <c r="E613" s="61" t="s">
        <v>1946</v>
      </c>
      <c r="F613" s="61">
        <v>0.45100000000000001</v>
      </c>
      <c r="G613" s="61" t="s">
        <v>1947</v>
      </c>
      <c r="H613" s="62"/>
      <c r="I613" s="62"/>
      <c r="J613" s="62"/>
      <c r="K613" s="61" t="s">
        <v>510</v>
      </c>
      <c r="W613" s="213">
        <v>613</v>
      </c>
      <c r="X613" s="214">
        <v>9</v>
      </c>
    </row>
    <row r="614" spans="1:24" x14ac:dyDescent="0.25">
      <c r="A614" s="63" t="s">
        <v>0</v>
      </c>
      <c r="B614" s="64" t="s">
        <v>32</v>
      </c>
      <c r="C614" s="139" t="s">
        <v>7802</v>
      </c>
      <c r="D614" s="63" t="s">
        <v>626</v>
      </c>
      <c r="E614" s="63" t="s">
        <v>7804</v>
      </c>
      <c r="F614" s="63">
        <v>0.54600000000000004</v>
      </c>
      <c r="G614" s="63" t="s">
        <v>7803</v>
      </c>
      <c r="H614" s="65"/>
      <c r="I614" s="65"/>
      <c r="J614" s="65"/>
      <c r="K614" s="63" t="s">
        <v>510</v>
      </c>
      <c r="W614" s="213">
        <v>614</v>
      </c>
      <c r="X614" s="214">
        <v>9</v>
      </c>
    </row>
    <row r="615" spans="1:24" x14ac:dyDescent="0.25">
      <c r="A615" s="61" t="s">
        <v>0</v>
      </c>
      <c r="B615" s="60" t="s">
        <v>32</v>
      </c>
      <c r="C615" s="189" t="s">
        <v>7805</v>
      </c>
      <c r="D615" s="61" t="s">
        <v>626</v>
      </c>
      <c r="E615" s="61" t="s">
        <v>7806</v>
      </c>
      <c r="F615" s="61">
        <v>8.8999999999999996E-2</v>
      </c>
      <c r="G615" s="61" t="s">
        <v>7778</v>
      </c>
      <c r="H615" s="62"/>
      <c r="I615" s="62"/>
      <c r="J615" s="62"/>
      <c r="K615" s="61" t="s">
        <v>510</v>
      </c>
      <c r="W615" s="213">
        <v>615</v>
      </c>
      <c r="X615" s="214">
        <v>9</v>
      </c>
    </row>
    <row r="616" spans="1:24" x14ac:dyDescent="0.25">
      <c r="A616" s="63" t="s">
        <v>0</v>
      </c>
      <c r="B616" s="64" t="s">
        <v>32</v>
      </c>
      <c r="C616" s="139" t="s">
        <v>7815</v>
      </c>
      <c r="D616" s="63" t="s">
        <v>649</v>
      </c>
      <c r="E616" s="63" t="s">
        <v>7816</v>
      </c>
      <c r="F616" s="63">
        <v>8.1000000000000003E-2</v>
      </c>
      <c r="G616" s="63" t="s">
        <v>7817</v>
      </c>
      <c r="H616" s="65"/>
      <c r="I616" s="65"/>
      <c r="J616" s="65"/>
      <c r="K616" s="63" t="s">
        <v>510</v>
      </c>
      <c r="W616" s="213">
        <v>616</v>
      </c>
      <c r="X616" s="214">
        <v>9</v>
      </c>
    </row>
    <row r="617" spans="1:24" x14ac:dyDescent="0.25">
      <c r="A617" s="61" t="s">
        <v>0</v>
      </c>
      <c r="B617" s="60" t="s">
        <v>32</v>
      </c>
      <c r="C617" s="189" t="s">
        <v>8365</v>
      </c>
      <c r="D617" s="61" t="s">
        <v>626</v>
      </c>
      <c r="E617" s="191" t="s">
        <v>8366</v>
      </c>
      <c r="F617" s="61">
        <v>0.33600000000000002</v>
      </c>
      <c r="G617" s="61" t="s">
        <v>8155</v>
      </c>
      <c r="H617" s="62"/>
      <c r="I617" s="62"/>
      <c r="J617" s="62"/>
      <c r="K617" s="61" t="s">
        <v>510</v>
      </c>
      <c r="W617" s="213">
        <v>617</v>
      </c>
      <c r="X617" s="214">
        <v>9</v>
      </c>
    </row>
    <row r="618" spans="1:24" x14ac:dyDescent="0.25">
      <c r="A618" s="63" t="s">
        <v>0</v>
      </c>
      <c r="B618" s="64" t="s">
        <v>32</v>
      </c>
      <c r="C618" s="139" t="s">
        <v>7823</v>
      </c>
      <c r="D618" s="63" t="s">
        <v>626</v>
      </c>
      <c r="E618" s="63" t="s">
        <v>7824</v>
      </c>
      <c r="F618" s="63">
        <v>8.5000000000000006E-2</v>
      </c>
      <c r="G618" s="63" t="s">
        <v>7825</v>
      </c>
      <c r="H618" s="65"/>
      <c r="I618" s="65"/>
      <c r="J618" s="65"/>
      <c r="K618" s="63" t="s">
        <v>510</v>
      </c>
      <c r="W618" s="213">
        <v>618</v>
      </c>
      <c r="X618" s="214">
        <v>9</v>
      </c>
    </row>
    <row r="619" spans="1:24" x14ac:dyDescent="0.25">
      <c r="A619" s="61" t="s">
        <v>0</v>
      </c>
      <c r="B619" s="60" t="s">
        <v>32</v>
      </c>
      <c r="C619" s="189" t="s">
        <v>8367</v>
      </c>
      <c r="D619" s="61" t="s">
        <v>626</v>
      </c>
      <c r="E619" s="61" t="s">
        <v>8368</v>
      </c>
      <c r="F619" s="61">
        <v>0.55500000000000005</v>
      </c>
      <c r="G619" s="61" t="s">
        <v>8369</v>
      </c>
      <c r="H619" s="62"/>
      <c r="I619" s="62"/>
      <c r="J619" s="62"/>
      <c r="K619" s="61" t="s">
        <v>510</v>
      </c>
      <c r="W619" s="213">
        <v>619</v>
      </c>
      <c r="X619" s="214">
        <v>9</v>
      </c>
    </row>
    <row r="620" spans="1:24" x14ac:dyDescent="0.25">
      <c r="A620" s="63" t="s">
        <v>0</v>
      </c>
      <c r="B620" s="64" t="s">
        <v>32</v>
      </c>
      <c r="C620" s="66" t="s">
        <v>1951</v>
      </c>
      <c r="D620" s="63" t="s">
        <v>1817</v>
      </c>
      <c r="E620" s="63" t="s">
        <v>1952</v>
      </c>
      <c r="F620" s="63">
        <v>0.33700000000000002</v>
      </c>
      <c r="G620" s="63" t="s">
        <v>1853</v>
      </c>
      <c r="H620" s="65"/>
      <c r="I620" s="65"/>
      <c r="J620" s="65"/>
      <c r="K620" s="63" t="s">
        <v>510</v>
      </c>
      <c r="W620" s="213">
        <v>620</v>
      </c>
      <c r="X620" s="214">
        <v>9</v>
      </c>
    </row>
    <row r="621" spans="1:24" x14ac:dyDescent="0.25">
      <c r="A621" s="61" t="s">
        <v>0</v>
      </c>
      <c r="B621" s="60" t="s">
        <v>32</v>
      </c>
      <c r="C621" s="61" t="s">
        <v>7792</v>
      </c>
      <c r="D621" s="61" t="s">
        <v>626</v>
      </c>
      <c r="E621" s="61" t="s">
        <v>7793</v>
      </c>
      <c r="F621" s="61">
        <v>0.39100000000000001</v>
      </c>
      <c r="G621" s="61" t="s">
        <v>7540</v>
      </c>
      <c r="H621" s="62"/>
      <c r="I621" s="62"/>
      <c r="J621" s="62"/>
      <c r="K621" s="61" t="s">
        <v>510</v>
      </c>
      <c r="W621" s="213">
        <v>621</v>
      </c>
      <c r="X621" s="214">
        <v>9</v>
      </c>
    </row>
    <row r="622" spans="1:24" x14ac:dyDescent="0.25">
      <c r="A622" s="63" t="s">
        <v>0</v>
      </c>
      <c r="B622" s="64" t="s">
        <v>32</v>
      </c>
      <c r="C622" s="139" t="s">
        <v>8370</v>
      </c>
      <c r="D622" s="63" t="s">
        <v>626</v>
      </c>
      <c r="E622" s="63" t="s">
        <v>8371</v>
      </c>
      <c r="F622" s="63">
        <v>0.22500000000000001</v>
      </c>
      <c r="G622" s="63" t="s">
        <v>8372</v>
      </c>
      <c r="H622" s="65"/>
      <c r="I622" s="65"/>
      <c r="J622" s="65"/>
      <c r="K622" s="63" t="s">
        <v>510</v>
      </c>
      <c r="W622" s="213">
        <v>622</v>
      </c>
      <c r="X622" s="214">
        <v>9</v>
      </c>
    </row>
    <row r="623" spans="1:24" x14ac:dyDescent="0.25">
      <c r="A623" s="61" t="s">
        <v>0</v>
      </c>
      <c r="B623" s="60" t="s">
        <v>32</v>
      </c>
      <c r="C623" s="189" t="s">
        <v>7807</v>
      </c>
      <c r="D623" s="61" t="s">
        <v>626</v>
      </c>
      <c r="E623" s="61" t="s">
        <v>7808</v>
      </c>
      <c r="F623" s="61">
        <v>0.372</v>
      </c>
      <c r="G623" s="61" t="s">
        <v>7809</v>
      </c>
      <c r="H623" s="62"/>
      <c r="I623" s="62"/>
      <c r="J623" s="62"/>
      <c r="K623" s="61" t="s">
        <v>510</v>
      </c>
      <c r="W623" s="213">
        <v>623</v>
      </c>
      <c r="X623" s="214">
        <v>9</v>
      </c>
    </row>
    <row r="624" spans="1:24" x14ac:dyDescent="0.25">
      <c r="A624" s="63" t="s">
        <v>0</v>
      </c>
      <c r="B624" s="64" t="s">
        <v>32</v>
      </c>
      <c r="C624" s="63" t="s">
        <v>1948</v>
      </c>
      <c r="D624" s="63" t="s">
        <v>50</v>
      </c>
      <c r="E624" s="63" t="s">
        <v>1949</v>
      </c>
      <c r="F624" s="63">
        <v>0.187</v>
      </c>
      <c r="G624" s="63" t="s">
        <v>1950</v>
      </c>
      <c r="H624" s="65"/>
      <c r="I624" s="65"/>
      <c r="J624" s="65"/>
      <c r="K624" s="63" t="s">
        <v>510</v>
      </c>
      <c r="W624" s="213">
        <v>624</v>
      </c>
      <c r="X624" s="214">
        <v>9</v>
      </c>
    </row>
    <row r="625" spans="1:24" x14ac:dyDescent="0.25">
      <c r="A625" s="61" t="s">
        <v>0</v>
      </c>
      <c r="B625" s="60" t="s">
        <v>32</v>
      </c>
      <c r="C625" s="189" t="s">
        <v>7810</v>
      </c>
      <c r="D625" s="61" t="s">
        <v>626</v>
      </c>
      <c r="E625" s="61" t="s">
        <v>7811</v>
      </c>
      <c r="F625" s="61">
        <v>0.50900000000000001</v>
      </c>
      <c r="G625" s="61" t="s">
        <v>7812</v>
      </c>
      <c r="H625" s="62"/>
      <c r="I625" s="62"/>
      <c r="J625" s="62"/>
      <c r="K625" s="61" t="s">
        <v>510</v>
      </c>
      <c r="W625" s="213">
        <v>625</v>
      </c>
      <c r="X625" s="214">
        <v>9</v>
      </c>
    </row>
    <row r="626" spans="1:24" x14ac:dyDescent="0.25">
      <c r="A626" s="63" t="s">
        <v>0</v>
      </c>
      <c r="B626" s="64" t="s">
        <v>32</v>
      </c>
      <c r="C626" s="139" t="s">
        <v>7818</v>
      </c>
      <c r="D626" s="63" t="s">
        <v>626</v>
      </c>
      <c r="E626" s="63" t="s">
        <v>7819</v>
      </c>
      <c r="F626" s="63">
        <v>0.25</v>
      </c>
      <c r="G626" s="63" t="s">
        <v>7593</v>
      </c>
      <c r="H626" s="65"/>
      <c r="I626" s="65"/>
      <c r="J626" s="65"/>
      <c r="K626" s="63" t="s">
        <v>510</v>
      </c>
      <c r="W626" s="213">
        <v>626</v>
      </c>
      <c r="X626" s="214">
        <v>9</v>
      </c>
    </row>
    <row r="627" spans="1:24" x14ac:dyDescent="0.25">
      <c r="A627" s="61" t="s">
        <v>0</v>
      </c>
      <c r="B627" s="60" t="s">
        <v>32</v>
      </c>
      <c r="C627" s="189" t="s">
        <v>7820</v>
      </c>
      <c r="D627" s="61" t="s">
        <v>626</v>
      </c>
      <c r="E627" s="61" t="s">
        <v>7821</v>
      </c>
      <c r="F627" s="61">
        <v>0.24</v>
      </c>
      <c r="G627" s="61" t="s">
        <v>7822</v>
      </c>
      <c r="H627" s="62"/>
      <c r="I627" s="62"/>
      <c r="J627" s="62"/>
      <c r="K627" s="61" t="s">
        <v>510</v>
      </c>
      <c r="W627" s="213">
        <v>627</v>
      </c>
      <c r="X627" s="214">
        <v>9</v>
      </c>
    </row>
    <row r="628" spans="1:24" x14ac:dyDescent="0.25">
      <c r="A628" s="63" t="s">
        <v>0</v>
      </c>
      <c r="B628" s="64" t="s">
        <v>32</v>
      </c>
      <c r="C628" s="139" t="s">
        <v>8373</v>
      </c>
      <c r="D628" s="63" t="s">
        <v>626</v>
      </c>
      <c r="E628" s="63" t="s">
        <v>8374</v>
      </c>
      <c r="F628" s="63">
        <v>0.63300000000000001</v>
      </c>
      <c r="G628" s="63" t="s">
        <v>8375</v>
      </c>
      <c r="H628" s="65"/>
      <c r="I628" s="65"/>
      <c r="J628" s="65"/>
      <c r="K628" s="63" t="s">
        <v>510</v>
      </c>
      <c r="W628" s="213">
        <v>628</v>
      </c>
      <c r="X628" s="214">
        <v>9</v>
      </c>
    </row>
    <row r="629" spans="1:24" x14ac:dyDescent="0.25">
      <c r="A629" s="61" t="s">
        <v>0</v>
      </c>
      <c r="B629" s="60" t="s">
        <v>32</v>
      </c>
      <c r="C629" s="189" t="s">
        <v>8376</v>
      </c>
      <c r="D629" s="61" t="s">
        <v>626</v>
      </c>
      <c r="E629" s="61" t="s">
        <v>8377</v>
      </c>
      <c r="F629" s="61">
        <v>0.51300000000000001</v>
      </c>
      <c r="G629" s="61" t="s">
        <v>7801</v>
      </c>
      <c r="H629" s="62"/>
      <c r="I629" s="62"/>
      <c r="J629" s="62"/>
      <c r="K629" s="61" t="s">
        <v>510</v>
      </c>
      <c r="W629" s="213">
        <v>629</v>
      </c>
      <c r="X629" s="214">
        <v>9</v>
      </c>
    </row>
    <row r="630" spans="1:24" x14ac:dyDescent="0.25">
      <c r="A630" s="63" t="s">
        <v>0</v>
      </c>
      <c r="B630" s="64" t="s">
        <v>32</v>
      </c>
      <c r="C630" s="139" t="s">
        <v>7830</v>
      </c>
      <c r="D630" s="63" t="s">
        <v>626</v>
      </c>
      <c r="E630" s="63" t="s">
        <v>7831</v>
      </c>
      <c r="F630" s="63">
        <v>0.35399999999999998</v>
      </c>
      <c r="G630" s="63" t="s">
        <v>7832</v>
      </c>
      <c r="H630" s="65"/>
      <c r="I630" s="65"/>
      <c r="J630" s="65"/>
      <c r="K630" s="63" t="s">
        <v>510</v>
      </c>
      <c r="W630" s="213">
        <v>630</v>
      </c>
      <c r="X630" s="214">
        <v>9</v>
      </c>
    </row>
    <row r="631" spans="1:24" x14ac:dyDescent="0.25">
      <c r="A631" s="61" t="s">
        <v>0</v>
      </c>
      <c r="B631" s="60" t="s">
        <v>32</v>
      </c>
      <c r="C631" s="189" t="s">
        <v>7826</v>
      </c>
      <c r="D631" s="61" t="s">
        <v>626</v>
      </c>
      <c r="E631" s="61" t="s">
        <v>7827</v>
      </c>
      <c r="F631" s="61">
        <v>0.66700000000000004</v>
      </c>
      <c r="G631" s="61" t="s">
        <v>1694</v>
      </c>
      <c r="H631" s="62"/>
      <c r="I631" s="62"/>
      <c r="J631" s="62"/>
      <c r="K631" s="61" t="s">
        <v>510</v>
      </c>
      <c r="W631" s="213">
        <v>631</v>
      </c>
      <c r="X631" s="214">
        <v>9</v>
      </c>
    </row>
    <row r="632" spans="1:24" x14ac:dyDescent="0.25">
      <c r="A632" s="63" t="s">
        <v>0</v>
      </c>
      <c r="B632" s="64" t="s">
        <v>32</v>
      </c>
      <c r="C632" s="139" t="s">
        <v>8378</v>
      </c>
      <c r="D632" s="63" t="s">
        <v>626</v>
      </c>
      <c r="E632" s="63" t="s">
        <v>8379</v>
      </c>
      <c r="F632" s="63">
        <v>0.34399999999999997</v>
      </c>
      <c r="G632" s="63" t="s">
        <v>8380</v>
      </c>
      <c r="H632" s="65"/>
      <c r="I632" s="65"/>
      <c r="J632" s="65"/>
      <c r="K632" s="63" t="s">
        <v>510</v>
      </c>
      <c r="W632" s="213">
        <v>632</v>
      </c>
      <c r="X632" s="214">
        <v>9</v>
      </c>
    </row>
    <row r="633" spans="1:24" x14ac:dyDescent="0.25">
      <c r="A633" s="61" t="s">
        <v>0</v>
      </c>
      <c r="B633" s="60" t="s">
        <v>32</v>
      </c>
      <c r="C633" s="61" t="s">
        <v>7828</v>
      </c>
      <c r="D633" s="61" t="s">
        <v>626</v>
      </c>
      <c r="E633" s="61" t="s">
        <v>7829</v>
      </c>
      <c r="F633" s="61">
        <v>0.41699999999999998</v>
      </c>
      <c r="G633" s="61" t="s">
        <v>3324</v>
      </c>
      <c r="H633" s="62"/>
      <c r="I633" s="62"/>
      <c r="J633" s="62"/>
      <c r="K633" s="61" t="s">
        <v>510</v>
      </c>
      <c r="W633" s="213">
        <v>633</v>
      </c>
      <c r="X633" s="214">
        <v>9</v>
      </c>
    </row>
    <row r="634" spans="1:24" x14ac:dyDescent="0.25">
      <c r="A634" s="63" t="s">
        <v>0</v>
      </c>
      <c r="B634" s="64" t="s">
        <v>32</v>
      </c>
      <c r="C634" s="139" t="s">
        <v>8381</v>
      </c>
      <c r="D634" s="63" t="s">
        <v>626</v>
      </c>
      <c r="E634" s="63" t="s">
        <v>8384</v>
      </c>
      <c r="F634" s="63">
        <v>9.8000000000000004E-2</v>
      </c>
      <c r="G634" s="63" t="s">
        <v>4964</v>
      </c>
      <c r="H634" s="65"/>
      <c r="I634" s="65"/>
      <c r="J634" s="65"/>
      <c r="K634" s="63" t="s">
        <v>510</v>
      </c>
      <c r="W634" s="213">
        <v>634</v>
      </c>
      <c r="X634" s="214">
        <v>9</v>
      </c>
    </row>
    <row r="635" spans="1:24" x14ac:dyDescent="0.25">
      <c r="A635" s="61" t="s">
        <v>0</v>
      </c>
      <c r="B635" s="60" t="s">
        <v>32</v>
      </c>
      <c r="C635" s="189" t="s">
        <v>8382</v>
      </c>
      <c r="D635" s="61" t="s">
        <v>626</v>
      </c>
      <c r="E635" s="61" t="s">
        <v>8383</v>
      </c>
      <c r="F635" s="61">
        <v>0.41199999999999998</v>
      </c>
      <c r="G635" s="61" t="s">
        <v>8172</v>
      </c>
      <c r="H635" s="62"/>
      <c r="I635" s="62"/>
      <c r="J635" s="62"/>
      <c r="K635" s="61" t="s">
        <v>510</v>
      </c>
      <c r="W635" s="213">
        <v>635</v>
      </c>
      <c r="X635" s="214">
        <v>9</v>
      </c>
    </row>
    <row r="636" spans="1:24" x14ac:dyDescent="0.25">
      <c r="A636" s="63" t="s">
        <v>0</v>
      </c>
      <c r="B636" s="64" t="s">
        <v>32</v>
      </c>
      <c r="C636" s="139" t="s">
        <v>7833</v>
      </c>
      <c r="D636" s="63" t="s">
        <v>626</v>
      </c>
      <c r="E636" s="63" t="s">
        <v>7834</v>
      </c>
      <c r="F636" s="63">
        <v>0.57499999999999996</v>
      </c>
      <c r="G636" s="63" t="s">
        <v>7835</v>
      </c>
      <c r="H636" s="65"/>
      <c r="I636" s="65"/>
      <c r="J636" s="65"/>
      <c r="K636" s="63" t="s">
        <v>510</v>
      </c>
      <c r="W636" s="213">
        <v>636</v>
      </c>
      <c r="X636" s="214">
        <v>9</v>
      </c>
    </row>
    <row r="637" spans="1:24" x14ac:dyDescent="0.25">
      <c r="A637" s="61" t="s">
        <v>0</v>
      </c>
      <c r="B637" s="60" t="s">
        <v>32</v>
      </c>
      <c r="C637" s="189" t="s">
        <v>7813</v>
      </c>
      <c r="D637" s="61" t="s">
        <v>626</v>
      </c>
      <c r="E637" s="61" t="s">
        <v>7814</v>
      </c>
      <c r="F637" s="61">
        <v>0.312</v>
      </c>
      <c r="G637" s="61" t="s">
        <v>3324</v>
      </c>
      <c r="H637" s="62"/>
      <c r="I637" s="62"/>
      <c r="J637" s="62"/>
      <c r="K637" s="61" t="s">
        <v>510</v>
      </c>
      <c r="W637" s="213">
        <v>637</v>
      </c>
      <c r="X637" s="214">
        <v>9</v>
      </c>
    </row>
    <row r="638" spans="1:24" x14ac:dyDescent="0.25">
      <c r="A638" s="63" t="s">
        <v>0</v>
      </c>
      <c r="B638" s="64" t="s">
        <v>32</v>
      </c>
      <c r="C638" s="139" t="s">
        <v>8385</v>
      </c>
      <c r="D638" s="63" t="s">
        <v>626</v>
      </c>
      <c r="E638" s="63" t="s">
        <v>8387</v>
      </c>
      <c r="F638" s="63">
        <v>8.7999999999999995E-2</v>
      </c>
      <c r="G638" s="63" t="s">
        <v>7789</v>
      </c>
      <c r="H638" s="65"/>
      <c r="I638" s="65"/>
      <c r="J638" s="65"/>
      <c r="K638" s="63" t="s">
        <v>510</v>
      </c>
      <c r="W638" s="213">
        <v>638</v>
      </c>
      <c r="X638" s="214">
        <v>9</v>
      </c>
    </row>
    <row r="639" spans="1:24" x14ac:dyDescent="0.25">
      <c r="A639" s="61" t="s">
        <v>0</v>
      </c>
      <c r="B639" s="60" t="s">
        <v>32</v>
      </c>
      <c r="C639" s="189" t="s">
        <v>8386</v>
      </c>
      <c r="D639" s="61" t="s">
        <v>626</v>
      </c>
      <c r="E639" s="61" t="s">
        <v>8388</v>
      </c>
      <c r="F639" s="61">
        <v>0.121</v>
      </c>
      <c r="G639" s="61" t="s">
        <v>8322</v>
      </c>
      <c r="H639" s="62"/>
      <c r="I639" s="62"/>
      <c r="J639" s="62"/>
      <c r="K639" s="61" t="s">
        <v>510</v>
      </c>
      <c r="W639" s="213">
        <v>639</v>
      </c>
      <c r="X639" s="214">
        <v>9</v>
      </c>
    </row>
    <row r="640" spans="1:24" x14ac:dyDescent="0.25">
      <c r="A640" s="63" t="s">
        <v>0</v>
      </c>
      <c r="B640" s="64" t="s">
        <v>32</v>
      </c>
      <c r="C640" s="139" t="s">
        <v>8389</v>
      </c>
      <c r="D640" s="63" t="s">
        <v>626</v>
      </c>
      <c r="E640" s="63" t="s">
        <v>8392</v>
      </c>
      <c r="F640" s="63">
        <v>0.30499999999999999</v>
      </c>
      <c r="G640" s="63" t="s">
        <v>8347</v>
      </c>
      <c r="H640" s="65"/>
      <c r="I640" s="65"/>
      <c r="J640" s="65"/>
      <c r="K640" s="63" t="s">
        <v>510</v>
      </c>
      <c r="W640" s="213">
        <v>640</v>
      </c>
      <c r="X640" s="214">
        <v>9</v>
      </c>
    </row>
    <row r="641" spans="1:24" x14ac:dyDescent="0.25">
      <c r="A641" s="61" t="s">
        <v>0</v>
      </c>
      <c r="B641" s="60" t="s">
        <v>32</v>
      </c>
      <c r="C641" s="189" t="s">
        <v>7836</v>
      </c>
      <c r="D641" s="61" t="s">
        <v>626</v>
      </c>
      <c r="E641" s="61" t="s">
        <v>7837</v>
      </c>
      <c r="F641" s="61">
        <v>0.26700000000000002</v>
      </c>
      <c r="G641" s="61" t="s">
        <v>6764</v>
      </c>
      <c r="H641" s="62"/>
      <c r="I641" s="62"/>
      <c r="J641" s="62"/>
      <c r="K641" s="61" t="s">
        <v>510</v>
      </c>
      <c r="W641" s="213">
        <v>641</v>
      </c>
      <c r="X641" s="214">
        <v>9</v>
      </c>
    </row>
    <row r="642" spans="1:24" x14ac:dyDescent="0.25">
      <c r="A642" s="63" t="s">
        <v>0</v>
      </c>
      <c r="B642" s="64" t="s">
        <v>32</v>
      </c>
      <c r="C642" s="139" t="s">
        <v>8390</v>
      </c>
      <c r="D642" s="63" t="s">
        <v>626</v>
      </c>
      <c r="E642" s="63" t="s">
        <v>8393</v>
      </c>
      <c r="F642" s="63">
        <v>0.25700000000000001</v>
      </c>
      <c r="G642" s="63" t="s">
        <v>6302</v>
      </c>
      <c r="H642" s="65"/>
      <c r="I642" s="65"/>
      <c r="J642" s="65"/>
      <c r="K642" s="63" t="s">
        <v>510</v>
      </c>
      <c r="W642" s="213">
        <v>642</v>
      </c>
      <c r="X642" s="214">
        <v>9</v>
      </c>
    </row>
    <row r="643" spans="1:24" x14ac:dyDescent="0.25">
      <c r="A643" s="61" t="s">
        <v>0</v>
      </c>
      <c r="B643" s="60" t="s">
        <v>32</v>
      </c>
      <c r="C643" s="189" t="s">
        <v>8391</v>
      </c>
      <c r="D643" s="61" t="s">
        <v>626</v>
      </c>
      <c r="E643" s="61" t="s">
        <v>8394</v>
      </c>
      <c r="F643" s="61">
        <v>0.33600000000000002</v>
      </c>
      <c r="G643" s="61" t="s">
        <v>8395</v>
      </c>
      <c r="H643" s="62"/>
      <c r="I643" s="62"/>
      <c r="J643" s="62"/>
      <c r="K643" s="61" t="s">
        <v>510</v>
      </c>
      <c r="W643" s="213">
        <v>643</v>
      </c>
      <c r="X643" s="214">
        <v>9</v>
      </c>
    </row>
    <row r="644" spans="1:24" x14ac:dyDescent="0.25">
      <c r="A644" s="63" t="s">
        <v>0</v>
      </c>
      <c r="B644" s="64" t="s">
        <v>32</v>
      </c>
      <c r="C644" s="139" t="s">
        <v>8396</v>
      </c>
      <c r="D644" s="63" t="s">
        <v>626</v>
      </c>
      <c r="E644" s="63" t="s">
        <v>8397</v>
      </c>
      <c r="F644" s="63">
        <v>0.10100000000000001</v>
      </c>
      <c r="G644" s="63" t="s">
        <v>8398</v>
      </c>
      <c r="H644" s="65"/>
      <c r="I644" s="65"/>
      <c r="J644" s="65"/>
      <c r="K644" s="63" t="s">
        <v>510</v>
      </c>
      <c r="W644" s="213">
        <v>644</v>
      </c>
      <c r="X644" s="214">
        <v>9</v>
      </c>
    </row>
    <row r="645" spans="1:24" x14ac:dyDescent="0.25">
      <c r="A645" s="61" t="s">
        <v>0</v>
      </c>
      <c r="B645" s="60" t="s">
        <v>32</v>
      </c>
      <c r="C645" s="61" t="s">
        <v>1953</v>
      </c>
      <c r="D645" s="61" t="s">
        <v>50</v>
      </c>
      <c r="E645" s="61" t="s">
        <v>1954</v>
      </c>
      <c r="F645" s="61">
        <v>0.20599999999999999</v>
      </c>
      <c r="G645" s="61" t="s">
        <v>1916</v>
      </c>
      <c r="H645" s="62"/>
      <c r="I645" s="62"/>
      <c r="J645" s="62"/>
      <c r="K645" s="61" t="s">
        <v>510</v>
      </c>
      <c r="W645" s="213">
        <v>645</v>
      </c>
      <c r="X645" s="214">
        <v>9</v>
      </c>
    </row>
    <row r="646" spans="1:24" x14ac:dyDescent="0.25">
      <c r="A646" s="63" t="s">
        <v>0</v>
      </c>
      <c r="B646" s="64" t="s">
        <v>32</v>
      </c>
      <c r="C646" s="139" t="s">
        <v>7838</v>
      </c>
      <c r="D646" s="63" t="s">
        <v>626</v>
      </c>
      <c r="E646" s="63" t="s">
        <v>7839</v>
      </c>
      <c r="F646" s="63">
        <v>0.20100000000000001</v>
      </c>
      <c r="G646" s="63" t="s">
        <v>7840</v>
      </c>
      <c r="H646" s="65"/>
      <c r="I646" s="65"/>
      <c r="J646" s="65"/>
      <c r="K646" s="63" t="s">
        <v>510</v>
      </c>
      <c r="W646" s="213">
        <v>646</v>
      </c>
      <c r="X646" s="214">
        <v>9</v>
      </c>
    </row>
    <row r="647" spans="1:24" x14ac:dyDescent="0.25">
      <c r="A647" s="61" t="s">
        <v>0</v>
      </c>
      <c r="B647" s="60" t="s">
        <v>32</v>
      </c>
      <c r="C647" s="189" t="s">
        <v>8399</v>
      </c>
      <c r="D647" s="61" t="s">
        <v>626</v>
      </c>
      <c r="E647" s="61" t="s">
        <v>8400</v>
      </c>
      <c r="F647" s="61">
        <v>0.23899999999999999</v>
      </c>
      <c r="G647" s="61" t="s">
        <v>8401</v>
      </c>
      <c r="H647" s="62"/>
      <c r="I647" s="62"/>
      <c r="J647" s="62"/>
      <c r="K647" s="61" t="s">
        <v>510</v>
      </c>
      <c r="W647" s="213">
        <v>647</v>
      </c>
      <c r="X647" s="214">
        <v>9</v>
      </c>
    </row>
    <row r="648" spans="1:24" x14ac:dyDescent="0.25">
      <c r="A648" s="63" t="s">
        <v>0</v>
      </c>
      <c r="B648" s="64" t="s">
        <v>32</v>
      </c>
      <c r="C648" s="139" t="s">
        <v>7841</v>
      </c>
      <c r="D648" s="63" t="s">
        <v>626</v>
      </c>
      <c r="E648" s="63" t="s">
        <v>7842</v>
      </c>
      <c r="F648" s="63">
        <v>0.29599999999999999</v>
      </c>
      <c r="G648" s="63" t="s">
        <v>7843</v>
      </c>
      <c r="H648" s="65"/>
      <c r="I648" s="65"/>
      <c r="J648" s="65"/>
      <c r="K648" s="63" t="s">
        <v>510</v>
      </c>
      <c r="W648" s="213">
        <v>648</v>
      </c>
      <c r="X648" s="214">
        <v>9</v>
      </c>
    </row>
    <row r="649" spans="1:24" x14ac:dyDescent="0.25">
      <c r="A649" s="61" t="s">
        <v>0</v>
      </c>
      <c r="B649" s="60" t="s">
        <v>32</v>
      </c>
      <c r="C649" s="189" t="s">
        <v>8402</v>
      </c>
      <c r="D649" s="61" t="s">
        <v>626</v>
      </c>
      <c r="E649" s="61" t="s">
        <v>8403</v>
      </c>
      <c r="F649" s="61">
        <v>0.50600000000000001</v>
      </c>
      <c r="G649" s="61" t="s">
        <v>7757</v>
      </c>
      <c r="H649" s="62"/>
      <c r="I649" s="62"/>
      <c r="J649" s="62"/>
      <c r="K649" s="61" t="s">
        <v>510</v>
      </c>
      <c r="W649" s="213">
        <v>649</v>
      </c>
      <c r="X649" s="214">
        <v>9</v>
      </c>
    </row>
    <row r="650" spans="1:24" x14ac:dyDescent="0.25">
      <c r="A650" s="63" t="s">
        <v>0</v>
      </c>
      <c r="B650" s="64" t="s">
        <v>32</v>
      </c>
      <c r="C650" s="139" t="s">
        <v>7844</v>
      </c>
      <c r="D650" s="63" t="s">
        <v>626</v>
      </c>
      <c r="E650" s="63" t="s">
        <v>7845</v>
      </c>
      <c r="F650" s="63">
        <v>0.53100000000000003</v>
      </c>
      <c r="G650" s="63" t="s">
        <v>7846</v>
      </c>
      <c r="H650" s="65"/>
      <c r="I650" s="65"/>
      <c r="J650" s="65"/>
      <c r="K650" s="63" t="s">
        <v>510</v>
      </c>
      <c r="W650" s="213">
        <v>650</v>
      </c>
      <c r="X650" s="214">
        <v>9</v>
      </c>
    </row>
    <row r="651" spans="1:24" x14ac:dyDescent="0.25">
      <c r="A651" s="61" t="s">
        <v>0</v>
      </c>
      <c r="B651" s="60" t="s">
        <v>32</v>
      </c>
      <c r="C651" s="189" t="s">
        <v>8404</v>
      </c>
      <c r="D651" s="61" t="s">
        <v>626</v>
      </c>
      <c r="E651" s="61" t="s">
        <v>8406</v>
      </c>
      <c r="F651" s="61">
        <v>0.59899999999999998</v>
      </c>
      <c r="G651" s="61" t="s">
        <v>8155</v>
      </c>
      <c r="H651" s="62"/>
      <c r="I651" s="62"/>
      <c r="J651" s="62"/>
      <c r="K651" s="61" t="s">
        <v>510</v>
      </c>
      <c r="W651" s="213">
        <v>651</v>
      </c>
      <c r="X651" s="214">
        <v>9</v>
      </c>
    </row>
    <row r="652" spans="1:24" x14ac:dyDescent="0.25">
      <c r="A652" s="63" t="s">
        <v>0</v>
      </c>
      <c r="B652" s="64" t="s">
        <v>32</v>
      </c>
      <c r="C652" s="139" t="s">
        <v>8405</v>
      </c>
      <c r="D652" s="63" t="s">
        <v>626</v>
      </c>
      <c r="E652" s="63" t="s">
        <v>8407</v>
      </c>
      <c r="F652" s="63">
        <v>0.40200000000000002</v>
      </c>
      <c r="G652" s="63" t="s">
        <v>8408</v>
      </c>
      <c r="H652" s="65"/>
      <c r="I652" s="65"/>
      <c r="J652" s="65"/>
      <c r="K652" s="63" t="s">
        <v>510</v>
      </c>
      <c r="W652" s="213">
        <v>652</v>
      </c>
      <c r="X652" s="214">
        <v>9</v>
      </c>
    </row>
    <row r="653" spans="1:24" x14ac:dyDescent="0.25">
      <c r="A653" s="61" t="s">
        <v>0</v>
      </c>
      <c r="B653" s="60" t="s">
        <v>32</v>
      </c>
      <c r="C653" s="189" t="s">
        <v>7847</v>
      </c>
      <c r="D653" s="61" t="s">
        <v>626</v>
      </c>
      <c r="E653" s="61" t="s">
        <v>7848</v>
      </c>
      <c r="F653" s="61">
        <v>0.155</v>
      </c>
      <c r="G653" s="61" t="s">
        <v>7849</v>
      </c>
      <c r="H653" s="62"/>
      <c r="I653" s="62"/>
      <c r="J653" s="62"/>
      <c r="K653" s="61" t="s">
        <v>510</v>
      </c>
      <c r="W653" s="213">
        <v>653</v>
      </c>
      <c r="X653" s="214">
        <v>9</v>
      </c>
    </row>
    <row r="654" spans="1:24" x14ac:dyDescent="0.25">
      <c r="A654" s="63" t="s">
        <v>0</v>
      </c>
      <c r="B654" s="64" t="s">
        <v>32</v>
      </c>
      <c r="C654" s="139" t="s">
        <v>7850</v>
      </c>
      <c r="D654" s="63" t="s">
        <v>626</v>
      </c>
      <c r="E654" s="63" t="s">
        <v>7851</v>
      </c>
      <c r="F654" s="63">
        <v>0.29199999999999998</v>
      </c>
      <c r="G654" s="63" t="s">
        <v>7852</v>
      </c>
      <c r="H654" s="65"/>
      <c r="I654" s="65"/>
      <c r="J654" s="65"/>
      <c r="K654" s="63" t="s">
        <v>510</v>
      </c>
      <c r="W654" s="213">
        <v>654</v>
      </c>
      <c r="X654" s="214">
        <v>9</v>
      </c>
    </row>
    <row r="655" spans="1:24" x14ac:dyDescent="0.25">
      <c r="A655" s="61" t="s">
        <v>0</v>
      </c>
      <c r="B655" s="60" t="s">
        <v>32</v>
      </c>
      <c r="C655" s="189" t="s">
        <v>8409</v>
      </c>
      <c r="D655" s="61" t="s">
        <v>626</v>
      </c>
      <c r="E655" s="61" t="s">
        <v>8413</v>
      </c>
      <c r="F655" s="61">
        <v>0.20300000000000001</v>
      </c>
      <c r="G655" s="61" t="s">
        <v>8417</v>
      </c>
      <c r="H655" s="62"/>
      <c r="I655" s="62"/>
      <c r="J655" s="62"/>
      <c r="K655" s="61" t="s">
        <v>510</v>
      </c>
      <c r="W655" s="213">
        <v>655</v>
      </c>
      <c r="X655" s="214">
        <v>9</v>
      </c>
    </row>
    <row r="656" spans="1:24" x14ac:dyDescent="0.25">
      <c r="A656" s="63" t="s">
        <v>0</v>
      </c>
      <c r="B656" s="64" t="s">
        <v>32</v>
      </c>
      <c r="C656" s="139" t="s">
        <v>8410</v>
      </c>
      <c r="D656" s="63" t="s">
        <v>626</v>
      </c>
      <c r="E656" s="63" t="s">
        <v>8414</v>
      </c>
      <c r="F656" s="63">
        <v>0.27700000000000002</v>
      </c>
      <c r="G656" s="63" t="s">
        <v>7852</v>
      </c>
      <c r="H656" s="65"/>
      <c r="I656" s="65"/>
      <c r="J656" s="65"/>
      <c r="K656" s="63" t="s">
        <v>510</v>
      </c>
      <c r="W656" s="213">
        <v>656</v>
      </c>
      <c r="X656" s="214">
        <v>9</v>
      </c>
    </row>
    <row r="657" spans="1:24" x14ac:dyDescent="0.25">
      <c r="A657" s="61" t="s">
        <v>0</v>
      </c>
      <c r="B657" s="60" t="s">
        <v>32</v>
      </c>
      <c r="C657" s="189" t="s">
        <v>1955</v>
      </c>
      <c r="D657" s="61" t="s">
        <v>626</v>
      </c>
      <c r="E657" s="61" t="s">
        <v>1956</v>
      </c>
      <c r="F657" s="61">
        <v>0.14799999999999999</v>
      </c>
      <c r="G657" s="61" t="s">
        <v>1957</v>
      </c>
      <c r="H657" s="62"/>
      <c r="I657" s="62"/>
      <c r="J657" s="62"/>
      <c r="K657" s="61" t="s">
        <v>510</v>
      </c>
      <c r="W657" s="213">
        <v>657</v>
      </c>
      <c r="X657" s="214">
        <v>9</v>
      </c>
    </row>
    <row r="658" spans="1:24" x14ac:dyDescent="0.25">
      <c r="A658" s="63" t="s">
        <v>0</v>
      </c>
      <c r="B658" s="64" t="s">
        <v>32</v>
      </c>
      <c r="C658" s="139" t="s">
        <v>8411</v>
      </c>
      <c r="D658" s="63" t="s">
        <v>626</v>
      </c>
      <c r="E658" s="63" t="s">
        <v>8415</v>
      </c>
      <c r="F658" s="63">
        <v>0.51200000000000001</v>
      </c>
      <c r="G658" s="63" t="s">
        <v>8418</v>
      </c>
      <c r="H658" s="65"/>
      <c r="I658" s="65"/>
      <c r="J658" s="65"/>
      <c r="K658" s="63" t="s">
        <v>510</v>
      </c>
      <c r="W658" s="213">
        <v>658</v>
      </c>
      <c r="X658" s="214">
        <v>9</v>
      </c>
    </row>
    <row r="659" spans="1:24" x14ac:dyDescent="0.25">
      <c r="A659" s="61" t="s">
        <v>0</v>
      </c>
      <c r="B659" s="60" t="s">
        <v>32</v>
      </c>
      <c r="C659" s="189" t="s">
        <v>8412</v>
      </c>
      <c r="D659" s="61" t="s">
        <v>626</v>
      </c>
      <c r="E659" s="61" t="s">
        <v>8416</v>
      </c>
      <c r="F659" s="61">
        <v>0.19900000000000001</v>
      </c>
      <c r="G659" s="61" t="s">
        <v>8152</v>
      </c>
      <c r="H659" s="62"/>
      <c r="I659" s="62"/>
      <c r="J659" s="62"/>
      <c r="K659" s="61" t="s">
        <v>510</v>
      </c>
      <c r="W659" s="213">
        <v>659</v>
      </c>
      <c r="X659" s="214">
        <v>9</v>
      </c>
    </row>
    <row r="660" spans="1:24" x14ac:dyDescent="0.25">
      <c r="A660" s="67" t="s">
        <v>1966</v>
      </c>
      <c r="B660" s="68" t="s">
        <v>3428</v>
      </c>
      <c r="C660" s="67">
        <v>0</v>
      </c>
      <c r="D660" s="68" t="s">
        <v>205</v>
      </c>
      <c r="E660" s="68" t="s">
        <v>3429</v>
      </c>
      <c r="F660" s="68">
        <v>0.19800000000000001</v>
      </c>
      <c r="G660" s="68" t="s">
        <v>3430</v>
      </c>
      <c r="H660" s="68" t="s">
        <v>3431</v>
      </c>
      <c r="I660" s="68" t="s">
        <v>3432</v>
      </c>
      <c r="J660" s="68" t="s">
        <v>3433</v>
      </c>
      <c r="K660" s="68" t="s">
        <v>510</v>
      </c>
      <c r="W660" s="213">
        <v>660</v>
      </c>
      <c r="X660" s="214">
        <v>10</v>
      </c>
    </row>
    <row r="661" spans="1:24" x14ac:dyDescent="0.25">
      <c r="A661" s="71" t="s">
        <v>1966</v>
      </c>
      <c r="B661" s="72" t="s">
        <v>3434</v>
      </c>
      <c r="C661" s="71">
        <v>0</v>
      </c>
      <c r="D661" s="72" t="s">
        <v>1772</v>
      </c>
      <c r="E661" s="72" t="s">
        <v>3435</v>
      </c>
      <c r="F661" s="72">
        <v>0.45500000000000002</v>
      </c>
      <c r="G661" s="72" t="s">
        <v>3436</v>
      </c>
      <c r="H661" s="72" t="s">
        <v>3437</v>
      </c>
      <c r="I661" s="72" t="s">
        <v>3438</v>
      </c>
      <c r="J661" s="72" t="s">
        <v>3439</v>
      </c>
      <c r="K661" s="72" t="s">
        <v>510</v>
      </c>
      <c r="W661" s="213">
        <v>661</v>
      </c>
      <c r="X661" s="214">
        <v>10</v>
      </c>
    </row>
    <row r="662" spans="1:24" x14ac:dyDescent="0.25">
      <c r="A662" s="67" t="s">
        <v>1966</v>
      </c>
      <c r="B662" s="68" t="s">
        <v>3440</v>
      </c>
      <c r="C662" s="67">
        <v>0</v>
      </c>
      <c r="D662" s="68" t="s">
        <v>391</v>
      </c>
      <c r="E662" s="68" t="s">
        <v>3441</v>
      </c>
      <c r="F662" s="68">
        <v>0.38</v>
      </c>
      <c r="G662" s="68" t="s">
        <v>3442</v>
      </c>
      <c r="H662" s="68" t="s">
        <v>3443</v>
      </c>
      <c r="I662" s="68" t="s">
        <v>3444</v>
      </c>
      <c r="J662" s="68" t="s">
        <v>3445</v>
      </c>
      <c r="K662" s="68" t="s">
        <v>510</v>
      </c>
      <c r="W662" s="213">
        <v>662</v>
      </c>
      <c r="X662" s="214">
        <v>10</v>
      </c>
    </row>
    <row r="663" spans="1:24" ht="15" customHeight="1" x14ac:dyDescent="0.25">
      <c r="A663" s="71" t="s">
        <v>1966</v>
      </c>
      <c r="B663" s="73" t="s">
        <v>3610</v>
      </c>
      <c r="C663" s="71">
        <v>0</v>
      </c>
      <c r="D663" s="72" t="s">
        <v>226</v>
      </c>
      <c r="E663" s="72" t="s">
        <v>3611</v>
      </c>
      <c r="F663" s="72">
        <v>0.32600000000000001</v>
      </c>
      <c r="G663" s="72" t="s">
        <v>3612</v>
      </c>
      <c r="H663" s="72" t="s">
        <v>3613</v>
      </c>
      <c r="I663" s="72" t="s">
        <v>3614</v>
      </c>
      <c r="J663" s="72" t="s">
        <v>3615</v>
      </c>
      <c r="K663" s="72" t="s">
        <v>510</v>
      </c>
      <c r="W663" s="213">
        <v>663</v>
      </c>
      <c r="X663" s="214">
        <v>10</v>
      </c>
    </row>
    <row r="664" spans="1:24" x14ac:dyDescent="0.25">
      <c r="A664" s="70" t="s">
        <v>1958</v>
      </c>
      <c r="B664" s="70" t="s">
        <v>1959</v>
      </c>
      <c r="C664" s="67">
        <v>0</v>
      </c>
      <c r="D664" s="68" t="s">
        <v>1960</v>
      </c>
      <c r="E664" s="68" t="s">
        <v>1961</v>
      </c>
      <c r="F664" s="68">
        <v>0.377</v>
      </c>
      <c r="G664" s="68" t="s">
        <v>1962</v>
      </c>
      <c r="H664" s="68" t="s">
        <v>1963</v>
      </c>
      <c r="I664" s="68" t="s">
        <v>1964</v>
      </c>
      <c r="J664" s="68" t="s">
        <v>1965</v>
      </c>
      <c r="K664" s="68" t="s">
        <v>510</v>
      </c>
      <c r="W664" s="213">
        <v>664</v>
      </c>
      <c r="X664" s="214">
        <v>10</v>
      </c>
    </row>
    <row r="665" spans="1:24" ht="15" customHeight="1" x14ac:dyDescent="0.25">
      <c r="A665" s="71" t="s">
        <v>1966</v>
      </c>
      <c r="B665" s="73" t="s">
        <v>3598</v>
      </c>
      <c r="C665" s="71">
        <v>0</v>
      </c>
      <c r="D665" s="72" t="s">
        <v>1974</v>
      </c>
      <c r="E665" s="72" t="s">
        <v>3599</v>
      </c>
      <c r="F665" s="72">
        <v>0.4</v>
      </c>
      <c r="G665" s="72" t="s">
        <v>3600</v>
      </c>
      <c r="H665" s="72" t="s">
        <v>3601</v>
      </c>
      <c r="I665" s="72" t="s">
        <v>3602</v>
      </c>
      <c r="J665" s="72" t="s">
        <v>3603</v>
      </c>
      <c r="K665" s="72" t="s">
        <v>510</v>
      </c>
      <c r="W665" s="213">
        <v>665</v>
      </c>
      <c r="X665" s="214">
        <v>10</v>
      </c>
    </row>
    <row r="666" spans="1:24" x14ac:dyDescent="0.25">
      <c r="A666" s="67" t="s">
        <v>1966</v>
      </c>
      <c r="B666" s="70" t="s">
        <v>1967</v>
      </c>
      <c r="C666" s="67">
        <v>0</v>
      </c>
      <c r="D666" s="68" t="s">
        <v>431</v>
      </c>
      <c r="E666" s="68" t="s">
        <v>1968</v>
      </c>
      <c r="F666" s="68">
        <v>0.17199999999999999</v>
      </c>
      <c r="G666" s="68" t="s">
        <v>1969</v>
      </c>
      <c r="H666" s="68" t="s">
        <v>1970</v>
      </c>
      <c r="I666" s="68" t="s">
        <v>1971</v>
      </c>
      <c r="J666" s="68" t="s">
        <v>1972</v>
      </c>
      <c r="K666" s="68" t="s">
        <v>9495</v>
      </c>
      <c r="W666" s="213">
        <v>666</v>
      </c>
      <c r="X666" s="214">
        <v>10</v>
      </c>
    </row>
    <row r="667" spans="1:24" ht="15" customHeight="1" x14ac:dyDescent="0.25">
      <c r="A667" s="71" t="s">
        <v>1966</v>
      </c>
      <c r="B667" s="73" t="s">
        <v>3604</v>
      </c>
      <c r="C667" s="71">
        <v>0</v>
      </c>
      <c r="D667" s="72" t="s">
        <v>469</v>
      </c>
      <c r="E667" s="72" t="s">
        <v>3605</v>
      </c>
      <c r="F667" s="72">
        <v>0.33600000000000002</v>
      </c>
      <c r="G667" s="72" t="s">
        <v>3606</v>
      </c>
      <c r="H667" s="72" t="s">
        <v>3607</v>
      </c>
      <c r="I667" s="72" t="s">
        <v>3608</v>
      </c>
      <c r="J667" s="72" t="s">
        <v>3609</v>
      </c>
      <c r="K667" s="72" t="s">
        <v>510</v>
      </c>
      <c r="W667" s="213">
        <v>667</v>
      </c>
      <c r="X667" s="214">
        <v>10</v>
      </c>
    </row>
    <row r="668" spans="1:24" x14ac:dyDescent="0.25">
      <c r="A668" s="67" t="s">
        <v>1966</v>
      </c>
      <c r="B668" s="68" t="s">
        <v>1973</v>
      </c>
      <c r="C668" s="67">
        <v>0</v>
      </c>
      <c r="D668" s="68" t="s">
        <v>1974</v>
      </c>
      <c r="E668" s="68" t="s">
        <v>1975</v>
      </c>
      <c r="F668" s="68">
        <v>0.19900000000000001</v>
      </c>
      <c r="G668" s="68" t="s">
        <v>1976</v>
      </c>
      <c r="H668" s="68" t="s">
        <v>1977</v>
      </c>
      <c r="I668" s="68" t="s">
        <v>1978</v>
      </c>
      <c r="J668" s="68" t="s">
        <v>1979</v>
      </c>
      <c r="K668" s="68" t="s">
        <v>510</v>
      </c>
      <c r="W668" s="213">
        <v>668</v>
      </c>
      <c r="X668" s="214">
        <v>10</v>
      </c>
    </row>
    <row r="669" spans="1:24" x14ac:dyDescent="0.25">
      <c r="A669" s="71" t="s">
        <v>1966</v>
      </c>
      <c r="B669" s="72" t="s">
        <v>3452</v>
      </c>
      <c r="C669" s="71">
        <v>0</v>
      </c>
      <c r="D669" s="72" t="s">
        <v>1987</v>
      </c>
      <c r="E669" s="72" t="s">
        <v>3453</v>
      </c>
      <c r="F669" s="72">
        <v>0.621</v>
      </c>
      <c r="G669" s="72" t="s">
        <v>3454</v>
      </c>
      <c r="H669" s="72" t="s">
        <v>3455</v>
      </c>
      <c r="I669" s="72" t="s">
        <v>3456</v>
      </c>
      <c r="J669" s="72" t="s">
        <v>3457</v>
      </c>
      <c r="K669" s="72" t="s">
        <v>510</v>
      </c>
      <c r="W669" s="213">
        <v>669</v>
      </c>
      <c r="X669" s="214">
        <v>10</v>
      </c>
    </row>
    <row r="670" spans="1:24" x14ac:dyDescent="0.25">
      <c r="A670" s="67" t="s">
        <v>1966</v>
      </c>
      <c r="B670" s="68" t="s">
        <v>3446</v>
      </c>
      <c r="C670" s="67">
        <v>0</v>
      </c>
      <c r="D670" s="68" t="s">
        <v>680</v>
      </c>
      <c r="E670" s="68" t="s">
        <v>3447</v>
      </c>
      <c r="F670" s="68">
        <v>0.45900000000000002</v>
      </c>
      <c r="G670" s="68" t="s">
        <v>3448</v>
      </c>
      <c r="H670" s="68" t="s">
        <v>3449</v>
      </c>
      <c r="I670" s="68" t="s">
        <v>3450</v>
      </c>
      <c r="J670" s="68" t="s">
        <v>3451</v>
      </c>
      <c r="K670" s="68" t="s">
        <v>510</v>
      </c>
      <c r="W670" s="213">
        <v>670</v>
      </c>
      <c r="X670" s="214">
        <v>10</v>
      </c>
    </row>
    <row r="671" spans="1:24" ht="15" customHeight="1" x14ac:dyDescent="0.25">
      <c r="A671" s="74" t="s">
        <v>1485</v>
      </c>
      <c r="B671" s="75" t="s">
        <v>1980</v>
      </c>
      <c r="C671" s="74">
        <v>0</v>
      </c>
      <c r="D671" s="76" t="s">
        <v>1772</v>
      </c>
      <c r="E671" s="76" t="s">
        <v>1981</v>
      </c>
      <c r="F671" s="76">
        <v>0.17799999999999999</v>
      </c>
      <c r="G671" s="76" t="s">
        <v>1982</v>
      </c>
      <c r="H671" s="76" t="s">
        <v>1983</v>
      </c>
      <c r="I671" s="76" t="s">
        <v>1984</v>
      </c>
      <c r="J671" s="76" t="s">
        <v>1985</v>
      </c>
      <c r="K671" s="76" t="s">
        <v>510</v>
      </c>
      <c r="W671" s="213">
        <v>671</v>
      </c>
      <c r="X671" s="214">
        <v>11</v>
      </c>
    </row>
    <row r="672" spans="1:24" ht="15" customHeight="1" x14ac:dyDescent="0.25">
      <c r="A672" s="79" t="s">
        <v>1485</v>
      </c>
      <c r="B672" s="80" t="s">
        <v>1986</v>
      </c>
      <c r="C672" s="79">
        <v>0</v>
      </c>
      <c r="D672" s="81" t="s">
        <v>1987</v>
      </c>
      <c r="E672" s="81" t="s">
        <v>1988</v>
      </c>
      <c r="F672" s="81">
        <v>0.27700000000000002</v>
      </c>
      <c r="G672" s="81" t="s">
        <v>1989</v>
      </c>
      <c r="H672" s="81" t="s">
        <v>1990</v>
      </c>
      <c r="I672" s="81" t="s">
        <v>1991</v>
      </c>
      <c r="J672" s="81" t="s">
        <v>1992</v>
      </c>
      <c r="K672" s="81" t="s">
        <v>510</v>
      </c>
      <c r="W672" s="213">
        <v>672</v>
      </c>
      <c r="X672" s="214">
        <v>11</v>
      </c>
    </row>
    <row r="673" spans="1:24" x14ac:dyDescent="0.25">
      <c r="A673" s="77" t="s">
        <v>1993</v>
      </c>
      <c r="B673" s="77" t="s">
        <v>1994</v>
      </c>
      <c r="C673" s="74">
        <v>29</v>
      </c>
      <c r="D673" s="76" t="s">
        <v>1995</v>
      </c>
      <c r="E673" s="76" t="s">
        <v>1996</v>
      </c>
      <c r="F673" s="76">
        <v>4.7E-2</v>
      </c>
      <c r="G673" s="76" t="s">
        <v>1997</v>
      </c>
      <c r="H673" s="76" t="s">
        <v>1998</v>
      </c>
      <c r="I673" s="76" t="s">
        <v>1999</v>
      </c>
      <c r="J673" s="76" t="s">
        <v>2000</v>
      </c>
      <c r="K673" s="76" t="s">
        <v>9532</v>
      </c>
      <c r="W673" s="213">
        <v>673</v>
      </c>
      <c r="X673" s="214">
        <v>11</v>
      </c>
    </row>
    <row r="674" spans="1:24" x14ac:dyDescent="0.25">
      <c r="A674" s="81" t="s">
        <v>0</v>
      </c>
      <c r="B674" s="79" t="s">
        <v>32</v>
      </c>
      <c r="C674" s="81" t="s">
        <v>2001</v>
      </c>
      <c r="D674" s="81" t="s">
        <v>1879</v>
      </c>
      <c r="E674" s="81" t="s">
        <v>2002</v>
      </c>
      <c r="F674" s="81">
        <v>0</v>
      </c>
      <c r="G674" s="81" t="s">
        <v>510</v>
      </c>
      <c r="H674" s="82"/>
      <c r="I674" s="82"/>
      <c r="J674" s="82"/>
      <c r="K674" s="81" t="s">
        <v>9533</v>
      </c>
      <c r="W674" s="213">
        <v>674</v>
      </c>
      <c r="X674" s="214">
        <v>11</v>
      </c>
    </row>
    <row r="675" spans="1:24" x14ac:dyDescent="0.25">
      <c r="A675" s="76" t="s">
        <v>0</v>
      </c>
      <c r="B675" s="74" t="s">
        <v>32</v>
      </c>
      <c r="C675" s="76" t="s">
        <v>1140</v>
      </c>
      <c r="D675" s="76" t="s">
        <v>1543</v>
      </c>
      <c r="E675" s="76" t="s">
        <v>2003</v>
      </c>
      <c r="F675" s="76">
        <v>0.01</v>
      </c>
      <c r="G675" s="76" t="s">
        <v>510</v>
      </c>
      <c r="H675" s="78"/>
      <c r="I675" s="78"/>
      <c r="J675" s="78"/>
      <c r="K675" s="76" t="s">
        <v>9534</v>
      </c>
      <c r="W675" s="213">
        <v>675</v>
      </c>
      <c r="X675" s="214">
        <v>11</v>
      </c>
    </row>
    <row r="676" spans="1:24" x14ac:dyDescent="0.25">
      <c r="A676" s="81" t="s">
        <v>0</v>
      </c>
      <c r="B676" s="79" t="s">
        <v>32</v>
      </c>
      <c r="C676" s="80" t="s">
        <v>7889</v>
      </c>
      <c r="D676" s="81" t="s">
        <v>938</v>
      </c>
      <c r="E676" s="81" t="s">
        <v>7890</v>
      </c>
      <c r="F676" s="81">
        <v>0</v>
      </c>
      <c r="G676" s="81" t="s">
        <v>510</v>
      </c>
      <c r="H676" s="82"/>
      <c r="I676" s="82"/>
      <c r="J676" s="82"/>
      <c r="K676" s="81" t="s">
        <v>510</v>
      </c>
      <c r="W676" s="213">
        <v>676</v>
      </c>
      <c r="X676" s="214">
        <v>11</v>
      </c>
    </row>
    <row r="677" spans="1:24" x14ac:dyDescent="0.25">
      <c r="A677" s="76" t="s">
        <v>0</v>
      </c>
      <c r="B677" s="74" t="s">
        <v>32</v>
      </c>
      <c r="C677" s="76" t="s">
        <v>2004</v>
      </c>
      <c r="D677" s="76" t="s">
        <v>391</v>
      </c>
      <c r="E677" s="76" t="s">
        <v>2005</v>
      </c>
      <c r="F677" s="76">
        <v>1E-3</v>
      </c>
      <c r="G677" s="76" t="s">
        <v>510</v>
      </c>
      <c r="H677" s="78"/>
      <c r="I677" s="78"/>
      <c r="J677" s="78"/>
      <c r="K677" s="76" t="s">
        <v>510</v>
      </c>
      <c r="W677" s="213">
        <v>677</v>
      </c>
      <c r="X677" s="214">
        <v>11</v>
      </c>
    </row>
    <row r="678" spans="1:24" x14ac:dyDescent="0.25">
      <c r="A678" s="81" t="s">
        <v>0</v>
      </c>
      <c r="B678" s="79" t="s">
        <v>32</v>
      </c>
      <c r="C678" s="81" t="s">
        <v>2006</v>
      </c>
      <c r="D678" s="81" t="s">
        <v>1588</v>
      </c>
      <c r="E678" s="81" t="s">
        <v>2007</v>
      </c>
      <c r="F678" s="81">
        <v>0</v>
      </c>
      <c r="G678" s="81" t="s">
        <v>510</v>
      </c>
      <c r="H678" s="82"/>
      <c r="I678" s="82"/>
      <c r="J678" s="82"/>
      <c r="K678" s="81" t="s">
        <v>9535</v>
      </c>
      <c r="W678" s="213">
        <v>678</v>
      </c>
      <c r="X678" s="214">
        <v>11</v>
      </c>
    </row>
    <row r="679" spans="1:24" x14ac:dyDescent="0.25">
      <c r="A679" s="76" t="s">
        <v>0</v>
      </c>
      <c r="B679" s="74" t="s">
        <v>32</v>
      </c>
      <c r="C679" s="76" t="s">
        <v>2008</v>
      </c>
      <c r="D679" s="76" t="s">
        <v>2009</v>
      </c>
      <c r="E679" s="76" t="s">
        <v>2010</v>
      </c>
      <c r="F679" s="76">
        <v>0</v>
      </c>
      <c r="G679" s="76" t="s">
        <v>510</v>
      </c>
      <c r="H679" s="78"/>
      <c r="I679" s="78"/>
      <c r="J679" s="78"/>
      <c r="K679" s="76" t="s">
        <v>510</v>
      </c>
      <c r="W679" s="213">
        <v>679</v>
      </c>
      <c r="X679" s="214">
        <v>11</v>
      </c>
    </row>
    <row r="680" spans="1:24" x14ac:dyDescent="0.25">
      <c r="A680" s="81" t="s">
        <v>0</v>
      </c>
      <c r="B680" s="79" t="s">
        <v>32</v>
      </c>
      <c r="C680" s="81" t="s">
        <v>2011</v>
      </c>
      <c r="D680" s="81" t="s">
        <v>178</v>
      </c>
      <c r="E680" s="81" t="s">
        <v>2012</v>
      </c>
      <c r="F680" s="81">
        <v>1E-3</v>
      </c>
      <c r="G680" s="81" t="s">
        <v>510</v>
      </c>
      <c r="H680" s="82"/>
      <c r="I680" s="82"/>
      <c r="J680" s="82"/>
      <c r="K680" s="81" t="s">
        <v>510</v>
      </c>
      <c r="W680" s="213">
        <v>680</v>
      </c>
      <c r="X680" s="214">
        <v>11</v>
      </c>
    </row>
    <row r="681" spans="1:24" x14ac:dyDescent="0.25">
      <c r="A681" s="76" t="s">
        <v>0</v>
      </c>
      <c r="B681" s="74" t="s">
        <v>32</v>
      </c>
      <c r="C681" s="76" t="s">
        <v>2013</v>
      </c>
      <c r="D681" s="76" t="s">
        <v>782</v>
      </c>
      <c r="E681" s="76" t="s">
        <v>2014</v>
      </c>
      <c r="F681" s="76">
        <v>0</v>
      </c>
      <c r="G681" s="76" t="s">
        <v>510</v>
      </c>
      <c r="H681" s="78"/>
      <c r="I681" s="78"/>
      <c r="J681" s="78"/>
      <c r="K681" s="76" t="s">
        <v>510</v>
      </c>
      <c r="W681" s="213">
        <v>681</v>
      </c>
      <c r="X681" s="214">
        <v>11</v>
      </c>
    </row>
    <row r="682" spans="1:24" x14ac:dyDescent="0.25">
      <c r="A682" s="81" t="s">
        <v>0</v>
      </c>
      <c r="B682" s="79" t="s">
        <v>32</v>
      </c>
      <c r="C682" s="81" t="s">
        <v>2015</v>
      </c>
      <c r="D682" s="81" t="s">
        <v>2016</v>
      </c>
      <c r="E682" s="81" t="s">
        <v>2017</v>
      </c>
      <c r="F682" s="81">
        <v>0</v>
      </c>
      <c r="G682" s="81" t="s">
        <v>510</v>
      </c>
      <c r="H682" s="82"/>
      <c r="I682" s="82"/>
      <c r="J682" s="82"/>
      <c r="K682" s="81" t="s">
        <v>510</v>
      </c>
      <c r="W682" s="213">
        <v>682</v>
      </c>
      <c r="X682" s="214">
        <v>11</v>
      </c>
    </row>
    <row r="683" spans="1:24" x14ac:dyDescent="0.25">
      <c r="A683" s="76" t="s">
        <v>0</v>
      </c>
      <c r="B683" s="74" t="s">
        <v>32</v>
      </c>
      <c r="C683" s="76" t="s">
        <v>2018</v>
      </c>
      <c r="D683" s="76" t="s">
        <v>1840</v>
      </c>
      <c r="E683" s="76" t="s">
        <v>2019</v>
      </c>
      <c r="F683" s="76">
        <v>1E-3</v>
      </c>
      <c r="G683" s="76" t="s">
        <v>510</v>
      </c>
      <c r="H683" s="78"/>
      <c r="I683" s="78"/>
      <c r="J683" s="78"/>
      <c r="K683" s="76" t="s">
        <v>510</v>
      </c>
      <c r="W683" s="213">
        <v>683</v>
      </c>
      <c r="X683" s="214">
        <v>11</v>
      </c>
    </row>
    <row r="684" spans="1:24" x14ac:dyDescent="0.25">
      <c r="A684" s="81" t="s">
        <v>0</v>
      </c>
      <c r="B684" s="79" t="s">
        <v>32</v>
      </c>
      <c r="C684" s="81" t="s">
        <v>2020</v>
      </c>
      <c r="D684" s="81" t="s">
        <v>2021</v>
      </c>
      <c r="E684" s="81" t="s">
        <v>2022</v>
      </c>
      <c r="F684" s="81">
        <v>0</v>
      </c>
      <c r="G684" s="81" t="s">
        <v>510</v>
      </c>
      <c r="H684" s="82"/>
      <c r="I684" s="82"/>
      <c r="J684" s="82"/>
      <c r="K684" s="81" t="s">
        <v>510</v>
      </c>
      <c r="W684" s="213">
        <v>684</v>
      </c>
      <c r="X684" s="214">
        <v>11</v>
      </c>
    </row>
    <row r="685" spans="1:24" x14ac:dyDescent="0.25">
      <c r="A685" s="76" t="s">
        <v>0</v>
      </c>
      <c r="B685" s="74" t="s">
        <v>32</v>
      </c>
      <c r="C685" s="76" t="s">
        <v>2023</v>
      </c>
      <c r="D685" s="76" t="s">
        <v>1616</v>
      </c>
      <c r="E685" s="76" t="s">
        <v>2024</v>
      </c>
      <c r="F685" s="76">
        <v>1E-3</v>
      </c>
      <c r="G685" s="76" t="s">
        <v>510</v>
      </c>
      <c r="H685" s="78"/>
      <c r="I685" s="78"/>
      <c r="J685" s="78"/>
      <c r="K685" s="76" t="s">
        <v>510</v>
      </c>
      <c r="W685" s="213">
        <v>685</v>
      </c>
      <c r="X685" s="214">
        <v>11</v>
      </c>
    </row>
    <row r="686" spans="1:24" x14ac:dyDescent="0.25">
      <c r="A686" s="81" t="s">
        <v>0</v>
      </c>
      <c r="B686" s="79" t="s">
        <v>32</v>
      </c>
      <c r="C686" s="83" t="s">
        <v>2025</v>
      </c>
      <c r="D686" s="81" t="s">
        <v>2026</v>
      </c>
      <c r="E686" s="81" t="s">
        <v>2027</v>
      </c>
      <c r="F686" s="81">
        <v>0</v>
      </c>
      <c r="G686" s="81" t="s">
        <v>510</v>
      </c>
      <c r="H686" s="82"/>
      <c r="I686" s="82"/>
      <c r="J686" s="82"/>
      <c r="K686" s="81" t="s">
        <v>9536</v>
      </c>
      <c r="W686" s="213">
        <v>686</v>
      </c>
      <c r="X686" s="214">
        <v>11</v>
      </c>
    </row>
    <row r="687" spans="1:24" x14ac:dyDescent="0.25">
      <c r="A687" s="76" t="s">
        <v>0</v>
      </c>
      <c r="B687" s="74" t="s">
        <v>32</v>
      </c>
      <c r="C687" s="76" t="s">
        <v>2028</v>
      </c>
      <c r="D687" s="76" t="s">
        <v>1840</v>
      </c>
      <c r="E687" s="76" t="s">
        <v>2029</v>
      </c>
      <c r="F687" s="76">
        <v>4.0000000000000001E-3</v>
      </c>
      <c r="G687" s="76" t="s">
        <v>510</v>
      </c>
      <c r="H687" s="78"/>
      <c r="I687" s="78"/>
      <c r="J687" s="78"/>
      <c r="K687" s="76" t="s">
        <v>510</v>
      </c>
      <c r="W687" s="213">
        <v>687</v>
      </c>
      <c r="X687" s="214">
        <v>11</v>
      </c>
    </row>
    <row r="688" spans="1:24" x14ac:dyDescent="0.25">
      <c r="A688" s="81" t="s">
        <v>0</v>
      </c>
      <c r="B688" s="79" t="s">
        <v>32</v>
      </c>
      <c r="C688" s="83" t="s">
        <v>2030</v>
      </c>
      <c r="D688" s="81" t="s">
        <v>2031</v>
      </c>
      <c r="E688" s="81" t="s">
        <v>2032</v>
      </c>
      <c r="F688" s="81">
        <v>1E-3</v>
      </c>
      <c r="G688" s="81" t="s">
        <v>510</v>
      </c>
      <c r="H688" s="82"/>
      <c r="I688" s="82"/>
      <c r="J688" s="82"/>
      <c r="K688" s="81" t="s">
        <v>9537</v>
      </c>
      <c r="W688" s="213">
        <v>688</v>
      </c>
      <c r="X688" s="214">
        <v>11</v>
      </c>
    </row>
    <row r="689" spans="1:24" x14ac:dyDescent="0.25">
      <c r="A689" s="76" t="s">
        <v>0</v>
      </c>
      <c r="B689" s="74" t="s">
        <v>32</v>
      </c>
      <c r="C689" s="77" t="s">
        <v>2033</v>
      </c>
      <c r="D689" s="76" t="s">
        <v>2034</v>
      </c>
      <c r="E689" s="76" t="s">
        <v>2035</v>
      </c>
      <c r="F689" s="76">
        <v>1E-3</v>
      </c>
      <c r="G689" s="76" t="s">
        <v>510</v>
      </c>
      <c r="H689" s="78"/>
      <c r="I689" s="78"/>
      <c r="J689" s="78"/>
      <c r="K689" s="76" t="s">
        <v>9538</v>
      </c>
      <c r="W689" s="213">
        <v>689</v>
      </c>
      <c r="X689" s="214">
        <v>11</v>
      </c>
    </row>
    <row r="690" spans="1:24" x14ac:dyDescent="0.25">
      <c r="A690" s="81" t="s">
        <v>0</v>
      </c>
      <c r="B690" s="79" t="s">
        <v>32</v>
      </c>
      <c r="C690" s="83" t="s">
        <v>2036</v>
      </c>
      <c r="D690" s="81" t="s">
        <v>2037</v>
      </c>
      <c r="E690" s="81" t="s">
        <v>2038</v>
      </c>
      <c r="F690" s="81">
        <v>4.0000000000000001E-3</v>
      </c>
      <c r="G690" s="81" t="s">
        <v>510</v>
      </c>
      <c r="H690" s="82"/>
      <c r="I690" s="82"/>
      <c r="J690" s="82"/>
      <c r="K690" s="81" t="s">
        <v>9539</v>
      </c>
      <c r="W690" s="213">
        <v>690</v>
      </c>
      <c r="X690" s="214">
        <v>11</v>
      </c>
    </row>
    <row r="691" spans="1:24" x14ac:dyDescent="0.25">
      <c r="A691" s="76" t="s">
        <v>0</v>
      </c>
      <c r="B691" s="74" t="s">
        <v>32</v>
      </c>
      <c r="C691" s="77" t="s">
        <v>2039</v>
      </c>
      <c r="D691" s="76" t="s">
        <v>2040</v>
      </c>
      <c r="E691" s="76" t="s">
        <v>2041</v>
      </c>
      <c r="F691" s="76">
        <v>1E-3</v>
      </c>
      <c r="G691" s="76" t="s">
        <v>510</v>
      </c>
      <c r="H691" s="78"/>
      <c r="I691" s="78"/>
      <c r="J691" s="78"/>
      <c r="K691" s="76" t="s">
        <v>9540</v>
      </c>
      <c r="W691" s="213">
        <v>691</v>
      </c>
      <c r="X691" s="214">
        <v>11</v>
      </c>
    </row>
    <row r="692" spans="1:24" x14ac:dyDescent="0.25">
      <c r="A692" s="81" t="s">
        <v>0</v>
      </c>
      <c r="B692" s="79" t="s">
        <v>32</v>
      </c>
      <c r="C692" s="83" t="s">
        <v>2042</v>
      </c>
      <c r="D692" s="81" t="s">
        <v>2043</v>
      </c>
      <c r="E692" s="81" t="s">
        <v>2044</v>
      </c>
      <c r="F692" s="81">
        <v>1E-3</v>
      </c>
      <c r="G692" s="81" t="s">
        <v>510</v>
      </c>
      <c r="H692" s="82"/>
      <c r="I692" s="82"/>
      <c r="J692" s="82"/>
      <c r="K692" s="81" t="s">
        <v>9541</v>
      </c>
      <c r="W692" s="213">
        <v>692</v>
      </c>
      <c r="X692" s="214">
        <v>11</v>
      </c>
    </row>
    <row r="693" spans="1:24" x14ac:dyDescent="0.25">
      <c r="A693" s="76" t="s">
        <v>0</v>
      </c>
      <c r="B693" s="74" t="s">
        <v>32</v>
      </c>
      <c r="C693" s="76" t="s">
        <v>2045</v>
      </c>
      <c r="D693" s="76" t="s">
        <v>80</v>
      </c>
      <c r="E693" s="76" t="s">
        <v>2046</v>
      </c>
      <c r="F693" s="76">
        <v>0.14599999999999999</v>
      </c>
      <c r="G693" s="76" t="s">
        <v>2047</v>
      </c>
      <c r="H693" s="78"/>
      <c r="I693" s="78"/>
      <c r="J693" s="78"/>
      <c r="K693" s="76" t="s">
        <v>510</v>
      </c>
      <c r="W693" s="213">
        <v>693</v>
      </c>
      <c r="X693" s="214">
        <v>11</v>
      </c>
    </row>
    <row r="694" spans="1:24" x14ac:dyDescent="0.25">
      <c r="A694" s="81" t="s">
        <v>0</v>
      </c>
      <c r="B694" s="79" t="s">
        <v>32</v>
      </c>
      <c r="C694" s="81" t="s">
        <v>2048</v>
      </c>
      <c r="D694" s="81" t="s">
        <v>1584</v>
      </c>
      <c r="E694" s="81" t="s">
        <v>2049</v>
      </c>
      <c r="F694" s="81">
        <v>7.6999999999999999E-2</v>
      </c>
      <c r="G694" s="81" t="s">
        <v>2050</v>
      </c>
      <c r="H694" s="82"/>
      <c r="I694" s="82"/>
      <c r="J694" s="82"/>
      <c r="K694" s="81" t="s">
        <v>510</v>
      </c>
      <c r="W694" s="213">
        <v>694</v>
      </c>
      <c r="X694" s="214">
        <v>11</v>
      </c>
    </row>
    <row r="695" spans="1:24" x14ac:dyDescent="0.25">
      <c r="A695" s="76" t="s">
        <v>0</v>
      </c>
      <c r="B695" s="74" t="s">
        <v>32</v>
      </c>
      <c r="C695" s="76" t="s">
        <v>2051</v>
      </c>
      <c r="D695" s="76" t="s">
        <v>768</v>
      </c>
      <c r="E695" s="76" t="s">
        <v>2052</v>
      </c>
      <c r="F695" s="76">
        <v>0.23499999999999999</v>
      </c>
      <c r="G695" s="76" t="s">
        <v>2053</v>
      </c>
      <c r="H695" s="78"/>
      <c r="I695" s="78"/>
      <c r="J695" s="78"/>
      <c r="K695" s="76" t="s">
        <v>510</v>
      </c>
      <c r="W695" s="213">
        <v>695</v>
      </c>
      <c r="X695" s="214">
        <v>11</v>
      </c>
    </row>
    <row r="696" spans="1:24" x14ac:dyDescent="0.25">
      <c r="A696" s="81" t="s">
        <v>0</v>
      </c>
      <c r="B696" s="79" t="s">
        <v>32</v>
      </c>
      <c r="C696" s="80" t="s">
        <v>2054</v>
      </c>
      <c r="D696" s="81" t="s">
        <v>740</v>
      </c>
      <c r="E696" s="81" t="s">
        <v>2055</v>
      </c>
      <c r="F696" s="81">
        <v>0.25</v>
      </c>
      <c r="G696" s="81" t="s">
        <v>2056</v>
      </c>
      <c r="H696" s="82"/>
      <c r="I696" s="82"/>
      <c r="J696" s="82"/>
      <c r="K696" s="81" t="s">
        <v>510</v>
      </c>
      <c r="W696" s="213">
        <v>696</v>
      </c>
      <c r="X696" s="214">
        <v>11</v>
      </c>
    </row>
    <row r="697" spans="1:24" x14ac:dyDescent="0.25">
      <c r="A697" s="76" t="s">
        <v>0</v>
      </c>
      <c r="B697" s="74" t="s">
        <v>32</v>
      </c>
      <c r="C697" s="76" t="s">
        <v>2057</v>
      </c>
      <c r="D697" s="76" t="s">
        <v>1840</v>
      </c>
      <c r="E697" s="76" t="s">
        <v>2058</v>
      </c>
      <c r="F697" s="76">
        <v>0.22</v>
      </c>
      <c r="G697" s="76" t="s">
        <v>2059</v>
      </c>
      <c r="H697" s="78"/>
      <c r="I697" s="78"/>
      <c r="J697" s="78"/>
      <c r="K697" s="76" t="s">
        <v>510</v>
      </c>
      <c r="W697" s="213">
        <v>697</v>
      </c>
      <c r="X697" s="214">
        <v>11</v>
      </c>
    </row>
    <row r="698" spans="1:24" x14ac:dyDescent="0.25">
      <c r="A698" s="81" t="s">
        <v>0</v>
      </c>
      <c r="B698" s="79" t="s">
        <v>32</v>
      </c>
      <c r="C698" s="81" t="s">
        <v>2060</v>
      </c>
      <c r="D698" s="81" t="s">
        <v>561</v>
      </c>
      <c r="E698" s="81" t="s">
        <v>2061</v>
      </c>
      <c r="F698" s="81">
        <v>0.48399999999999999</v>
      </c>
      <c r="G698" s="81" t="s">
        <v>2062</v>
      </c>
      <c r="H698" s="82"/>
      <c r="I698" s="82"/>
      <c r="J698" s="82"/>
      <c r="K698" s="81" t="s">
        <v>510</v>
      </c>
      <c r="W698" s="213">
        <v>698</v>
      </c>
      <c r="X698" s="214">
        <v>11</v>
      </c>
    </row>
    <row r="699" spans="1:24" x14ac:dyDescent="0.25">
      <c r="A699" s="76" t="s">
        <v>0</v>
      </c>
      <c r="B699" s="74" t="s">
        <v>32</v>
      </c>
      <c r="C699" s="76" t="s">
        <v>2063</v>
      </c>
      <c r="D699" s="76" t="s">
        <v>1817</v>
      </c>
      <c r="E699" s="76" t="s">
        <v>2064</v>
      </c>
      <c r="F699" s="76">
        <v>0.66100000000000003</v>
      </c>
      <c r="G699" s="76" t="s">
        <v>2065</v>
      </c>
      <c r="H699" s="78"/>
      <c r="I699" s="78"/>
      <c r="J699" s="78"/>
      <c r="K699" s="76" t="s">
        <v>510</v>
      </c>
      <c r="W699" s="213">
        <v>699</v>
      </c>
      <c r="X699" s="214">
        <v>11</v>
      </c>
    </row>
    <row r="700" spans="1:24" x14ac:dyDescent="0.25">
      <c r="A700" s="81" t="s">
        <v>0</v>
      </c>
      <c r="B700" s="79" t="s">
        <v>32</v>
      </c>
      <c r="C700" s="81" t="s">
        <v>2066</v>
      </c>
      <c r="D700" s="81" t="s">
        <v>2067</v>
      </c>
      <c r="E700" s="81" t="s">
        <v>2068</v>
      </c>
      <c r="F700" s="81">
        <v>0.44500000000000001</v>
      </c>
      <c r="G700" s="81" t="s">
        <v>2069</v>
      </c>
      <c r="H700" s="82"/>
      <c r="I700" s="82"/>
      <c r="J700" s="82"/>
      <c r="K700" s="81" t="s">
        <v>510</v>
      </c>
      <c r="W700" s="213">
        <v>700</v>
      </c>
      <c r="X700" s="214">
        <v>11</v>
      </c>
    </row>
    <row r="701" spans="1:24" x14ac:dyDescent="0.25">
      <c r="A701" s="76" t="s">
        <v>0</v>
      </c>
      <c r="B701" s="74" t="s">
        <v>32</v>
      </c>
      <c r="C701" s="76" t="s">
        <v>2070</v>
      </c>
      <c r="D701" s="76" t="s">
        <v>2071</v>
      </c>
      <c r="E701" s="76" t="s">
        <v>2072</v>
      </c>
      <c r="F701" s="76">
        <v>0.59099999999999997</v>
      </c>
      <c r="G701" s="76" t="s">
        <v>1919</v>
      </c>
      <c r="H701" s="78"/>
      <c r="I701" s="78"/>
      <c r="J701" s="78"/>
      <c r="K701" s="76" t="s">
        <v>510</v>
      </c>
      <c r="W701" s="213">
        <v>701</v>
      </c>
      <c r="X701" s="214">
        <v>11</v>
      </c>
    </row>
    <row r="702" spans="1:24" x14ac:dyDescent="0.25">
      <c r="A702" s="81" t="s">
        <v>0</v>
      </c>
      <c r="B702" s="79" t="s">
        <v>32</v>
      </c>
      <c r="C702" s="81" t="s">
        <v>2073</v>
      </c>
      <c r="D702" s="81" t="s">
        <v>80</v>
      </c>
      <c r="E702" s="81" t="s">
        <v>2074</v>
      </c>
      <c r="F702" s="81">
        <v>0.36799999999999999</v>
      </c>
      <c r="G702" s="81" t="s">
        <v>811</v>
      </c>
      <c r="H702" s="82"/>
      <c r="I702" s="82"/>
      <c r="J702" s="82"/>
      <c r="K702" s="81" t="s">
        <v>510</v>
      </c>
      <c r="W702" s="213">
        <v>702</v>
      </c>
      <c r="X702" s="214">
        <v>11</v>
      </c>
    </row>
    <row r="703" spans="1:24" x14ac:dyDescent="0.25">
      <c r="A703" s="71" t="s">
        <v>1966</v>
      </c>
      <c r="B703" s="72" t="s">
        <v>2075</v>
      </c>
      <c r="C703" s="71">
        <v>0</v>
      </c>
      <c r="D703" s="72" t="s">
        <v>1772</v>
      </c>
      <c r="E703" s="72" t="s">
        <v>2076</v>
      </c>
      <c r="F703" s="72">
        <v>0.27800000000000002</v>
      </c>
      <c r="G703" s="72" t="s">
        <v>2077</v>
      </c>
      <c r="H703" s="72" t="s">
        <v>2078</v>
      </c>
      <c r="I703" s="72" t="s">
        <v>2079</v>
      </c>
      <c r="J703" s="72" t="s">
        <v>2080</v>
      </c>
      <c r="K703" s="72" t="s">
        <v>510</v>
      </c>
      <c r="W703" s="213">
        <v>703</v>
      </c>
      <c r="X703" s="214">
        <v>10</v>
      </c>
    </row>
    <row r="704" spans="1:24" ht="15" customHeight="1" x14ac:dyDescent="0.25">
      <c r="A704" s="67" t="s">
        <v>1966</v>
      </c>
      <c r="B704" s="69" t="s">
        <v>3616</v>
      </c>
      <c r="C704" s="67">
        <v>0</v>
      </c>
      <c r="D704" s="68" t="s">
        <v>469</v>
      </c>
      <c r="E704" s="68" t="s">
        <v>3617</v>
      </c>
      <c r="F704" s="68">
        <v>0.23699999999999999</v>
      </c>
      <c r="G704" s="68" t="s">
        <v>3618</v>
      </c>
      <c r="H704" s="68" t="s">
        <v>3619</v>
      </c>
      <c r="I704" s="68" t="s">
        <v>3620</v>
      </c>
      <c r="J704" s="68" t="s">
        <v>3621</v>
      </c>
      <c r="K704" s="68" t="s">
        <v>510</v>
      </c>
      <c r="W704" s="213">
        <v>704</v>
      </c>
      <c r="X704" s="214">
        <v>10</v>
      </c>
    </row>
    <row r="705" spans="1:24" ht="15" customHeight="1" x14ac:dyDescent="0.25">
      <c r="A705" s="71" t="s">
        <v>1966</v>
      </c>
      <c r="B705" s="73" t="s">
        <v>2081</v>
      </c>
      <c r="C705" s="71">
        <v>0</v>
      </c>
      <c r="D705" s="72" t="s">
        <v>158</v>
      </c>
      <c r="E705" s="72" t="s">
        <v>2082</v>
      </c>
      <c r="F705" s="72">
        <v>0.25600000000000001</v>
      </c>
      <c r="G705" s="72" t="s">
        <v>2083</v>
      </c>
      <c r="H705" s="72" t="s">
        <v>2084</v>
      </c>
      <c r="I705" s="72" t="s">
        <v>2085</v>
      </c>
      <c r="J705" s="72" t="s">
        <v>2086</v>
      </c>
      <c r="K705" s="72" t="s">
        <v>510</v>
      </c>
      <c r="W705" s="213">
        <v>705</v>
      </c>
      <c r="X705" s="214">
        <v>10</v>
      </c>
    </row>
    <row r="706" spans="1:24" x14ac:dyDescent="0.25">
      <c r="A706" s="67" t="s">
        <v>1966</v>
      </c>
      <c r="B706" s="68" t="s">
        <v>2087</v>
      </c>
      <c r="C706" s="67">
        <v>0</v>
      </c>
      <c r="D706" s="68" t="s">
        <v>365</v>
      </c>
      <c r="E706" s="68" t="s">
        <v>2088</v>
      </c>
      <c r="F706" s="68">
        <v>0.56999999999999995</v>
      </c>
      <c r="G706" s="68" t="s">
        <v>2089</v>
      </c>
      <c r="H706" s="68" t="s">
        <v>2090</v>
      </c>
      <c r="I706" s="68" t="s">
        <v>2091</v>
      </c>
      <c r="J706" s="68" t="s">
        <v>2092</v>
      </c>
      <c r="K706" s="68" t="s">
        <v>510</v>
      </c>
      <c r="W706" s="213">
        <v>706</v>
      </c>
      <c r="X706" s="214">
        <v>10</v>
      </c>
    </row>
    <row r="707" spans="1:24" ht="15" customHeight="1" x14ac:dyDescent="0.25">
      <c r="A707" s="71" t="s">
        <v>1966</v>
      </c>
      <c r="B707" s="73" t="s">
        <v>3622</v>
      </c>
      <c r="C707" s="71">
        <v>0</v>
      </c>
      <c r="D707" s="72" t="s">
        <v>226</v>
      </c>
      <c r="E707" s="72" t="s">
        <v>3623</v>
      </c>
      <c r="F707" s="72">
        <v>0.27300000000000002</v>
      </c>
      <c r="G707" s="72" t="s">
        <v>3624</v>
      </c>
      <c r="H707" s="72" t="s">
        <v>3625</v>
      </c>
      <c r="I707" s="72" t="s">
        <v>3626</v>
      </c>
      <c r="J707" s="72" t="s">
        <v>3627</v>
      </c>
      <c r="K707" s="72" t="s">
        <v>510</v>
      </c>
      <c r="W707" s="213">
        <v>707</v>
      </c>
      <c r="X707" s="214">
        <v>10</v>
      </c>
    </row>
    <row r="708" spans="1:24" ht="15" customHeight="1" x14ac:dyDescent="0.25">
      <c r="A708" s="67" t="s">
        <v>1966</v>
      </c>
      <c r="B708" s="69" t="s">
        <v>3628</v>
      </c>
      <c r="C708" s="67">
        <v>0</v>
      </c>
      <c r="D708" s="68" t="s">
        <v>129</v>
      </c>
      <c r="E708" s="68" t="s">
        <v>3629</v>
      </c>
      <c r="F708" s="68">
        <v>0.31</v>
      </c>
      <c r="G708" s="68" t="s">
        <v>3630</v>
      </c>
      <c r="H708" s="68" t="s">
        <v>3631</v>
      </c>
      <c r="I708" s="68" t="s">
        <v>3632</v>
      </c>
      <c r="J708" s="68" t="s">
        <v>3633</v>
      </c>
      <c r="K708" s="68" t="s">
        <v>510</v>
      </c>
      <c r="W708" s="213">
        <v>708</v>
      </c>
      <c r="X708" s="214">
        <v>10</v>
      </c>
    </row>
    <row r="709" spans="1:24" ht="15" customHeight="1" x14ac:dyDescent="0.25">
      <c r="A709" s="71" t="s">
        <v>1966</v>
      </c>
      <c r="B709" s="73" t="s">
        <v>3634</v>
      </c>
      <c r="C709" s="71">
        <v>0</v>
      </c>
      <c r="D709" s="72" t="s">
        <v>99</v>
      </c>
      <c r="E709" s="72" t="s">
        <v>3635</v>
      </c>
      <c r="F709" s="72">
        <v>0.29099999999999998</v>
      </c>
      <c r="G709" s="72" t="s">
        <v>3636</v>
      </c>
      <c r="H709" s="72" t="s">
        <v>3637</v>
      </c>
      <c r="I709" s="72" t="s">
        <v>3638</v>
      </c>
      <c r="J709" s="72" t="s">
        <v>3639</v>
      </c>
      <c r="K709" s="72" t="s">
        <v>510</v>
      </c>
      <c r="W709" s="213">
        <v>709</v>
      </c>
      <c r="X709" s="214">
        <v>10</v>
      </c>
    </row>
    <row r="710" spans="1:24" ht="15" customHeight="1" x14ac:dyDescent="0.25">
      <c r="A710" s="67" t="s">
        <v>1966</v>
      </c>
      <c r="B710" s="69" t="s">
        <v>3645</v>
      </c>
      <c r="C710" s="67">
        <v>0</v>
      </c>
      <c r="D710" s="68" t="s">
        <v>319</v>
      </c>
      <c r="E710" s="68" t="s">
        <v>3640</v>
      </c>
      <c r="F710" s="68">
        <v>0.38400000000000001</v>
      </c>
      <c r="G710" s="68" t="s">
        <v>3641</v>
      </c>
      <c r="H710" s="68" t="s">
        <v>3642</v>
      </c>
      <c r="I710" s="68" t="s">
        <v>3643</v>
      </c>
      <c r="J710" s="68" t="s">
        <v>3644</v>
      </c>
      <c r="K710" s="68" t="s">
        <v>510</v>
      </c>
      <c r="W710" s="213">
        <v>710</v>
      </c>
      <c r="X710" s="214">
        <v>10</v>
      </c>
    </row>
    <row r="711" spans="1:24" ht="15" customHeight="1" x14ac:dyDescent="0.25">
      <c r="A711" s="71" t="s">
        <v>1966</v>
      </c>
      <c r="B711" s="73" t="s">
        <v>3646</v>
      </c>
      <c r="C711" s="71">
        <v>0</v>
      </c>
      <c r="D711" s="72" t="s">
        <v>158</v>
      </c>
      <c r="E711" s="72" t="s">
        <v>3647</v>
      </c>
      <c r="F711" s="72">
        <v>0.313</v>
      </c>
      <c r="G711" s="72" t="s">
        <v>3648</v>
      </c>
      <c r="H711" s="72" t="s">
        <v>3649</v>
      </c>
      <c r="I711" s="72" t="s">
        <v>3650</v>
      </c>
      <c r="J711" s="72" t="s">
        <v>3651</v>
      </c>
      <c r="K711" s="72" t="s">
        <v>510</v>
      </c>
      <c r="W711" s="213">
        <v>711</v>
      </c>
      <c r="X711" s="214">
        <v>10</v>
      </c>
    </row>
    <row r="712" spans="1:24" ht="15" customHeight="1" x14ac:dyDescent="0.25">
      <c r="A712" s="67" t="s">
        <v>1966</v>
      </c>
      <c r="B712" s="69" t="s">
        <v>3658</v>
      </c>
      <c r="C712" s="67">
        <v>0</v>
      </c>
      <c r="D712" s="68" t="s">
        <v>1799</v>
      </c>
      <c r="E712" s="68" t="s">
        <v>3659</v>
      </c>
      <c r="F712" s="68">
        <v>0.19700000000000001</v>
      </c>
      <c r="G712" s="68" t="s">
        <v>3660</v>
      </c>
      <c r="H712" s="68" t="s">
        <v>3661</v>
      </c>
      <c r="I712" s="68" t="s">
        <v>3662</v>
      </c>
      <c r="J712" s="68" t="s">
        <v>3663</v>
      </c>
      <c r="K712" s="68" t="s">
        <v>510</v>
      </c>
      <c r="W712" s="213">
        <v>712</v>
      </c>
      <c r="X712" s="214">
        <v>10</v>
      </c>
    </row>
    <row r="713" spans="1:24" ht="15" customHeight="1" x14ac:dyDescent="0.25">
      <c r="A713" s="71" t="s">
        <v>1966</v>
      </c>
      <c r="B713" s="73" t="s">
        <v>3652</v>
      </c>
      <c r="C713" s="71">
        <v>0</v>
      </c>
      <c r="D713" s="72" t="s">
        <v>469</v>
      </c>
      <c r="E713" s="72" t="s">
        <v>3653</v>
      </c>
      <c r="F713" s="72">
        <v>0.23499999999999999</v>
      </c>
      <c r="G713" s="72" t="s">
        <v>3654</v>
      </c>
      <c r="H713" s="72" t="s">
        <v>3655</v>
      </c>
      <c r="I713" s="72" t="s">
        <v>3656</v>
      </c>
      <c r="J713" s="72" t="s">
        <v>3657</v>
      </c>
      <c r="K713" s="72" t="s">
        <v>510</v>
      </c>
      <c r="W713" s="213">
        <v>713</v>
      </c>
      <c r="X713" s="214">
        <v>10</v>
      </c>
    </row>
    <row r="714" spans="1:24" ht="15" customHeight="1" x14ac:dyDescent="0.25">
      <c r="A714" s="67" t="s">
        <v>1966</v>
      </c>
      <c r="B714" s="69" t="s">
        <v>3664</v>
      </c>
      <c r="C714" s="67">
        <v>0</v>
      </c>
      <c r="D714" s="68" t="s">
        <v>365</v>
      </c>
      <c r="E714" s="68" t="s">
        <v>3665</v>
      </c>
      <c r="F714" s="68">
        <v>0.317</v>
      </c>
      <c r="G714" s="68" t="s">
        <v>3666</v>
      </c>
      <c r="H714" s="68" t="s">
        <v>3667</v>
      </c>
      <c r="I714" s="68" t="s">
        <v>3668</v>
      </c>
      <c r="J714" s="68" t="s">
        <v>3669</v>
      </c>
      <c r="K714" s="68" t="s">
        <v>510</v>
      </c>
      <c r="W714" s="213">
        <v>714</v>
      </c>
      <c r="X714" s="214">
        <v>10</v>
      </c>
    </row>
    <row r="715" spans="1:24" ht="15" customHeight="1" x14ac:dyDescent="0.25">
      <c r="A715" s="71" t="s">
        <v>1966</v>
      </c>
      <c r="B715" s="73" t="s">
        <v>2093</v>
      </c>
      <c r="C715" s="71">
        <v>0</v>
      </c>
      <c r="D715" s="72" t="s">
        <v>2094</v>
      </c>
      <c r="E715" s="72" t="s">
        <v>2095</v>
      </c>
      <c r="F715" s="72">
        <v>0.219</v>
      </c>
      <c r="G715" s="72" t="s">
        <v>2096</v>
      </c>
      <c r="H715" s="72" t="s">
        <v>2097</v>
      </c>
      <c r="I715" s="72" t="s">
        <v>2098</v>
      </c>
      <c r="J715" s="72" t="s">
        <v>2099</v>
      </c>
      <c r="K715" s="72" t="s">
        <v>510</v>
      </c>
      <c r="W715" s="213">
        <v>715</v>
      </c>
      <c r="X715" s="214">
        <v>10</v>
      </c>
    </row>
    <row r="716" spans="1:24" ht="15" customHeight="1" x14ac:dyDescent="0.25">
      <c r="A716" s="67" t="s">
        <v>1966</v>
      </c>
      <c r="B716" s="69" t="s">
        <v>3243</v>
      </c>
      <c r="C716" s="67">
        <v>0</v>
      </c>
      <c r="D716" s="68" t="s">
        <v>1848</v>
      </c>
      <c r="E716" s="68" t="s">
        <v>3244</v>
      </c>
      <c r="F716" s="68">
        <v>0.52</v>
      </c>
      <c r="G716" s="68" t="s">
        <v>3245</v>
      </c>
      <c r="H716" s="68" t="s">
        <v>3246</v>
      </c>
      <c r="I716" s="68" t="s">
        <v>3247</v>
      </c>
      <c r="J716" s="68" t="s">
        <v>3248</v>
      </c>
      <c r="K716" s="68" t="s">
        <v>510</v>
      </c>
      <c r="W716" s="213">
        <v>716</v>
      </c>
      <c r="X716" s="214">
        <v>10</v>
      </c>
    </row>
    <row r="717" spans="1:24" ht="15" customHeight="1" x14ac:dyDescent="0.25">
      <c r="A717" s="71" t="s">
        <v>1966</v>
      </c>
      <c r="B717" s="73" t="s">
        <v>3670</v>
      </c>
      <c r="C717" s="71">
        <v>0</v>
      </c>
      <c r="D717" s="72" t="s">
        <v>185</v>
      </c>
      <c r="E717" s="72" t="s">
        <v>3671</v>
      </c>
      <c r="F717" s="72">
        <v>0.34499999999999997</v>
      </c>
      <c r="G717" s="72" t="s">
        <v>3672</v>
      </c>
      <c r="H717" s="72" t="s">
        <v>3673</v>
      </c>
      <c r="I717" s="72" t="s">
        <v>3674</v>
      </c>
      <c r="J717" s="72" t="s">
        <v>3675</v>
      </c>
      <c r="K717" s="72" t="s">
        <v>510</v>
      </c>
      <c r="W717" s="213">
        <v>717</v>
      </c>
      <c r="X717" s="214">
        <v>10</v>
      </c>
    </row>
    <row r="718" spans="1:24" ht="15" customHeight="1" x14ac:dyDescent="0.25">
      <c r="A718" s="67" t="s">
        <v>1966</v>
      </c>
      <c r="B718" s="69" t="s">
        <v>3676</v>
      </c>
      <c r="C718" s="67">
        <v>0</v>
      </c>
      <c r="D718" s="68" t="s">
        <v>423</v>
      </c>
      <c r="E718" s="68" t="s">
        <v>3677</v>
      </c>
      <c r="F718" s="68">
        <v>0.19900000000000001</v>
      </c>
      <c r="G718" s="68" t="s">
        <v>3678</v>
      </c>
      <c r="H718" s="68" t="s">
        <v>3679</v>
      </c>
      <c r="I718" s="68" t="s">
        <v>3680</v>
      </c>
      <c r="J718" s="68" t="s">
        <v>3681</v>
      </c>
      <c r="K718" s="68" t="s">
        <v>510</v>
      </c>
      <c r="W718" s="213">
        <v>718</v>
      </c>
      <c r="X718" s="214">
        <v>10</v>
      </c>
    </row>
    <row r="719" spans="1:24" ht="15" customHeight="1" x14ac:dyDescent="0.25">
      <c r="A719" s="71" t="s">
        <v>1966</v>
      </c>
      <c r="B719" s="73" t="s">
        <v>3682</v>
      </c>
      <c r="C719" s="71">
        <v>0</v>
      </c>
      <c r="D719" s="72" t="s">
        <v>782</v>
      </c>
      <c r="E719" s="72" t="s">
        <v>3683</v>
      </c>
      <c r="F719" s="72">
        <v>0.311</v>
      </c>
      <c r="G719" s="72" t="s">
        <v>3684</v>
      </c>
      <c r="H719" s="72" t="s">
        <v>3685</v>
      </c>
      <c r="I719" s="72" t="s">
        <v>3686</v>
      </c>
      <c r="J719" s="72" t="s">
        <v>3687</v>
      </c>
      <c r="K719" s="72" t="s">
        <v>510</v>
      </c>
      <c r="W719" s="213">
        <v>719</v>
      </c>
      <c r="X719" s="214">
        <v>10</v>
      </c>
    </row>
    <row r="720" spans="1:24" x14ac:dyDescent="0.25">
      <c r="A720" s="67" t="s">
        <v>1966</v>
      </c>
      <c r="B720" s="68" t="s">
        <v>3458</v>
      </c>
      <c r="C720" s="67">
        <v>0</v>
      </c>
      <c r="D720" s="68" t="s">
        <v>1666</v>
      </c>
      <c r="E720" s="68" t="s">
        <v>3459</v>
      </c>
      <c r="F720" s="68">
        <v>0.51900000000000002</v>
      </c>
      <c r="G720" s="68" t="s">
        <v>3460</v>
      </c>
      <c r="H720" s="68" t="s">
        <v>3461</v>
      </c>
      <c r="I720" s="68" t="s">
        <v>3462</v>
      </c>
      <c r="J720" s="68" t="s">
        <v>3463</v>
      </c>
      <c r="K720" s="68" t="s">
        <v>510</v>
      </c>
      <c r="W720" s="213">
        <v>720</v>
      </c>
      <c r="X720" s="214">
        <v>10</v>
      </c>
    </row>
    <row r="721" spans="1:24" ht="15" customHeight="1" x14ac:dyDescent="0.25">
      <c r="A721" s="71" t="s">
        <v>1966</v>
      </c>
      <c r="B721" s="73" t="s">
        <v>3688</v>
      </c>
      <c r="C721" s="71">
        <v>0</v>
      </c>
      <c r="D721" s="72" t="s">
        <v>319</v>
      </c>
      <c r="E721" s="72" t="s">
        <v>3689</v>
      </c>
      <c r="F721" s="72">
        <v>4.2000000000000003E-2</v>
      </c>
      <c r="G721" s="72" t="s">
        <v>3690</v>
      </c>
      <c r="H721" s="72" t="s">
        <v>3691</v>
      </c>
      <c r="I721" s="72" t="s">
        <v>3692</v>
      </c>
      <c r="J721" s="72" t="s">
        <v>3693</v>
      </c>
      <c r="K721" s="72" t="s">
        <v>510</v>
      </c>
      <c r="W721" s="213">
        <v>721</v>
      </c>
      <c r="X721" s="214">
        <v>10</v>
      </c>
    </row>
    <row r="722" spans="1:24" ht="15" customHeight="1" x14ac:dyDescent="0.25">
      <c r="A722" s="67" t="s">
        <v>1966</v>
      </c>
      <c r="B722" s="69" t="s">
        <v>3694</v>
      </c>
      <c r="C722" s="67">
        <v>0</v>
      </c>
      <c r="D722" s="68" t="s">
        <v>240</v>
      </c>
      <c r="E722" s="68" t="s">
        <v>3695</v>
      </c>
      <c r="F722" s="68">
        <v>0.126</v>
      </c>
      <c r="G722" s="68" t="s">
        <v>3696</v>
      </c>
      <c r="H722" s="68" t="s">
        <v>3697</v>
      </c>
      <c r="I722" s="68" t="s">
        <v>3698</v>
      </c>
      <c r="J722" s="68" t="s">
        <v>3699</v>
      </c>
      <c r="K722" s="68" t="s">
        <v>510</v>
      </c>
      <c r="W722" s="213">
        <v>722</v>
      </c>
      <c r="X722" s="214">
        <v>10</v>
      </c>
    </row>
    <row r="723" spans="1:24" ht="14.45" customHeight="1" x14ac:dyDescent="0.25">
      <c r="A723" s="71" t="s">
        <v>1966</v>
      </c>
      <c r="B723" s="72" t="s">
        <v>2100</v>
      </c>
      <c r="C723" s="71">
        <v>0</v>
      </c>
      <c r="D723" s="72" t="s">
        <v>185</v>
      </c>
      <c r="E723" s="72" t="s">
        <v>2101</v>
      </c>
      <c r="F723" s="72">
        <v>0.39500000000000002</v>
      </c>
      <c r="G723" s="72" t="s">
        <v>2102</v>
      </c>
      <c r="H723" s="72" t="s">
        <v>2103</v>
      </c>
      <c r="I723" s="72" t="s">
        <v>2104</v>
      </c>
      <c r="J723" s="72" t="s">
        <v>2105</v>
      </c>
      <c r="K723" s="72" t="s">
        <v>510</v>
      </c>
      <c r="W723" s="213">
        <v>723</v>
      </c>
      <c r="X723" s="214">
        <v>10</v>
      </c>
    </row>
    <row r="724" spans="1:24" ht="14.45" customHeight="1" x14ac:dyDescent="0.25">
      <c r="A724" s="67" t="s">
        <v>1966</v>
      </c>
      <c r="B724" s="68" t="s">
        <v>3464</v>
      </c>
      <c r="C724" s="67">
        <v>0</v>
      </c>
      <c r="D724" s="68" t="s">
        <v>2016</v>
      </c>
      <c r="E724" s="68" t="s">
        <v>3465</v>
      </c>
      <c r="F724" s="68">
        <v>0.248</v>
      </c>
      <c r="G724" s="68" t="s">
        <v>3466</v>
      </c>
      <c r="H724" s="68" t="s">
        <v>3467</v>
      </c>
      <c r="I724" s="68" t="s">
        <v>3468</v>
      </c>
      <c r="J724" s="68" t="s">
        <v>3469</v>
      </c>
      <c r="K724" s="68" t="s">
        <v>510</v>
      </c>
      <c r="W724" s="213">
        <v>724</v>
      </c>
      <c r="X724" s="214">
        <v>10</v>
      </c>
    </row>
    <row r="725" spans="1:24" ht="15" customHeight="1" x14ac:dyDescent="0.25">
      <c r="A725" s="71" t="s">
        <v>1966</v>
      </c>
      <c r="B725" s="73" t="s">
        <v>3249</v>
      </c>
      <c r="C725" s="71">
        <v>0</v>
      </c>
      <c r="D725" s="72" t="s">
        <v>3250</v>
      </c>
      <c r="E725" s="72" t="s">
        <v>3251</v>
      </c>
      <c r="F725" s="72">
        <v>0.16</v>
      </c>
      <c r="G725" s="72" t="s">
        <v>3252</v>
      </c>
      <c r="H725" s="72" t="s">
        <v>3253</v>
      </c>
      <c r="I725" s="72" t="s">
        <v>3254</v>
      </c>
      <c r="J725" s="72" t="s">
        <v>3255</v>
      </c>
      <c r="K725" s="72" t="s">
        <v>510</v>
      </c>
      <c r="W725" s="213">
        <v>725</v>
      </c>
      <c r="X725" s="214">
        <v>10</v>
      </c>
    </row>
    <row r="726" spans="1:24" x14ac:dyDescent="0.25">
      <c r="A726" s="67" t="s">
        <v>1966</v>
      </c>
      <c r="B726" s="69" t="s">
        <v>3700</v>
      </c>
      <c r="C726" s="67">
        <v>0</v>
      </c>
      <c r="D726" s="68" t="s">
        <v>99</v>
      </c>
      <c r="E726" s="68" t="s">
        <v>3701</v>
      </c>
      <c r="F726" s="68">
        <v>4.7E-2</v>
      </c>
      <c r="G726" s="68" t="s">
        <v>3702</v>
      </c>
      <c r="H726" s="68" t="s">
        <v>3703</v>
      </c>
      <c r="I726" s="68" t="s">
        <v>3704</v>
      </c>
      <c r="J726" s="68" t="s">
        <v>3705</v>
      </c>
      <c r="K726" s="68" t="s">
        <v>510</v>
      </c>
      <c r="W726" s="213">
        <v>726</v>
      </c>
      <c r="X726" s="214">
        <v>10</v>
      </c>
    </row>
    <row r="727" spans="1:24" x14ac:dyDescent="0.25">
      <c r="A727" s="71" t="s">
        <v>1966</v>
      </c>
      <c r="B727" s="72" t="s">
        <v>3470</v>
      </c>
      <c r="C727" s="71">
        <v>0</v>
      </c>
      <c r="D727" s="72" t="s">
        <v>2169</v>
      </c>
      <c r="E727" s="72" t="s">
        <v>3471</v>
      </c>
      <c r="F727" s="72">
        <v>0.378</v>
      </c>
      <c r="G727" s="72" t="s">
        <v>3472</v>
      </c>
      <c r="H727" s="72" t="s">
        <v>3473</v>
      </c>
      <c r="I727" s="72" t="s">
        <v>3474</v>
      </c>
      <c r="J727" s="72" t="s">
        <v>3475</v>
      </c>
      <c r="K727" s="72" t="s">
        <v>510</v>
      </c>
      <c r="W727" s="213">
        <v>727</v>
      </c>
      <c r="X727" s="214">
        <v>10</v>
      </c>
    </row>
    <row r="728" spans="1:24" ht="15" customHeight="1" x14ac:dyDescent="0.25">
      <c r="A728" s="67" t="s">
        <v>1966</v>
      </c>
      <c r="B728" s="69" t="s">
        <v>3706</v>
      </c>
      <c r="C728" s="67">
        <v>0</v>
      </c>
      <c r="D728" s="68" t="s">
        <v>597</v>
      </c>
      <c r="E728" s="68" t="s">
        <v>3707</v>
      </c>
      <c r="F728" s="68">
        <v>8.7999999999999995E-2</v>
      </c>
      <c r="G728" s="68" t="s">
        <v>3708</v>
      </c>
      <c r="H728" s="68" t="s">
        <v>3709</v>
      </c>
      <c r="I728" s="68" t="s">
        <v>3710</v>
      </c>
      <c r="J728" s="68" t="s">
        <v>3711</v>
      </c>
      <c r="K728" s="68" t="s">
        <v>510</v>
      </c>
      <c r="W728" s="213">
        <v>728</v>
      </c>
      <c r="X728" s="214">
        <v>10</v>
      </c>
    </row>
    <row r="729" spans="1:24" ht="15" customHeight="1" x14ac:dyDescent="0.25">
      <c r="A729" s="71" t="s">
        <v>1966</v>
      </c>
      <c r="B729" s="73" t="s">
        <v>3712</v>
      </c>
      <c r="C729" s="71">
        <v>0</v>
      </c>
      <c r="D729" s="72" t="s">
        <v>597</v>
      </c>
      <c r="E729" s="72" t="s">
        <v>3713</v>
      </c>
      <c r="F729" s="72">
        <v>8.7999999999999995E-2</v>
      </c>
      <c r="G729" s="72" t="s">
        <v>3714</v>
      </c>
      <c r="H729" s="72" t="s">
        <v>3715</v>
      </c>
      <c r="I729" s="72" t="s">
        <v>3716</v>
      </c>
      <c r="J729" s="72" t="s">
        <v>3717</v>
      </c>
      <c r="K729" s="72" t="s">
        <v>510</v>
      </c>
      <c r="W729" s="213">
        <v>729</v>
      </c>
      <c r="X729" s="214">
        <v>10</v>
      </c>
    </row>
    <row r="730" spans="1:24" ht="15" customHeight="1" x14ac:dyDescent="0.25">
      <c r="A730" s="67" t="s">
        <v>1966</v>
      </c>
      <c r="B730" s="69" t="s">
        <v>3256</v>
      </c>
      <c r="C730" s="67">
        <v>0</v>
      </c>
      <c r="D730" s="68" t="s">
        <v>261</v>
      </c>
      <c r="E730" s="68" t="s">
        <v>3257</v>
      </c>
      <c r="F730" s="68">
        <v>0.375</v>
      </c>
      <c r="G730" s="68" t="s">
        <v>3258</v>
      </c>
      <c r="H730" s="68" t="s">
        <v>3259</v>
      </c>
      <c r="I730" s="68" t="s">
        <v>3260</v>
      </c>
      <c r="J730" s="68" t="s">
        <v>3261</v>
      </c>
      <c r="K730" s="68" t="s">
        <v>510</v>
      </c>
      <c r="W730" s="213">
        <v>730</v>
      </c>
      <c r="X730" s="214">
        <v>10</v>
      </c>
    </row>
    <row r="731" spans="1:24" x14ac:dyDescent="0.25">
      <c r="A731" s="71" t="s">
        <v>1966</v>
      </c>
      <c r="B731" s="73" t="s">
        <v>3718</v>
      </c>
      <c r="C731" s="71">
        <v>0</v>
      </c>
      <c r="D731" s="72" t="s">
        <v>326</v>
      </c>
      <c r="E731" s="72" t="s">
        <v>3719</v>
      </c>
      <c r="F731" s="72">
        <v>0.42299999999999999</v>
      </c>
      <c r="G731" s="72" t="s">
        <v>3720</v>
      </c>
      <c r="H731" s="72" t="s">
        <v>3721</v>
      </c>
      <c r="I731" s="72" t="s">
        <v>3722</v>
      </c>
      <c r="J731" s="72" t="s">
        <v>3723</v>
      </c>
      <c r="K731" s="72" t="s">
        <v>510</v>
      </c>
      <c r="W731" s="213">
        <v>731</v>
      </c>
      <c r="X731" s="214">
        <v>10</v>
      </c>
    </row>
    <row r="732" spans="1:24" x14ac:dyDescent="0.25">
      <c r="A732" s="67" t="s">
        <v>1966</v>
      </c>
      <c r="B732" s="69" t="s">
        <v>3262</v>
      </c>
      <c r="C732" s="67">
        <v>0</v>
      </c>
      <c r="D732" s="68" t="s">
        <v>219</v>
      </c>
      <c r="E732" s="68" t="s">
        <v>3263</v>
      </c>
      <c r="F732" s="68">
        <v>0.51900000000000002</v>
      </c>
      <c r="G732" s="68" t="s">
        <v>3264</v>
      </c>
      <c r="H732" s="68" t="s">
        <v>3265</v>
      </c>
      <c r="I732" s="68" t="s">
        <v>3266</v>
      </c>
      <c r="J732" s="68" t="s">
        <v>3267</v>
      </c>
      <c r="K732" s="68" t="s">
        <v>510</v>
      </c>
      <c r="W732" s="213">
        <v>732</v>
      </c>
      <c r="X732" s="214">
        <v>10</v>
      </c>
    </row>
    <row r="733" spans="1:24" ht="15" customHeight="1" x14ac:dyDescent="0.25">
      <c r="A733" s="71" t="s">
        <v>1966</v>
      </c>
      <c r="B733" s="73" t="s">
        <v>3730</v>
      </c>
      <c r="C733" s="71">
        <v>0</v>
      </c>
      <c r="D733" s="72" t="s">
        <v>240</v>
      </c>
      <c r="E733" s="72" t="s">
        <v>3731</v>
      </c>
      <c r="F733" s="72">
        <v>0.23799999999999999</v>
      </c>
      <c r="G733" s="72" t="s">
        <v>3732</v>
      </c>
      <c r="H733" s="72" t="s">
        <v>3733</v>
      </c>
      <c r="I733" s="72" t="s">
        <v>3734</v>
      </c>
      <c r="J733" s="72" t="s">
        <v>3735</v>
      </c>
      <c r="K733" s="72" t="s">
        <v>510</v>
      </c>
      <c r="W733" s="213">
        <v>733</v>
      </c>
      <c r="X733" s="214">
        <v>10</v>
      </c>
    </row>
    <row r="734" spans="1:24" x14ac:dyDescent="0.25">
      <c r="A734" s="67" t="s">
        <v>1966</v>
      </c>
      <c r="B734" s="69" t="s">
        <v>3724</v>
      </c>
      <c r="C734" s="67">
        <v>0</v>
      </c>
      <c r="D734" s="68" t="s">
        <v>2152</v>
      </c>
      <c r="E734" s="68" t="s">
        <v>3725</v>
      </c>
      <c r="F734" s="68">
        <v>0.313</v>
      </c>
      <c r="G734" s="68" t="s">
        <v>3727</v>
      </c>
      <c r="H734" s="68" t="s">
        <v>3726</v>
      </c>
      <c r="I734" s="68" t="s">
        <v>3728</v>
      </c>
      <c r="J734" s="68" t="s">
        <v>3729</v>
      </c>
      <c r="K734" s="68" t="s">
        <v>510</v>
      </c>
      <c r="W734" s="213">
        <v>734</v>
      </c>
      <c r="X734" s="214">
        <v>10</v>
      </c>
    </row>
    <row r="735" spans="1:24" x14ac:dyDescent="0.25">
      <c r="A735" s="71" t="s">
        <v>1966</v>
      </c>
      <c r="B735" s="73" t="s">
        <v>3736</v>
      </c>
      <c r="C735" s="71">
        <v>0</v>
      </c>
      <c r="D735" s="72" t="s">
        <v>254</v>
      </c>
      <c r="E735" s="72" t="s">
        <v>3737</v>
      </c>
      <c r="F735" s="72">
        <v>0.432</v>
      </c>
      <c r="G735" s="72" t="s">
        <v>3738</v>
      </c>
      <c r="H735" s="72" t="s">
        <v>3739</v>
      </c>
      <c r="I735" s="72" t="s">
        <v>3740</v>
      </c>
      <c r="J735" s="72" t="s">
        <v>3741</v>
      </c>
      <c r="K735" s="72" t="s">
        <v>510</v>
      </c>
      <c r="W735" s="213">
        <v>735</v>
      </c>
      <c r="X735" s="214">
        <v>10</v>
      </c>
    </row>
    <row r="736" spans="1:24" x14ac:dyDescent="0.25">
      <c r="A736" s="84" t="s">
        <v>1485</v>
      </c>
      <c r="B736" s="85" t="s">
        <v>2106</v>
      </c>
      <c r="C736" s="84">
        <v>0</v>
      </c>
      <c r="D736" s="86" t="s">
        <v>423</v>
      </c>
      <c r="E736" s="86" t="s">
        <v>2107</v>
      </c>
      <c r="F736" s="86">
        <v>3.1E-2</v>
      </c>
      <c r="G736" s="86" t="s">
        <v>2108</v>
      </c>
      <c r="H736" s="86" t="s">
        <v>2109</v>
      </c>
      <c r="I736" s="86" t="s">
        <v>2110</v>
      </c>
      <c r="J736" s="86" t="s">
        <v>2111</v>
      </c>
      <c r="K736" s="86" t="s">
        <v>510</v>
      </c>
      <c r="W736" s="213">
        <v>736</v>
      </c>
      <c r="X736" s="214">
        <v>12</v>
      </c>
    </row>
    <row r="737" spans="1:24" x14ac:dyDescent="0.25">
      <c r="A737" s="89" t="s">
        <v>1485</v>
      </c>
      <c r="B737" s="90" t="s">
        <v>2112</v>
      </c>
      <c r="C737" s="89">
        <v>0</v>
      </c>
      <c r="D737" s="91" t="s">
        <v>254</v>
      </c>
      <c r="E737" s="91" t="s">
        <v>2113</v>
      </c>
      <c r="F737" s="91">
        <v>0.06</v>
      </c>
      <c r="G737" s="91" t="s">
        <v>2114</v>
      </c>
      <c r="H737" s="91" t="s">
        <v>2115</v>
      </c>
      <c r="I737" s="91" t="s">
        <v>2116</v>
      </c>
      <c r="J737" s="91" t="s">
        <v>2117</v>
      </c>
      <c r="K737" s="91" t="s">
        <v>510</v>
      </c>
      <c r="W737" s="213">
        <v>737</v>
      </c>
      <c r="X737" s="214">
        <v>12</v>
      </c>
    </row>
    <row r="738" spans="1:24" x14ac:dyDescent="0.25">
      <c r="A738" s="84" t="s">
        <v>1485</v>
      </c>
      <c r="B738" s="85" t="s">
        <v>3507</v>
      </c>
      <c r="C738" s="84">
        <v>0</v>
      </c>
      <c r="D738" s="86" t="s">
        <v>254</v>
      </c>
      <c r="E738" s="86" t="s">
        <v>3508</v>
      </c>
      <c r="F738" s="86">
        <v>0.11</v>
      </c>
      <c r="G738" s="86" t="s">
        <v>3509</v>
      </c>
      <c r="H738" s="86" t="s">
        <v>3255</v>
      </c>
      <c r="I738" s="86" t="s">
        <v>3510</v>
      </c>
      <c r="J738" s="86" t="s">
        <v>3511</v>
      </c>
      <c r="K738" s="86" t="s">
        <v>510</v>
      </c>
      <c r="W738" s="213">
        <v>738</v>
      </c>
      <c r="X738" s="214">
        <v>12</v>
      </c>
    </row>
    <row r="739" spans="1:24" ht="14.45" customHeight="1" x14ac:dyDescent="0.25">
      <c r="A739" s="89" t="s">
        <v>1485</v>
      </c>
      <c r="B739" s="91" t="s">
        <v>2118</v>
      </c>
      <c r="C739" s="89">
        <v>0</v>
      </c>
      <c r="D739" s="91" t="s">
        <v>2119</v>
      </c>
      <c r="E739" s="91" t="s">
        <v>2120</v>
      </c>
      <c r="F739" s="91">
        <v>2.3E-2</v>
      </c>
      <c r="G739" s="91" t="s">
        <v>2121</v>
      </c>
      <c r="H739" s="91" t="s">
        <v>2122</v>
      </c>
      <c r="I739" s="91" t="s">
        <v>2123</v>
      </c>
      <c r="J739" s="91" t="s">
        <v>2124</v>
      </c>
      <c r="K739" s="91" t="s">
        <v>510</v>
      </c>
      <c r="W739" s="213">
        <v>739</v>
      </c>
      <c r="X739" s="214">
        <v>12</v>
      </c>
    </row>
    <row r="740" spans="1:24" ht="14.45" customHeight="1" x14ac:dyDescent="0.25">
      <c r="A740" s="84" t="s">
        <v>1485</v>
      </c>
      <c r="B740" s="86" t="s">
        <v>2125</v>
      </c>
      <c r="C740" s="84">
        <v>0</v>
      </c>
      <c r="D740" s="86" t="s">
        <v>212</v>
      </c>
      <c r="E740" s="86" t="s">
        <v>2126</v>
      </c>
      <c r="F740" s="86">
        <v>5.0999999999999997E-2</v>
      </c>
      <c r="G740" s="86" t="s">
        <v>2127</v>
      </c>
      <c r="H740" s="86" t="s">
        <v>2128</v>
      </c>
      <c r="I740" s="86" t="s">
        <v>142</v>
      </c>
      <c r="J740" s="86" t="s">
        <v>2129</v>
      </c>
      <c r="K740" s="86" t="s">
        <v>510</v>
      </c>
      <c r="W740" s="213">
        <v>740</v>
      </c>
      <c r="X740" s="214">
        <v>12</v>
      </c>
    </row>
    <row r="741" spans="1:24" x14ac:dyDescent="0.25">
      <c r="A741" s="89" t="s">
        <v>1485</v>
      </c>
      <c r="B741" s="90" t="s">
        <v>2130</v>
      </c>
      <c r="C741" s="89">
        <v>0</v>
      </c>
      <c r="D741" s="91" t="s">
        <v>212</v>
      </c>
      <c r="E741" s="91" t="s">
        <v>2131</v>
      </c>
      <c r="F741" s="91">
        <v>0.08</v>
      </c>
      <c r="G741" s="91" t="s">
        <v>2132</v>
      </c>
      <c r="H741" s="91" t="s">
        <v>2133</v>
      </c>
      <c r="I741" s="91" t="s">
        <v>2134</v>
      </c>
      <c r="J741" s="91" t="s">
        <v>2135</v>
      </c>
      <c r="K741" s="91" t="s">
        <v>510</v>
      </c>
      <c r="W741" s="213">
        <v>741</v>
      </c>
      <c r="X741" s="214">
        <v>12</v>
      </c>
    </row>
    <row r="742" spans="1:24" x14ac:dyDescent="0.25">
      <c r="A742" s="84" t="s">
        <v>1485</v>
      </c>
      <c r="B742" s="85" t="s">
        <v>3495</v>
      </c>
      <c r="C742" s="84">
        <v>0</v>
      </c>
      <c r="D742" s="86" t="s">
        <v>3161</v>
      </c>
      <c r="E742" s="86" t="s">
        <v>3496</v>
      </c>
      <c r="F742" s="86">
        <v>0.122</v>
      </c>
      <c r="G742" s="86" t="s">
        <v>3497</v>
      </c>
      <c r="H742" s="86" t="s">
        <v>3498</v>
      </c>
      <c r="I742" s="86" t="s">
        <v>3499</v>
      </c>
      <c r="J742" s="86" t="s">
        <v>3500</v>
      </c>
      <c r="K742" s="86" t="s">
        <v>510</v>
      </c>
      <c r="W742" s="213">
        <v>742</v>
      </c>
      <c r="X742" s="214">
        <v>12</v>
      </c>
    </row>
    <row r="743" spans="1:24" ht="14.45" customHeight="1" x14ac:dyDescent="0.25">
      <c r="A743" s="92" t="s">
        <v>2136</v>
      </c>
      <c r="B743" s="92" t="s">
        <v>2137</v>
      </c>
      <c r="C743" s="89">
        <v>16</v>
      </c>
      <c r="D743" s="91" t="s">
        <v>2138</v>
      </c>
      <c r="E743" s="91" t="s">
        <v>2139</v>
      </c>
      <c r="F743" s="91">
        <v>8.9999999999999993E-3</v>
      </c>
      <c r="G743" s="91" t="s">
        <v>2140</v>
      </c>
      <c r="H743" s="91" t="s">
        <v>2141</v>
      </c>
      <c r="I743" s="91" t="s">
        <v>2142</v>
      </c>
      <c r="J743" s="91" t="s">
        <v>2143</v>
      </c>
      <c r="K743" s="91" t="s">
        <v>9542</v>
      </c>
      <c r="W743" s="213">
        <v>743</v>
      </c>
      <c r="X743" s="214">
        <v>12</v>
      </c>
    </row>
    <row r="744" spans="1:24" ht="14.45" customHeight="1" x14ac:dyDescent="0.25">
      <c r="A744" s="86" t="s">
        <v>0</v>
      </c>
      <c r="B744" s="84" t="s">
        <v>32</v>
      </c>
      <c r="C744" s="86" t="s">
        <v>2144</v>
      </c>
      <c r="D744" s="86" t="s">
        <v>1772</v>
      </c>
      <c r="E744" s="86" t="s">
        <v>2145</v>
      </c>
      <c r="F744" s="86">
        <v>5.0000000000000001E-3</v>
      </c>
      <c r="G744" s="86" t="s">
        <v>510</v>
      </c>
      <c r="H744" s="88"/>
      <c r="I744" s="88"/>
      <c r="J744" s="88"/>
      <c r="K744" s="86" t="s">
        <v>9543</v>
      </c>
      <c r="W744" s="213">
        <v>744</v>
      </c>
      <c r="X744" s="214">
        <v>12</v>
      </c>
    </row>
    <row r="745" spans="1:24" ht="14.45" customHeight="1" x14ac:dyDescent="0.25">
      <c r="A745" s="91" t="s">
        <v>0</v>
      </c>
      <c r="B745" s="89" t="s">
        <v>32</v>
      </c>
      <c r="C745" s="91" t="s">
        <v>2146</v>
      </c>
      <c r="D745" s="91" t="s">
        <v>205</v>
      </c>
      <c r="E745" s="91" t="s">
        <v>2147</v>
      </c>
      <c r="F745" s="91">
        <v>2E-3</v>
      </c>
      <c r="G745" s="91" t="s">
        <v>510</v>
      </c>
      <c r="H745" s="93"/>
      <c r="I745" s="93"/>
      <c r="J745" s="93"/>
      <c r="K745" s="91" t="s">
        <v>9353</v>
      </c>
      <c r="W745" s="213">
        <v>745</v>
      </c>
      <c r="X745" s="214">
        <v>12</v>
      </c>
    </row>
    <row r="746" spans="1:24" ht="14.45" customHeight="1" x14ac:dyDescent="0.25">
      <c r="A746" s="86" t="s">
        <v>0</v>
      </c>
      <c r="B746" s="84" t="s">
        <v>32</v>
      </c>
      <c r="C746" s="86" t="s">
        <v>2148</v>
      </c>
      <c r="D746" s="86" t="s">
        <v>1046</v>
      </c>
      <c r="E746" s="86" t="s">
        <v>2149</v>
      </c>
      <c r="F746" s="86">
        <v>0</v>
      </c>
      <c r="G746" s="86" t="s">
        <v>510</v>
      </c>
      <c r="H746" s="88"/>
      <c r="I746" s="88"/>
      <c r="J746" s="88"/>
      <c r="K746" s="86" t="s">
        <v>9544</v>
      </c>
      <c r="W746" s="213">
        <v>746</v>
      </c>
      <c r="X746" s="214">
        <v>12</v>
      </c>
    </row>
    <row r="747" spans="1:24" x14ac:dyDescent="0.25">
      <c r="A747" s="91" t="s">
        <v>0</v>
      </c>
      <c r="B747" s="89" t="s">
        <v>32</v>
      </c>
      <c r="C747" s="91" t="s">
        <v>708</v>
      </c>
      <c r="D747" s="91" t="s">
        <v>172</v>
      </c>
      <c r="E747" s="91" t="s">
        <v>2150</v>
      </c>
      <c r="F747" s="91">
        <v>0</v>
      </c>
      <c r="G747" s="91" t="s">
        <v>510</v>
      </c>
      <c r="H747" s="93"/>
      <c r="I747" s="93"/>
      <c r="J747" s="93"/>
      <c r="K747" s="91" t="s">
        <v>510</v>
      </c>
      <c r="W747" s="213">
        <v>747</v>
      </c>
      <c r="X747" s="214">
        <v>12</v>
      </c>
    </row>
    <row r="748" spans="1:24" ht="14.45" customHeight="1" x14ac:dyDescent="0.25">
      <c r="A748" s="86" t="s">
        <v>0</v>
      </c>
      <c r="B748" s="84" t="s">
        <v>32</v>
      </c>
      <c r="C748" s="87" t="s">
        <v>2151</v>
      </c>
      <c r="D748" s="86" t="s">
        <v>2152</v>
      </c>
      <c r="E748" s="86" t="s">
        <v>2153</v>
      </c>
      <c r="F748" s="86">
        <v>1E-3</v>
      </c>
      <c r="G748" s="86" t="s">
        <v>510</v>
      </c>
      <c r="H748" s="88"/>
      <c r="I748" s="88"/>
      <c r="J748" s="88"/>
      <c r="K748" s="86" t="s">
        <v>9545</v>
      </c>
      <c r="W748" s="213">
        <v>748</v>
      </c>
      <c r="X748" s="214">
        <v>12</v>
      </c>
    </row>
    <row r="749" spans="1:24" ht="14.45" customHeight="1" x14ac:dyDescent="0.25">
      <c r="A749" s="91" t="s">
        <v>0</v>
      </c>
      <c r="B749" s="89" t="s">
        <v>32</v>
      </c>
      <c r="C749" s="91" t="s">
        <v>2154</v>
      </c>
      <c r="D749" s="91" t="s">
        <v>2155</v>
      </c>
      <c r="E749" s="91" t="s">
        <v>2156</v>
      </c>
      <c r="F749" s="91">
        <v>1E-3</v>
      </c>
      <c r="G749" s="91" t="s">
        <v>510</v>
      </c>
      <c r="H749" s="93"/>
      <c r="I749" s="93"/>
      <c r="J749" s="93"/>
      <c r="K749" s="91" t="s">
        <v>510</v>
      </c>
      <c r="W749" s="213">
        <v>749</v>
      </c>
      <c r="X749" s="214">
        <v>12</v>
      </c>
    </row>
    <row r="750" spans="1:24" x14ac:dyDescent="0.25">
      <c r="A750" s="86" t="s">
        <v>0</v>
      </c>
      <c r="B750" s="84" t="s">
        <v>32</v>
      </c>
      <c r="C750" s="87" t="s">
        <v>2157</v>
      </c>
      <c r="D750" s="86" t="s">
        <v>2158</v>
      </c>
      <c r="E750" s="86" t="s">
        <v>2159</v>
      </c>
      <c r="F750" s="86">
        <v>1E-3</v>
      </c>
      <c r="G750" s="86" t="s">
        <v>510</v>
      </c>
      <c r="H750" s="88"/>
      <c r="I750" s="88"/>
      <c r="J750" s="88"/>
      <c r="K750" s="86" t="s">
        <v>9546</v>
      </c>
      <c r="W750" s="213">
        <v>750</v>
      </c>
      <c r="X750" s="214">
        <v>12</v>
      </c>
    </row>
    <row r="751" spans="1:24" x14ac:dyDescent="0.25">
      <c r="A751" s="91" t="s">
        <v>0</v>
      </c>
      <c r="B751" s="89" t="s">
        <v>32</v>
      </c>
      <c r="C751" s="92" t="s">
        <v>2160</v>
      </c>
      <c r="D751" s="91" t="s">
        <v>2161</v>
      </c>
      <c r="E751" s="91" t="s">
        <v>2162</v>
      </c>
      <c r="F751" s="91">
        <v>0</v>
      </c>
      <c r="G751" s="91" t="s">
        <v>2163</v>
      </c>
      <c r="H751" s="93"/>
      <c r="I751" s="93"/>
      <c r="J751" s="93"/>
      <c r="K751" s="91" t="s">
        <v>9547</v>
      </c>
      <c r="W751" s="213">
        <v>751</v>
      </c>
      <c r="X751" s="214">
        <v>12</v>
      </c>
    </row>
    <row r="752" spans="1:24" ht="14.45" customHeight="1" x14ac:dyDescent="0.25">
      <c r="A752" s="86" t="s">
        <v>0</v>
      </c>
      <c r="B752" s="84" t="s">
        <v>32</v>
      </c>
      <c r="C752" s="87" t="s">
        <v>2164</v>
      </c>
      <c r="D752" s="86" t="s">
        <v>2165</v>
      </c>
      <c r="E752" s="86" t="s">
        <v>2166</v>
      </c>
      <c r="F752" s="86">
        <v>0.749</v>
      </c>
      <c r="G752" s="86" t="s">
        <v>2167</v>
      </c>
      <c r="H752" s="88"/>
      <c r="I752" s="88"/>
      <c r="J752" s="88"/>
      <c r="K752" s="86" t="s">
        <v>9502</v>
      </c>
      <c r="W752" s="213">
        <v>752</v>
      </c>
      <c r="X752" s="214">
        <v>12</v>
      </c>
    </row>
    <row r="753" spans="1:24" ht="14.45" customHeight="1" x14ac:dyDescent="0.25">
      <c r="A753" s="91" t="s">
        <v>0</v>
      </c>
      <c r="B753" s="89" t="s">
        <v>32</v>
      </c>
      <c r="C753" s="91" t="s">
        <v>2168</v>
      </c>
      <c r="D753" s="91" t="s">
        <v>2169</v>
      </c>
      <c r="E753" s="91" t="s">
        <v>2170</v>
      </c>
      <c r="F753" s="91">
        <v>0.26500000000000001</v>
      </c>
      <c r="G753" s="91" t="s">
        <v>510</v>
      </c>
      <c r="H753" s="93"/>
      <c r="I753" s="93"/>
      <c r="J753" s="93"/>
      <c r="K753" s="91" t="s">
        <v>510</v>
      </c>
      <c r="W753" s="213">
        <v>753</v>
      </c>
      <c r="X753" s="214">
        <v>12</v>
      </c>
    </row>
    <row r="754" spans="1:24" x14ac:dyDescent="0.25">
      <c r="A754" s="86" t="s">
        <v>0</v>
      </c>
      <c r="B754" s="84" t="s">
        <v>32</v>
      </c>
      <c r="C754" s="86" t="s">
        <v>2171</v>
      </c>
      <c r="D754" s="86" t="s">
        <v>1543</v>
      </c>
      <c r="E754" s="86" t="s">
        <v>2172</v>
      </c>
      <c r="F754" s="86">
        <v>0.13700000000000001</v>
      </c>
      <c r="G754" s="86" t="s">
        <v>510</v>
      </c>
      <c r="H754" s="88"/>
      <c r="I754" s="88"/>
      <c r="J754" s="88"/>
      <c r="K754" s="86" t="s">
        <v>510</v>
      </c>
      <c r="W754" s="213">
        <v>754</v>
      </c>
      <c r="X754" s="214">
        <v>12</v>
      </c>
    </row>
    <row r="755" spans="1:24" ht="14.45" customHeight="1" x14ac:dyDescent="0.25">
      <c r="A755" s="91" t="s">
        <v>0</v>
      </c>
      <c r="B755" s="89" t="s">
        <v>32</v>
      </c>
      <c r="C755" s="90" t="s">
        <v>2181</v>
      </c>
      <c r="D755" s="91" t="s">
        <v>1815</v>
      </c>
      <c r="E755" s="91" t="s">
        <v>2173</v>
      </c>
      <c r="F755" s="91">
        <v>0.433</v>
      </c>
      <c r="G755" s="91" t="s">
        <v>2174</v>
      </c>
      <c r="H755" s="93"/>
      <c r="I755" s="93"/>
      <c r="J755" s="93"/>
      <c r="K755" s="91" t="s">
        <v>510</v>
      </c>
      <c r="W755" s="213">
        <v>755</v>
      </c>
      <c r="X755" s="214">
        <v>12</v>
      </c>
    </row>
    <row r="756" spans="1:24" ht="14.45" customHeight="1" x14ac:dyDescent="0.25">
      <c r="A756" s="86" t="s">
        <v>0</v>
      </c>
      <c r="B756" s="84" t="s">
        <v>32</v>
      </c>
      <c r="C756" s="86" t="s">
        <v>2175</v>
      </c>
      <c r="D756" s="86" t="s">
        <v>1584</v>
      </c>
      <c r="E756" s="86" t="s">
        <v>2176</v>
      </c>
      <c r="F756" s="86">
        <v>0.39700000000000002</v>
      </c>
      <c r="G756" s="86" t="s">
        <v>510</v>
      </c>
      <c r="H756" s="88"/>
      <c r="I756" s="88"/>
      <c r="J756" s="88"/>
      <c r="K756" s="86" t="s">
        <v>510</v>
      </c>
      <c r="W756" s="213">
        <v>756</v>
      </c>
      <c r="X756" s="214">
        <v>12</v>
      </c>
    </row>
    <row r="757" spans="1:24" ht="14.45" customHeight="1" x14ac:dyDescent="0.25">
      <c r="A757" s="91" t="s">
        <v>0</v>
      </c>
      <c r="B757" s="89" t="s">
        <v>32</v>
      </c>
      <c r="C757" s="91" t="s">
        <v>2177</v>
      </c>
      <c r="D757" s="91" t="s">
        <v>1879</v>
      </c>
      <c r="E757" s="91" t="s">
        <v>2178</v>
      </c>
      <c r="F757" s="91">
        <v>0.41399999999999998</v>
      </c>
      <c r="G757" s="91" t="s">
        <v>510</v>
      </c>
      <c r="H757" s="93"/>
      <c r="I757" s="93"/>
      <c r="J757" s="93"/>
      <c r="K757" s="91" t="s">
        <v>510</v>
      </c>
      <c r="W757" s="213">
        <v>757</v>
      </c>
      <c r="X757" s="214">
        <v>12</v>
      </c>
    </row>
    <row r="758" spans="1:24" ht="14.45" customHeight="1" x14ac:dyDescent="0.25">
      <c r="A758" s="86" t="s">
        <v>0</v>
      </c>
      <c r="B758" s="84" t="s">
        <v>32</v>
      </c>
      <c r="C758" s="86" t="s">
        <v>2179</v>
      </c>
      <c r="D758" s="86" t="s">
        <v>1772</v>
      </c>
      <c r="E758" s="86" t="s">
        <v>2180</v>
      </c>
      <c r="F758" s="86">
        <v>0.45500000000000002</v>
      </c>
      <c r="G758" s="86" t="s">
        <v>510</v>
      </c>
      <c r="H758" s="88"/>
      <c r="I758" s="88"/>
      <c r="J758" s="88"/>
      <c r="K758" s="86" t="s">
        <v>510</v>
      </c>
      <c r="W758" s="213">
        <v>758</v>
      </c>
      <c r="X758" s="214">
        <v>12</v>
      </c>
    </row>
    <row r="759" spans="1:24" ht="14.45" customHeight="1" x14ac:dyDescent="0.25">
      <c r="A759" s="91" t="s">
        <v>0</v>
      </c>
      <c r="B759" s="89" t="s">
        <v>32</v>
      </c>
      <c r="C759" s="90" t="s">
        <v>2182</v>
      </c>
      <c r="D759" s="91" t="s">
        <v>512</v>
      </c>
      <c r="E759" s="91" t="s">
        <v>2183</v>
      </c>
      <c r="F759" s="91">
        <v>0.503</v>
      </c>
      <c r="G759" s="91" t="s">
        <v>2184</v>
      </c>
      <c r="H759" s="93"/>
      <c r="I759" s="93"/>
      <c r="J759" s="93"/>
      <c r="K759" s="91" t="s">
        <v>510</v>
      </c>
      <c r="W759" s="213">
        <v>759</v>
      </c>
      <c r="X759" s="214">
        <v>12</v>
      </c>
    </row>
    <row r="760" spans="1:24" x14ac:dyDescent="0.25">
      <c r="A760" s="84" t="s">
        <v>1485</v>
      </c>
      <c r="B760" s="85" t="s">
        <v>2185</v>
      </c>
      <c r="C760" s="84">
        <v>0</v>
      </c>
      <c r="D760" s="86" t="s">
        <v>495</v>
      </c>
      <c r="E760" s="86" t="s">
        <v>2186</v>
      </c>
      <c r="F760" s="86">
        <v>2.8000000000000001E-2</v>
      </c>
      <c r="G760" s="86" t="s">
        <v>2187</v>
      </c>
      <c r="H760" s="86" t="s">
        <v>2188</v>
      </c>
      <c r="I760" s="86" t="s">
        <v>2189</v>
      </c>
      <c r="J760" s="86" t="s">
        <v>2190</v>
      </c>
      <c r="K760" s="86" t="s">
        <v>510</v>
      </c>
      <c r="W760" s="213">
        <v>760</v>
      </c>
      <c r="X760" s="214">
        <v>12</v>
      </c>
    </row>
    <row r="761" spans="1:24" x14ac:dyDescent="0.25">
      <c r="A761" s="71" t="s">
        <v>1966</v>
      </c>
      <c r="B761" s="73" t="s">
        <v>4024</v>
      </c>
      <c r="C761" s="71">
        <v>0</v>
      </c>
      <c r="D761" s="72" t="s">
        <v>4025</v>
      </c>
      <c r="E761" s="72" t="s">
        <v>4026</v>
      </c>
      <c r="F761" s="72">
        <v>0.30199999999999999</v>
      </c>
      <c r="G761" s="72" t="s">
        <v>4027</v>
      </c>
      <c r="H761" s="72" t="s">
        <v>4028</v>
      </c>
      <c r="I761" s="72" t="s">
        <v>4029</v>
      </c>
      <c r="J761" s="72" t="s">
        <v>4030</v>
      </c>
      <c r="K761" s="72" t="s">
        <v>510</v>
      </c>
      <c r="W761" s="213">
        <v>761</v>
      </c>
      <c r="X761" s="214">
        <v>10</v>
      </c>
    </row>
    <row r="762" spans="1:24" x14ac:dyDescent="0.25">
      <c r="A762" s="84" t="s">
        <v>1485</v>
      </c>
      <c r="B762" s="85" t="s">
        <v>2191</v>
      </c>
      <c r="C762" s="84">
        <v>0</v>
      </c>
      <c r="D762" s="86" t="s">
        <v>853</v>
      </c>
      <c r="E762" s="86" t="s">
        <v>2192</v>
      </c>
      <c r="F762" s="86">
        <v>8.5000000000000006E-2</v>
      </c>
      <c r="G762" s="86" t="s">
        <v>2193</v>
      </c>
      <c r="H762" s="86" t="s">
        <v>2194</v>
      </c>
      <c r="I762" s="86" t="s">
        <v>2195</v>
      </c>
      <c r="J762" s="86" t="s">
        <v>2196</v>
      </c>
      <c r="K762" s="86" t="s">
        <v>510</v>
      </c>
      <c r="W762" s="213">
        <v>762</v>
      </c>
      <c r="X762" s="214">
        <v>12</v>
      </c>
    </row>
    <row r="763" spans="1:24" x14ac:dyDescent="0.25">
      <c r="A763" s="89" t="s">
        <v>1485</v>
      </c>
      <c r="B763" s="90" t="s">
        <v>2197</v>
      </c>
      <c r="C763" s="89">
        <v>0</v>
      </c>
      <c r="D763" s="91" t="s">
        <v>1046</v>
      </c>
      <c r="E763" s="91" t="s">
        <v>2198</v>
      </c>
      <c r="F763" s="91">
        <v>2.3E-2</v>
      </c>
      <c r="G763" s="91" t="s">
        <v>2199</v>
      </c>
      <c r="H763" s="91" t="s">
        <v>2200</v>
      </c>
      <c r="I763" s="91" t="s">
        <v>2201</v>
      </c>
      <c r="J763" s="91" t="s">
        <v>2202</v>
      </c>
      <c r="K763" s="91" t="s">
        <v>510</v>
      </c>
      <c r="W763" s="213">
        <v>763</v>
      </c>
      <c r="X763" s="214">
        <v>12</v>
      </c>
    </row>
    <row r="764" spans="1:24" x14ac:dyDescent="0.25">
      <c r="A764" s="84" t="s">
        <v>1485</v>
      </c>
      <c r="B764" s="85" t="s">
        <v>2203</v>
      </c>
      <c r="C764" s="84">
        <v>0</v>
      </c>
      <c r="D764" s="86" t="s">
        <v>365</v>
      </c>
      <c r="E764" s="86" t="s">
        <v>2204</v>
      </c>
      <c r="F764" s="86">
        <v>5.2999999999999999E-2</v>
      </c>
      <c r="G764" s="86" t="s">
        <v>2205</v>
      </c>
      <c r="H764" s="86" t="s">
        <v>2206</v>
      </c>
      <c r="I764" s="86" t="s">
        <v>2207</v>
      </c>
      <c r="J764" s="86" t="s">
        <v>2208</v>
      </c>
      <c r="K764" s="86" t="s">
        <v>510</v>
      </c>
      <c r="W764" s="213">
        <v>764</v>
      </c>
      <c r="X764" s="214">
        <v>12</v>
      </c>
    </row>
    <row r="765" spans="1:24" x14ac:dyDescent="0.25">
      <c r="A765" s="89" t="s">
        <v>1485</v>
      </c>
      <c r="B765" s="90" t="s">
        <v>3512</v>
      </c>
      <c r="C765" s="89">
        <v>0</v>
      </c>
      <c r="D765" s="91" t="s">
        <v>185</v>
      </c>
      <c r="E765" s="91" t="s">
        <v>3513</v>
      </c>
      <c r="F765" s="91">
        <v>4.5999999999999999E-2</v>
      </c>
      <c r="G765" s="91" t="s">
        <v>3514</v>
      </c>
      <c r="H765" s="91" t="s">
        <v>3515</v>
      </c>
      <c r="I765" s="91" t="s">
        <v>3516</v>
      </c>
      <c r="J765" s="91" t="s">
        <v>3517</v>
      </c>
      <c r="K765" s="91" t="s">
        <v>510</v>
      </c>
      <c r="W765" s="213">
        <v>765</v>
      </c>
      <c r="X765" s="214">
        <v>12</v>
      </c>
    </row>
    <row r="766" spans="1:24" x14ac:dyDescent="0.25">
      <c r="A766" s="84" t="s">
        <v>1485</v>
      </c>
      <c r="B766" s="85" t="s">
        <v>3501</v>
      </c>
      <c r="C766" s="84">
        <v>0</v>
      </c>
      <c r="D766" s="86" t="s">
        <v>1799</v>
      </c>
      <c r="E766" s="86" t="s">
        <v>3502</v>
      </c>
      <c r="F766" s="86">
        <v>3.5000000000000003E-2</v>
      </c>
      <c r="G766" s="86" t="s">
        <v>3503</v>
      </c>
      <c r="H766" s="86" t="s">
        <v>3504</v>
      </c>
      <c r="I766" s="86" t="s">
        <v>3505</v>
      </c>
      <c r="J766" s="86" t="s">
        <v>3506</v>
      </c>
      <c r="K766" s="86" t="s">
        <v>510</v>
      </c>
      <c r="W766" s="213">
        <v>766</v>
      </c>
      <c r="X766" s="214">
        <v>12</v>
      </c>
    </row>
    <row r="767" spans="1:24" x14ac:dyDescent="0.25">
      <c r="A767" s="89" t="s">
        <v>1485</v>
      </c>
      <c r="B767" s="90" t="s">
        <v>3518</v>
      </c>
      <c r="C767" s="89">
        <v>0</v>
      </c>
      <c r="D767" s="91" t="s">
        <v>158</v>
      </c>
      <c r="E767" s="91" t="s">
        <v>3519</v>
      </c>
      <c r="F767" s="91">
        <v>4.8000000000000001E-2</v>
      </c>
      <c r="G767" s="91" t="s">
        <v>3520</v>
      </c>
      <c r="H767" s="91" t="s">
        <v>3521</v>
      </c>
      <c r="I767" s="91" t="s">
        <v>3522</v>
      </c>
      <c r="J767" s="91" t="s">
        <v>3523</v>
      </c>
      <c r="K767" s="91" t="s">
        <v>510</v>
      </c>
      <c r="W767" s="213">
        <v>767</v>
      </c>
      <c r="X767" s="214">
        <v>12</v>
      </c>
    </row>
    <row r="768" spans="1:24" x14ac:dyDescent="0.25">
      <c r="A768" s="84" t="s">
        <v>1485</v>
      </c>
      <c r="B768" s="85" t="s">
        <v>3524</v>
      </c>
      <c r="C768" s="84">
        <v>0</v>
      </c>
      <c r="D768" s="86" t="s">
        <v>866</v>
      </c>
      <c r="E768" s="86" t="s">
        <v>3525</v>
      </c>
      <c r="F768" s="86">
        <v>5.3999999999999999E-2</v>
      </c>
      <c r="G768" s="86" t="s">
        <v>3526</v>
      </c>
      <c r="H768" s="86" t="s">
        <v>3527</v>
      </c>
      <c r="I768" s="86" t="s">
        <v>3528</v>
      </c>
      <c r="J768" s="86" t="s">
        <v>3529</v>
      </c>
      <c r="K768" s="86" t="s">
        <v>510</v>
      </c>
      <c r="W768" s="213">
        <v>768</v>
      </c>
      <c r="X768" s="214">
        <v>12</v>
      </c>
    </row>
    <row r="769" spans="1:24" x14ac:dyDescent="0.25">
      <c r="A769" s="89" t="s">
        <v>1485</v>
      </c>
      <c r="B769" s="90" t="s">
        <v>3530</v>
      </c>
      <c r="C769" s="89">
        <v>0</v>
      </c>
      <c r="D769" s="91" t="s">
        <v>158</v>
      </c>
      <c r="E769" s="91" t="s">
        <v>3531</v>
      </c>
      <c r="F769" s="91">
        <v>9.2999999999999999E-2</v>
      </c>
      <c r="G769" s="91" t="s">
        <v>3532</v>
      </c>
      <c r="H769" s="91" t="s">
        <v>3533</v>
      </c>
      <c r="I769" s="91" t="s">
        <v>3534</v>
      </c>
      <c r="J769" s="91" t="s">
        <v>3535</v>
      </c>
      <c r="K769" s="91" t="s">
        <v>510</v>
      </c>
      <c r="W769" s="213">
        <v>769</v>
      </c>
      <c r="X769" s="214">
        <v>12</v>
      </c>
    </row>
    <row r="770" spans="1:24" x14ac:dyDescent="0.25">
      <c r="A770" s="84" t="s">
        <v>1485</v>
      </c>
      <c r="B770" s="85" t="s">
        <v>3536</v>
      </c>
      <c r="C770" s="84">
        <v>0</v>
      </c>
      <c r="D770" s="86" t="s">
        <v>1220</v>
      </c>
      <c r="E770" s="86" t="s">
        <v>3537</v>
      </c>
      <c r="F770" s="86">
        <v>6.4000000000000001E-2</v>
      </c>
      <c r="G770" s="86" t="s">
        <v>3538</v>
      </c>
      <c r="H770" s="86" t="s">
        <v>3539</v>
      </c>
      <c r="I770" s="86" t="s">
        <v>3540</v>
      </c>
      <c r="J770" s="86" t="s">
        <v>3541</v>
      </c>
      <c r="K770" s="86" t="s">
        <v>510</v>
      </c>
      <c r="W770" s="213">
        <v>770</v>
      </c>
      <c r="X770" s="214">
        <v>12</v>
      </c>
    </row>
    <row r="771" spans="1:24" x14ac:dyDescent="0.25">
      <c r="A771" s="71" t="s">
        <v>1966</v>
      </c>
      <c r="B771" s="73" t="s">
        <v>3577</v>
      </c>
      <c r="C771" s="71">
        <v>0</v>
      </c>
      <c r="D771" s="72" t="s">
        <v>185</v>
      </c>
      <c r="E771" s="72" t="s">
        <v>3578</v>
      </c>
      <c r="F771" s="72">
        <v>0.56999999999999995</v>
      </c>
      <c r="G771" s="72" t="s">
        <v>3579</v>
      </c>
      <c r="H771" s="72" t="s">
        <v>3580</v>
      </c>
      <c r="I771" s="72" t="s">
        <v>3581</v>
      </c>
      <c r="J771" s="72" t="s">
        <v>3582</v>
      </c>
      <c r="K771" s="72" t="s">
        <v>510</v>
      </c>
      <c r="W771" s="213">
        <v>771</v>
      </c>
      <c r="X771" s="214">
        <v>10</v>
      </c>
    </row>
    <row r="772" spans="1:24" x14ac:dyDescent="0.25">
      <c r="A772" s="84" t="s">
        <v>1485</v>
      </c>
      <c r="B772" s="85" t="s">
        <v>3542</v>
      </c>
      <c r="C772" s="84">
        <v>0</v>
      </c>
      <c r="D772" s="86" t="s">
        <v>866</v>
      </c>
      <c r="E772" s="86" t="s">
        <v>3543</v>
      </c>
      <c r="F772" s="86">
        <v>3.1E-2</v>
      </c>
      <c r="G772" s="86" t="s">
        <v>3544</v>
      </c>
      <c r="H772" s="86" t="s">
        <v>3545</v>
      </c>
      <c r="I772" s="86" t="s">
        <v>3546</v>
      </c>
      <c r="J772" s="86" t="s">
        <v>3547</v>
      </c>
      <c r="K772" s="86" t="s">
        <v>510</v>
      </c>
      <c r="W772" s="213">
        <v>772</v>
      </c>
      <c r="X772" s="214">
        <v>12</v>
      </c>
    </row>
    <row r="773" spans="1:24" x14ac:dyDescent="0.25">
      <c r="A773" s="89" t="s">
        <v>1485</v>
      </c>
      <c r="B773" s="90" t="s">
        <v>3548</v>
      </c>
      <c r="C773" s="89">
        <v>0</v>
      </c>
      <c r="D773" s="91" t="s">
        <v>107</v>
      </c>
      <c r="E773" s="91" t="s">
        <v>3549</v>
      </c>
      <c r="F773" s="91">
        <v>0.09</v>
      </c>
      <c r="G773" s="91" t="s">
        <v>3550</v>
      </c>
      <c r="H773" s="91" t="s">
        <v>3551</v>
      </c>
      <c r="I773" s="91" t="s">
        <v>3552</v>
      </c>
      <c r="J773" s="91" t="s">
        <v>3553</v>
      </c>
      <c r="K773" s="91" t="s">
        <v>510</v>
      </c>
      <c r="W773" s="213">
        <v>773</v>
      </c>
      <c r="X773" s="214">
        <v>12</v>
      </c>
    </row>
    <row r="774" spans="1:24" x14ac:dyDescent="0.25">
      <c r="A774" s="84" t="s">
        <v>1485</v>
      </c>
      <c r="B774" s="85" t="s">
        <v>3554</v>
      </c>
      <c r="C774" s="84">
        <v>0</v>
      </c>
      <c r="D774" s="86" t="s">
        <v>185</v>
      </c>
      <c r="E774" s="86" t="s">
        <v>3555</v>
      </c>
      <c r="F774" s="86">
        <v>5.2999999999999999E-2</v>
      </c>
      <c r="G774" s="86" t="s">
        <v>3556</v>
      </c>
      <c r="H774" s="86" t="s">
        <v>426</v>
      </c>
      <c r="I774" s="86" t="s">
        <v>3557</v>
      </c>
      <c r="J774" s="86" t="s">
        <v>3558</v>
      </c>
      <c r="K774" s="86" t="s">
        <v>510</v>
      </c>
      <c r="W774" s="213">
        <v>774</v>
      </c>
      <c r="X774" s="214">
        <v>12</v>
      </c>
    </row>
    <row r="775" spans="1:24" x14ac:dyDescent="0.25">
      <c r="A775" s="89" t="s">
        <v>1485</v>
      </c>
      <c r="B775" s="90" t="s">
        <v>3559</v>
      </c>
      <c r="C775" s="89">
        <v>0</v>
      </c>
      <c r="D775" s="91" t="s">
        <v>158</v>
      </c>
      <c r="E775" s="91" t="s">
        <v>3560</v>
      </c>
      <c r="F775" s="91">
        <v>6.8000000000000005E-2</v>
      </c>
      <c r="G775" s="91" t="s">
        <v>3561</v>
      </c>
      <c r="H775" s="91" t="s">
        <v>3562</v>
      </c>
      <c r="I775" s="91" t="s">
        <v>3563</v>
      </c>
      <c r="J775" s="91" t="s">
        <v>3564</v>
      </c>
      <c r="K775" s="91" t="s">
        <v>510</v>
      </c>
      <c r="W775" s="213">
        <v>775</v>
      </c>
      <c r="X775" s="214">
        <v>12</v>
      </c>
    </row>
    <row r="776" spans="1:24" x14ac:dyDescent="0.25">
      <c r="A776" s="84" t="s">
        <v>1485</v>
      </c>
      <c r="B776" s="85" t="s">
        <v>3565</v>
      </c>
      <c r="C776" s="84">
        <v>0</v>
      </c>
      <c r="D776" s="86" t="s">
        <v>680</v>
      </c>
      <c r="E776" s="86" t="s">
        <v>3566</v>
      </c>
      <c r="F776" s="86">
        <v>0.10100000000000001</v>
      </c>
      <c r="G776" s="86" t="s">
        <v>3567</v>
      </c>
      <c r="H776" s="86" t="s">
        <v>3568</v>
      </c>
      <c r="I776" s="86" t="s">
        <v>3569</v>
      </c>
      <c r="J776" s="86" t="s">
        <v>3570</v>
      </c>
      <c r="K776" s="86" t="s">
        <v>510</v>
      </c>
      <c r="W776" s="213">
        <v>776</v>
      </c>
      <c r="X776" s="214">
        <v>12</v>
      </c>
    </row>
    <row r="777" spans="1:24" x14ac:dyDescent="0.25">
      <c r="A777" s="89" t="s">
        <v>1485</v>
      </c>
      <c r="B777" s="90" t="s">
        <v>2209</v>
      </c>
      <c r="C777" s="89">
        <v>0</v>
      </c>
      <c r="D777" s="91" t="s">
        <v>274</v>
      </c>
      <c r="E777" s="91" t="s">
        <v>2210</v>
      </c>
      <c r="F777" s="91">
        <v>5.0000000000000001E-3</v>
      </c>
      <c r="G777" s="91" t="s">
        <v>2211</v>
      </c>
      <c r="H777" s="91" t="s">
        <v>2212</v>
      </c>
      <c r="I777" s="91" t="s">
        <v>2213</v>
      </c>
      <c r="J777" s="91" t="s">
        <v>2214</v>
      </c>
      <c r="K777" s="91" t="s">
        <v>510</v>
      </c>
      <c r="W777" s="213">
        <v>777</v>
      </c>
      <c r="X777" s="214">
        <v>12</v>
      </c>
    </row>
    <row r="778" spans="1:24" x14ac:dyDescent="0.25">
      <c r="A778" s="84" t="s">
        <v>1485</v>
      </c>
      <c r="B778" s="85" t="s">
        <v>2215</v>
      </c>
      <c r="C778" s="84">
        <v>0</v>
      </c>
      <c r="D778" s="86" t="s">
        <v>2016</v>
      </c>
      <c r="E778" s="86" t="s">
        <v>2216</v>
      </c>
      <c r="F778" s="86">
        <v>0.187</v>
      </c>
      <c r="G778" s="86" t="s">
        <v>2217</v>
      </c>
      <c r="H778" s="86" t="s">
        <v>2218</v>
      </c>
      <c r="I778" s="86" t="s">
        <v>2219</v>
      </c>
      <c r="J778" s="86" t="s">
        <v>2220</v>
      </c>
      <c r="K778" s="86" t="s">
        <v>510</v>
      </c>
      <c r="W778" s="213">
        <v>778</v>
      </c>
      <c r="X778" s="214">
        <v>12</v>
      </c>
    </row>
    <row r="779" spans="1:24" x14ac:dyDescent="0.25">
      <c r="A779" s="89" t="s">
        <v>1485</v>
      </c>
      <c r="B779" s="90" t="s">
        <v>3571</v>
      </c>
      <c r="C779" s="89">
        <v>0</v>
      </c>
      <c r="D779" s="91" t="s">
        <v>482</v>
      </c>
      <c r="E779" s="91" t="s">
        <v>3572</v>
      </c>
      <c r="F779" s="91">
        <v>3.7999999999999999E-2</v>
      </c>
      <c r="G779" s="91" t="s">
        <v>3573</v>
      </c>
      <c r="H779" s="91" t="s">
        <v>3574</v>
      </c>
      <c r="I779" s="91" t="s">
        <v>3575</v>
      </c>
      <c r="J779" s="91" t="s">
        <v>3576</v>
      </c>
      <c r="K779" s="91" t="s">
        <v>510</v>
      </c>
      <c r="W779" s="213">
        <v>779</v>
      </c>
      <c r="X779" s="214">
        <v>12</v>
      </c>
    </row>
    <row r="780" spans="1:24" x14ac:dyDescent="0.25">
      <c r="A780" s="67" t="s">
        <v>1966</v>
      </c>
      <c r="B780" s="69" t="s">
        <v>3742</v>
      </c>
      <c r="C780" s="67">
        <v>0</v>
      </c>
      <c r="D780" s="68" t="s">
        <v>597</v>
      </c>
      <c r="E780" s="68" t="s">
        <v>3743</v>
      </c>
      <c r="F780" s="68">
        <v>0.152</v>
      </c>
      <c r="G780" s="68" t="s">
        <v>3744</v>
      </c>
      <c r="H780" s="68" t="s">
        <v>3745</v>
      </c>
      <c r="I780" s="68" t="s">
        <v>3746</v>
      </c>
      <c r="J780" s="68" t="s">
        <v>3747</v>
      </c>
      <c r="K780" s="68" t="s">
        <v>510</v>
      </c>
      <c r="W780" s="213">
        <v>780</v>
      </c>
      <c r="X780" s="214">
        <v>10</v>
      </c>
    </row>
    <row r="781" spans="1:24" x14ac:dyDescent="0.25">
      <c r="A781" s="89" t="s">
        <v>1485</v>
      </c>
      <c r="B781" s="90" t="s">
        <v>2221</v>
      </c>
      <c r="C781" s="89">
        <v>0</v>
      </c>
      <c r="D781" s="91" t="s">
        <v>966</v>
      </c>
      <c r="E781" s="91" t="s">
        <v>2222</v>
      </c>
      <c r="F781" s="91">
        <v>0.312</v>
      </c>
      <c r="G781" s="91" t="s">
        <v>2223</v>
      </c>
      <c r="H781" s="91" t="s">
        <v>2224</v>
      </c>
      <c r="I781" s="91" t="s">
        <v>2225</v>
      </c>
      <c r="J781" s="91" t="s">
        <v>2226</v>
      </c>
      <c r="K781" s="91" t="s">
        <v>510</v>
      </c>
      <c r="W781" s="213">
        <v>781</v>
      </c>
      <c r="X781" s="214">
        <v>12</v>
      </c>
    </row>
    <row r="782" spans="1:24" x14ac:dyDescent="0.25">
      <c r="A782" s="67" t="s">
        <v>1966</v>
      </c>
      <c r="B782" s="69" t="s">
        <v>3754</v>
      </c>
      <c r="C782" s="67">
        <v>0</v>
      </c>
      <c r="D782" s="68" t="s">
        <v>158</v>
      </c>
      <c r="E782" s="68" t="s">
        <v>3755</v>
      </c>
      <c r="F782" s="68">
        <v>0.46899999999999997</v>
      </c>
      <c r="G782" s="68" t="s">
        <v>3756</v>
      </c>
      <c r="H782" s="68" t="s">
        <v>3757</v>
      </c>
      <c r="I782" s="68" t="s">
        <v>3758</v>
      </c>
      <c r="J782" s="68" t="s">
        <v>3759</v>
      </c>
      <c r="K782" s="68" t="s">
        <v>510</v>
      </c>
      <c r="W782" s="213">
        <v>782</v>
      </c>
      <c r="X782" s="214">
        <v>10</v>
      </c>
    </row>
    <row r="783" spans="1:24" x14ac:dyDescent="0.25">
      <c r="A783" s="71" t="s">
        <v>1966</v>
      </c>
      <c r="B783" s="73" t="s">
        <v>3766</v>
      </c>
      <c r="C783" s="71">
        <v>0</v>
      </c>
      <c r="D783" s="72" t="s">
        <v>107</v>
      </c>
      <c r="E783" s="72" t="s">
        <v>3767</v>
      </c>
      <c r="F783" s="72">
        <v>0.56799999999999995</v>
      </c>
      <c r="G783" s="72" t="s">
        <v>3768</v>
      </c>
      <c r="H783" s="72" t="s">
        <v>3769</v>
      </c>
      <c r="I783" s="72" t="s">
        <v>3770</v>
      </c>
      <c r="J783" s="72" t="s">
        <v>3771</v>
      </c>
      <c r="K783" s="72" t="s">
        <v>510</v>
      </c>
      <c r="W783" s="213">
        <v>783</v>
      </c>
      <c r="X783" s="214">
        <v>10</v>
      </c>
    </row>
    <row r="784" spans="1:24" x14ac:dyDescent="0.25">
      <c r="A784" s="67" t="s">
        <v>1966</v>
      </c>
      <c r="B784" s="69" t="s">
        <v>3760</v>
      </c>
      <c r="C784" s="67">
        <v>0</v>
      </c>
      <c r="D784" s="68" t="s">
        <v>115</v>
      </c>
      <c r="E784" s="68" t="s">
        <v>3761</v>
      </c>
      <c r="F784" s="68">
        <v>7.8E-2</v>
      </c>
      <c r="G784" s="68" t="s">
        <v>3762</v>
      </c>
      <c r="H784" s="68" t="s">
        <v>3763</v>
      </c>
      <c r="I784" s="68" t="s">
        <v>3764</v>
      </c>
      <c r="J784" s="68" t="s">
        <v>3765</v>
      </c>
      <c r="K784" s="68" t="s">
        <v>510</v>
      </c>
      <c r="W784" s="213">
        <v>784</v>
      </c>
      <c r="X784" s="214">
        <v>10</v>
      </c>
    </row>
    <row r="785" spans="1:24" x14ac:dyDescent="0.25">
      <c r="A785" s="71" t="s">
        <v>1966</v>
      </c>
      <c r="B785" s="73" t="s">
        <v>3772</v>
      </c>
      <c r="C785" s="71">
        <v>0</v>
      </c>
      <c r="D785" s="72" t="s">
        <v>286</v>
      </c>
      <c r="E785" s="72" t="s">
        <v>3773</v>
      </c>
      <c r="F785" s="72">
        <v>0.30599999999999999</v>
      </c>
      <c r="G785" s="72" t="s">
        <v>3774</v>
      </c>
      <c r="H785" s="72" t="s">
        <v>3775</v>
      </c>
      <c r="I785" s="72" t="s">
        <v>3776</v>
      </c>
      <c r="J785" s="72" t="s">
        <v>3777</v>
      </c>
      <c r="K785" s="72" t="s">
        <v>510</v>
      </c>
      <c r="W785" s="213">
        <v>785</v>
      </c>
      <c r="X785" s="214">
        <v>10</v>
      </c>
    </row>
    <row r="786" spans="1:24" x14ac:dyDescent="0.25">
      <c r="A786" s="67" t="s">
        <v>1966</v>
      </c>
      <c r="B786" s="69" t="s">
        <v>3784</v>
      </c>
      <c r="C786" s="67">
        <v>0</v>
      </c>
      <c r="D786" s="68" t="s">
        <v>469</v>
      </c>
      <c r="E786" s="68" t="s">
        <v>3785</v>
      </c>
      <c r="F786" s="68">
        <v>0.45800000000000002</v>
      </c>
      <c r="G786" s="68" t="s">
        <v>3786</v>
      </c>
      <c r="H786" s="68" t="s">
        <v>3787</v>
      </c>
      <c r="I786" s="68" t="s">
        <v>3788</v>
      </c>
      <c r="J786" s="68" t="s">
        <v>3789</v>
      </c>
      <c r="K786" s="68" t="s">
        <v>510</v>
      </c>
      <c r="W786" s="213">
        <v>786</v>
      </c>
      <c r="X786" s="214">
        <v>10</v>
      </c>
    </row>
    <row r="787" spans="1:24" x14ac:dyDescent="0.25">
      <c r="A787" s="71" t="s">
        <v>1966</v>
      </c>
      <c r="B787" s="73" t="s">
        <v>3778</v>
      </c>
      <c r="C787" s="71">
        <v>0</v>
      </c>
      <c r="D787" s="72" t="s">
        <v>115</v>
      </c>
      <c r="E787" s="72" t="s">
        <v>3779</v>
      </c>
      <c r="F787" s="72">
        <v>0.19400000000000001</v>
      </c>
      <c r="G787" s="72" t="s">
        <v>3780</v>
      </c>
      <c r="H787" s="72" t="s">
        <v>3781</v>
      </c>
      <c r="I787" s="72" t="s">
        <v>3782</v>
      </c>
      <c r="J787" s="72" t="s">
        <v>3783</v>
      </c>
      <c r="K787" s="72" t="s">
        <v>510</v>
      </c>
      <c r="W787" s="213">
        <v>787</v>
      </c>
      <c r="X787" s="214">
        <v>10</v>
      </c>
    </row>
    <row r="788" spans="1:24" x14ac:dyDescent="0.25">
      <c r="A788" s="67" t="s">
        <v>1966</v>
      </c>
      <c r="B788" s="69" t="s">
        <v>3790</v>
      </c>
      <c r="C788" s="67">
        <v>0</v>
      </c>
      <c r="D788" s="68" t="s">
        <v>254</v>
      </c>
      <c r="E788" s="68" t="s">
        <v>3791</v>
      </c>
      <c r="F788" s="68">
        <v>0.29299999999999998</v>
      </c>
      <c r="G788" s="68" t="s">
        <v>3792</v>
      </c>
      <c r="H788" s="68" t="s">
        <v>3793</v>
      </c>
      <c r="I788" s="68" t="s">
        <v>3794</v>
      </c>
      <c r="J788" s="68" t="s">
        <v>3795</v>
      </c>
      <c r="K788" s="68" t="s">
        <v>510</v>
      </c>
      <c r="W788" s="213">
        <v>788</v>
      </c>
      <c r="X788" s="214">
        <v>10</v>
      </c>
    </row>
    <row r="789" spans="1:24" x14ac:dyDescent="0.25">
      <c r="A789" s="71" t="s">
        <v>1966</v>
      </c>
      <c r="B789" s="73" t="s">
        <v>3813</v>
      </c>
      <c r="C789" s="71">
        <v>0</v>
      </c>
      <c r="D789" s="72" t="s">
        <v>1046</v>
      </c>
      <c r="E789" s="72" t="s">
        <v>3814</v>
      </c>
      <c r="F789" s="72">
        <v>0.45200000000000001</v>
      </c>
      <c r="G789" s="72" t="s">
        <v>3815</v>
      </c>
      <c r="H789" s="72" t="s">
        <v>3816</v>
      </c>
      <c r="I789" s="72" t="s">
        <v>3817</v>
      </c>
      <c r="J789" s="72" t="s">
        <v>3818</v>
      </c>
      <c r="K789" s="72" t="s">
        <v>510</v>
      </c>
      <c r="W789" s="213">
        <v>789</v>
      </c>
      <c r="X789" s="214">
        <v>10</v>
      </c>
    </row>
    <row r="790" spans="1:24" ht="15" customHeight="1" x14ac:dyDescent="0.25">
      <c r="A790" s="67" t="s">
        <v>1966</v>
      </c>
      <c r="B790" s="69" t="s">
        <v>3796</v>
      </c>
      <c r="C790" s="67">
        <v>0</v>
      </c>
      <c r="D790" s="68" t="s">
        <v>966</v>
      </c>
      <c r="E790" s="68" t="s">
        <v>3797</v>
      </c>
      <c r="F790" s="68">
        <v>0.27100000000000002</v>
      </c>
      <c r="G790" s="68" t="s">
        <v>3798</v>
      </c>
      <c r="H790" s="68" t="s">
        <v>3799</v>
      </c>
      <c r="I790" s="68" t="s">
        <v>3800</v>
      </c>
      <c r="J790" s="68" t="s">
        <v>3801</v>
      </c>
      <c r="K790" s="68" t="s">
        <v>510</v>
      </c>
      <c r="W790" s="213">
        <v>790</v>
      </c>
      <c r="X790" s="214">
        <v>10</v>
      </c>
    </row>
    <row r="791" spans="1:24" x14ac:dyDescent="0.25">
      <c r="A791" s="71" t="s">
        <v>1966</v>
      </c>
      <c r="B791" s="73" t="s">
        <v>3802</v>
      </c>
      <c r="C791" s="71">
        <v>0</v>
      </c>
      <c r="D791" s="72" t="s">
        <v>2026</v>
      </c>
      <c r="E791" s="72" t="s">
        <v>3803</v>
      </c>
      <c r="F791" s="72">
        <v>0.107</v>
      </c>
      <c r="G791" s="72" t="s">
        <v>3804</v>
      </c>
      <c r="H791" s="72" t="s">
        <v>3805</v>
      </c>
      <c r="I791" s="72" t="s">
        <v>3806</v>
      </c>
      <c r="J791" s="72" t="s">
        <v>3807</v>
      </c>
      <c r="K791" s="72" t="s">
        <v>510</v>
      </c>
      <c r="W791" s="213">
        <v>791</v>
      </c>
      <c r="X791" s="214">
        <v>10</v>
      </c>
    </row>
    <row r="792" spans="1:24" x14ac:dyDescent="0.25">
      <c r="A792" s="67" t="s">
        <v>1966</v>
      </c>
      <c r="B792" s="69" t="s">
        <v>3268</v>
      </c>
      <c r="C792" s="67">
        <v>0</v>
      </c>
      <c r="D792" s="68" t="s">
        <v>261</v>
      </c>
      <c r="E792" s="68" t="s">
        <v>3269</v>
      </c>
      <c r="F792" s="68">
        <v>0.36899999999999999</v>
      </c>
      <c r="G792" s="68" t="s">
        <v>3270</v>
      </c>
      <c r="H792" s="68" t="s">
        <v>3271</v>
      </c>
      <c r="I792" s="68" t="s">
        <v>3272</v>
      </c>
      <c r="J792" s="68" t="s">
        <v>3273</v>
      </c>
      <c r="K792" s="68" t="s">
        <v>510</v>
      </c>
      <c r="W792" s="213">
        <v>792</v>
      </c>
      <c r="X792" s="214">
        <v>10</v>
      </c>
    </row>
    <row r="793" spans="1:24" ht="15" customHeight="1" x14ac:dyDescent="0.25">
      <c r="A793" s="71" t="s">
        <v>1966</v>
      </c>
      <c r="B793" s="73" t="s">
        <v>3808</v>
      </c>
      <c r="C793" s="71">
        <v>0</v>
      </c>
      <c r="D793" s="72" t="s">
        <v>782</v>
      </c>
      <c r="E793" s="72" t="s">
        <v>3809</v>
      </c>
      <c r="F793" s="72">
        <v>0.17799999999999999</v>
      </c>
      <c r="G793" s="72" t="s">
        <v>3810</v>
      </c>
      <c r="H793" s="72" t="s">
        <v>3811</v>
      </c>
      <c r="I793" s="72" t="s">
        <v>2457</v>
      </c>
      <c r="J793" s="72" t="s">
        <v>3812</v>
      </c>
      <c r="K793" s="72" t="s">
        <v>510</v>
      </c>
      <c r="W793" s="213">
        <v>793</v>
      </c>
      <c r="X793" s="214">
        <v>10</v>
      </c>
    </row>
    <row r="794" spans="1:24" x14ac:dyDescent="0.25">
      <c r="A794" s="67" t="s">
        <v>1966</v>
      </c>
      <c r="B794" s="69" t="s">
        <v>3819</v>
      </c>
      <c r="C794" s="67">
        <v>0</v>
      </c>
      <c r="D794" s="68" t="s">
        <v>240</v>
      </c>
      <c r="E794" s="68" t="s">
        <v>3820</v>
      </c>
      <c r="F794" s="68">
        <v>8.5999999999999993E-2</v>
      </c>
      <c r="G794" s="68" t="s">
        <v>3821</v>
      </c>
      <c r="H794" s="68" t="s">
        <v>3822</v>
      </c>
      <c r="I794" s="68" t="s">
        <v>3823</v>
      </c>
      <c r="J794" s="68" t="s">
        <v>3824</v>
      </c>
      <c r="K794" s="68" t="s">
        <v>510</v>
      </c>
      <c r="W794" s="213">
        <v>794</v>
      </c>
      <c r="X794" s="214">
        <v>10</v>
      </c>
    </row>
    <row r="795" spans="1:24" x14ac:dyDescent="0.25">
      <c r="A795" s="71" t="s">
        <v>1966</v>
      </c>
      <c r="B795" s="73" t="s">
        <v>3825</v>
      </c>
      <c r="C795" s="71">
        <v>0</v>
      </c>
      <c r="D795" s="72" t="s">
        <v>107</v>
      </c>
      <c r="E795" s="72" t="s">
        <v>3826</v>
      </c>
      <c r="F795" s="72">
        <v>0.223</v>
      </c>
      <c r="G795" s="72" t="s">
        <v>3827</v>
      </c>
      <c r="H795" s="72" t="s">
        <v>3828</v>
      </c>
      <c r="I795" s="72" t="s">
        <v>3829</v>
      </c>
      <c r="J795" s="72" t="s">
        <v>3830</v>
      </c>
      <c r="K795" s="72" t="s">
        <v>510</v>
      </c>
      <c r="W795" s="213">
        <v>795</v>
      </c>
      <c r="X795" s="214">
        <v>10</v>
      </c>
    </row>
    <row r="796" spans="1:24" ht="15" customHeight="1" x14ac:dyDescent="0.25">
      <c r="A796" s="67" t="s">
        <v>1966</v>
      </c>
      <c r="B796" s="69" t="s">
        <v>3280</v>
      </c>
      <c r="C796" s="67">
        <v>0</v>
      </c>
      <c r="D796" s="68" t="s">
        <v>3286</v>
      </c>
      <c r="E796" s="68" t="s">
        <v>3281</v>
      </c>
      <c r="F796" s="68">
        <v>0.38600000000000001</v>
      </c>
      <c r="G796" s="68" t="s">
        <v>3282</v>
      </c>
      <c r="H796" s="68" t="s">
        <v>3283</v>
      </c>
      <c r="I796" s="68" t="s">
        <v>3284</v>
      </c>
      <c r="J796" s="68" t="s">
        <v>3285</v>
      </c>
      <c r="K796" s="68" t="s">
        <v>510</v>
      </c>
      <c r="W796" s="213">
        <v>796</v>
      </c>
      <c r="X796" s="214">
        <v>10</v>
      </c>
    </row>
    <row r="797" spans="1:24" x14ac:dyDescent="0.25">
      <c r="A797" s="94" t="s">
        <v>2240</v>
      </c>
      <c r="B797" s="95" t="s">
        <v>3831</v>
      </c>
      <c r="C797" s="94">
        <v>0</v>
      </c>
      <c r="D797" s="96" t="s">
        <v>597</v>
      </c>
      <c r="E797" s="96" t="s">
        <v>3832</v>
      </c>
      <c r="F797" s="96">
        <v>0.106</v>
      </c>
      <c r="G797" s="96" t="s">
        <v>3833</v>
      </c>
      <c r="H797" s="96" t="s">
        <v>3834</v>
      </c>
      <c r="I797" s="96" t="s">
        <v>3835</v>
      </c>
      <c r="J797" s="96" t="s">
        <v>3836</v>
      </c>
      <c r="K797" s="96" t="s">
        <v>510</v>
      </c>
      <c r="W797" s="213">
        <v>797</v>
      </c>
      <c r="X797" s="214">
        <v>14</v>
      </c>
    </row>
    <row r="798" spans="1:24" x14ac:dyDescent="0.25">
      <c r="A798" s="97" t="s">
        <v>2240</v>
      </c>
      <c r="B798" s="98" t="s">
        <v>7352</v>
      </c>
      <c r="C798" s="97">
        <v>0</v>
      </c>
      <c r="D798" s="99" t="s">
        <v>1375</v>
      </c>
      <c r="E798" s="99" t="s">
        <v>7353</v>
      </c>
      <c r="F798" s="99">
        <v>0.13800000000000001</v>
      </c>
      <c r="G798" s="99" t="s">
        <v>7354</v>
      </c>
      <c r="H798" s="99" t="s">
        <v>7355</v>
      </c>
      <c r="I798" s="99" t="s">
        <v>7356</v>
      </c>
      <c r="J798" s="99" t="s">
        <v>7357</v>
      </c>
      <c r="K798" s="99" t="s">
        <v>510</v>
      </c>
      <c r="W798" s="213">
        <v>798</v>
      </c>
      <c r="X798" s="214">
        <v>14</v>
      </c>
    </row>
    <row r="799" spans="1:24" x14ac:dyDescent="0.25">
      <c r="A799" s="71" t="s">
        <v>1966</v>
      </c>
      <c r="B799" s="73" t="s">
        <v>3287</v>
      </c>
      <c r="C799" s="71">
        <v>0</v>
      </c>
      <c r="D799" s="72" t="s">
        <v>2094</v>
      </c>
      <c r="E799" s="72" t="s">
        <v>3288</v>
      </c>
      <c r="F799" s="72">
        <v>9.7000000000000003E-2</v>
      </c>
      <c r="G799" s="72" t="s">
        <v>3289</v>
      </c>
      <c r="H799" s="72" t="s">
        <v>3290</v>
      </c>
      <c r="I799" s="72" t="s">
        <v>3291</v>
      </c>
      <c r="J799" s="72" t="s">
        <v>3292</v>
      </c>
      <c r="K799" s="72" t="s">
        <v>510</v>
      </c>
      <c r="W799" s="213">
        <v>799</v>
      </c>
      <c r="X799" s="214">
        <v>10</v>
      </c>
    </row>
    <row r="800" spans="1:24" x14ac:dyDescent="0.25">
      <c r="A800" s="67" t="s">
        <v>1966</v>
      </c>
      <c r="B800" s="69" t="s">
        <v>3293</v>
      </c>
      <c r="C800" s="67">
        <v>0</v>
      </c>
      <c r="D800" s="68" t="s">
        <v>3294</v>
      </c>
      <c r="E800" s="68" t="s">
        <v>3295</v>
      </c>
      <c r="F800" s="68">
        <v>0.34100000000000003</v>
      </c>
      <c r="G800" s="68" t="s">
        <v>3296</v>
      </c>
      <c r="H800" s="68" t="s">
        <v>3297</v>
      </c>
      <c r="I800" s="68" t="s">
        <v>3298</v>
      </c>
      <c r="J800" s="68" t="s">
        <v>3299</v>
      </c>
      <c r="K800" s="68" t="s">
        <v>510</v>
      </c>
      <c r="W800" s="213">
        <v>800</v>
      </c>
      <c r="X800" s="214">
        <v>10</v>
      </c>
    </row>
    <row r="801" spans="1:24" x14ac:dyDescent="0.25">
      <c r="A801" s="71" t="s">
        <v>1966</v>
      </c>
      <c r="B801" s="73" t="s">
        <v>3843</v>
      </c>
      <c r="C801" s="71">
        <v>0</v>
      </c>
      <c r="D801" s="72" t="s">
        <v>469</v>
      </c>
      <c r="E801" s="72" t="s">
        <v>3844</v>
      </c>
      <c r="F801" s="72">
        <v>0.33700000000000002</v>
      </c>
      <c r="G801" s="72" t="s">
        <v>3845</v>
      </c>
      <c r="H801" s="72" t="s">
        <v>3846</v>
      </c>
      <c r="I801" s="72" t="s">
        <v>3847</v>
      </c>
      <c r="J801" s="72" t="s">
        <v>3848</v>
      </c>
      <c r="K801" s="72" t="s">
        <v>510</v>
      </c>
      <c r="W801" s="213">
        <v>801</v>
      </c>
      <c r="X801" s="214">
        <v>10</v>
      </c>
    </row>
    <row r="802" spans="1:24" x14ac:dyDescent="0.25">
      <c r="A802" s="67" t="s">
        <v>1966</v>
      </c>
      <c r="B802" s="69" t="s">
        <v>3837</v>
      </c>
      <c r="C802" s="67">
        <v>0</v>
      </c>
      <c r="D802" s="68" t="s">
        <v>115</v>
      </c>
      <c r="E802" s="68" t="s">
        <v>3838</v>
      </c>
      <c r="F802" s="68">
        <v>0.32600000000000001</v>
      </c>
      <c r="G802" s="68" t="s">
        <v>3839</v>
      </c>
      <c r="H802" s="68" t="s">
        <v>3840</v>
      </c>
      <c r="I802" s="68" t="s">
        <v>3841</v>
      </c>
      <c r="J802" s="68" t="s">
        <v>3842</v>
      </c>
      <c r="K802" s="68" t="s">
        <v>510</v>
      </c>
      <c r="W802" s="213">
        <v>802</v>
      </c>
      <c r="X802" s="214">
        <v>10</v>
      </c>
    </row>
    <row r="803" spans="1:24" x14ac:dyDescent="0.25">
      <c r="A803" s="71" t="s">
        <v>1966</v>
      </c>
      <c r="B803" s="73" t="s">
        <v>3855</v>
      </c>
      <c r="C803" s="71">
        <v>0</v>
      </c>
      <c r="D803" s="72" t="s">
        <v>469</v>
      </c>
      <c r="E803" s="72" t="s">
        <v>3856</v>
      </c>
      <c r="F803" s="72">
        <v>0.50600000000000001</v>
      </c>
      <c r="G803" s="72" t="s">
        <v>3857</v>
      </c>
      <c r="H803" s="72" t="s">
        <v>3858</v>
      </c>
      <c r="I803" s="72" t="s">
        <v>3859</v>
      </c>
      <c r="J803" s="72" t="s">
        <v>3860</v>
      </c>
      <c r="K803" s="72" t="s">
        <v>510</v>
      </c>
      <c r="W803" s="213">
        <v>803</v>
      </c>
      <c r="X803" s="214">
        <v>10</v>
      </c>
    </row>
    <row r="804" spans="1:24" x14ac:dyDescent="0.25">
      <c r="A804" s="67" t="s">
        <v>1966</v>
      </c>
      <c r="B804" s="69" t="s">
        <v>3861</v>
      </c>
      <c r="C804" s="67">
        <v>0</v>
      </c>
      <c r="D804" s="68" t="s">
        <v>274</v>
      </c>
      <c r="E804" s="68" t="s">
        <v>3862</v>
      </c>
      <c r="F804" s="68">
        <v>0.58899999999999997</v>
      </c>
      <c r="G804" s="68" t="s">
        <v>3863</v>
      </c>
      <c r="H804" s="68" t="s">
        <v>3864</v>
      </c>
      <c r="I804" s="68" t="s">
        <v>3865</v>
      </c>
      <c r="J804" s="68" t="s">
        <v>3866</v>
      </c>
      <c r="K804" s="68" t="s">
        <v>510</v>
      </c>
      <c r="W804" s="213">
        <v>804</v>
      </c>
      <c r="X804" s="214">
        <v>10</v>
      </c>
    </row>
    <row r="805" spans="1:24" x14ac:dyDescent="0.25">
      <c r="A805" s="71" t="s">
        <v>1966</v>
      </c>
      <c r="B805" s="73" t="s">
        <v>3849</v>
      </c>
      <c r="C805" s="71">
        <v>0</v>
      </c>
      <c r="D805" s="72" t="s">
        <v>345</v>
      </c>
      <c r="E805" s="72" t="s">
        <v>3850</v>
      </c>
      <c r="F805" s="72">
        <v>0.161</v>
      </c>
      <c r="G805" s="72" t="s">
        <v>3851</v>
      </c>
      <c r="H805" s="72" t="s">
        <v>3852</v>
      </c>
      <c r="I805" s="72" t="s">
        <v>3853</v>
      </c>
      <c r="J805" s="72" t="s">
        <v>3854</v>
      </c>
      <c r="K805" s="72" t="s">
        <v>510</v>
      </c>
      <c r="W805" s="213">
        <v>805</v>
      </c>
      <c r="X805" s="214">
        <v>10</v>
      </c>
    </row>
    <row r="806" spans="1:24" x14ac:dyDescent="0.25">
      <c r="A806" s="97" t="s">
        <v>2240</v>
      </c>
      <c r="B806" s="98" t="s">
        <v>7428</v>
      </c>
      <c r="C806" s="97">
        <v>0</v>
      </c>
      <c r="D806" s="99" t="s">
        <v>482</v>
      </c>
      <c r="E806" s="99" t="s">
        <v>7429</v>
      </c>
      <c r="F806" s="99">
        <v>8.2000000000000003E-2</v>
      </c>
      <c r="G806" s="99" t="s">
        <v>7430</v>
      </c>
      <c r="H806" s="99" t="s">
        <v>7431</v>
      </c>
      <c r="I806" s="99" t="s">
        <v>7432</v>
      </c>
      <c r="J806" s="99" t="s">
        <v>7433</v>
      </c>
      <c r="K806" s="99" t="s">
        <v>510</v>
      </c>
      <c r="W806" s="213">
        <v>806</v>
      </c>
      <c r="X806" s="214">
        <v>14</v>
      </c>
    </row>
    <row r="807" spans="1:24" x14ac:dyDescent="0.25">
      <c r="A807" s="94" t="s">
        <v>2240</v>
      </c>
      <c r="B807" s="95" t="s">
        <v>5826</v>
      </c>
      <c r="C807" s="94">
        <v>0</v>
      </c>
      <c r="D807" s="96" t="s">
        <v>431</v>
      </c>
      <c r="E807" s="96" t="s">
        <v>5827</v>
      </c>
      <c r="F807" s="96">
        <v>0.161</v>
      </c>
      <c r="G807" s="96" t="s">
        <v>5828</v>
      </c>
      <c r="H807" s="96" t="s">
        <v>5829</v>
      </c>
      <c r="I807" s="96" t="s">
        <v>5830</v>
      </c>
      <c r="J807" s="96" t="s">
        <v>5831</v>
      </c>
      <c r="K807" s="96" t="s">
        <v>510</v>
      </c>
      <c r="W807" s="213">
        <v>807</v>
      </c>
      <c r="X807" s="214">
        <v>14</v>
      </c>
    </row>
    <row r="808" spans="1:24" x14ac:dyDescent="0.25">
      <c r="A808" s="67" t="s">
        <v>1966</v>
      </c>
      <c r="B808" s="69" t="s">
        <v>3867</v>
      </c>
      <c r="C808" s="67">
        <v>0</v>
      </c>
      <c r="D808" s="68" t="s">
        <v>597</v>
      </c>
      <c r="E808" s="68" t="s">
        <v>3868</v>
      </c>
      <c r="F808" s="68">
        <v>0.44</v>
      </c>
      <c r="G808" s="68" t="s">
        <v>3869</v>
      </c>
      <c r="H808" s="68" t="s">
        <v>3870</v>
      </c>
      <c r="I808" s="68" t="s">
        <v>3871</v>
      </c>
      <c r="J808" s="68" t="s">
        <v>3872</v>
      </c>
      <c r="K808" s="68" t="s">
        <v>510</v>
      </c>
      <c r="W808" s="213">
        <v>808</v>
      </c>
      <c r="X808" s="214">
        <v>10</v>
      </c>
    </row>
    <row r="809" spans="1:24" x14ac:dyDescent="0.25">
      <c r="A809" s="71" t="s">
        <v>1966</v>
      </c>
      <c r="B809" s="73" t="s">
        <v>3873</v>
      </c>
      <c r="C809" s="71">
        <v>0</v>
      </c>
      <c r="D809" s="72" t="s">
        <v>345</v>
      </c>
      <c r="E809" s="72" t="s">
        <v>3874</v>
      </c>
      <c r="F809" s="72">
        <v>0.42299999999999999</v>
      </c>
      <c r="G809" s="72" t="s">
        <v>3875</v>
      </c>
      <c r="H809" s="72" t="s">
        <v>3876</v>
      </c>
      <c r="I809" s="72" t="s">
        <v>3877</v>
      </c>
      <c r="J809" s="72" t="s">
        <v>3878</v>
      </c>
      <c r="K809" s="72" t="s">
        <v>510</v>
      </c>
      <c r="W809" s="213">
        <v>809</v>
      </c>
      <c r="X809" s="214">
        <v>10</v>
      </c>
    </row>
    <row r="810" spans="1:24" ht="14.45" customHeight="1" x14ac:dyDescent="0.25">
      <c r="A810" s="67" t="s">
        <v>1966</v>
      </c>
      <c r="B810" s="68" t="s">
        <v>7884</v>
      </c>
      <c r="C810" s="67">
        <v>0</v>
      </c>
      <c r="D810" s="68" t="s">
        <v>2026</v>
      </c>
      <c r="E810" s="68" t="s">
        <v>3879</v>
      </c>
      <c r="F810" s="68">
        <v>0.33200000000000002</v>
      </c>
      <c r="G810" s="68" t="s">
        <v>3880</v>
      </c>
      <c r="H810" s="68" t="s">
        <v>3881</v>
      </c>
      <c r="I810" s="68" t="s">
        <v>3882</v>
      </c>
      <c r="J810" s="68" t="s">
        <v>3883</v>
      </c>
      <c r="K810" s="68" t="s">
        <v>510</v>
      </c>
      <c r="W810" s="213">
        <v>810</v>
      </c>
      <c r="X810" s="214">
        <v>10</v>
      </c>
    </row>
    <row r="811" spans="1:24" x14ac:dyDescent="0.25">
      <c r="A811" s="94" t="s">
        <v>2240</v>
      </c>
      <c r="B811" s="95" t="s">
        <v>7397</v>
      </c>
      <c r="C811" s="94">
        <v>0</v>
      </c>
      <c r="D811" s="96" t="s">
        <v>1974</v>
      </c>
      <c r="E811" s="96" t="s">
        <v>7398</v>
      </c>
      <c r="F811" s="96">
        <v>3.7999999999999999E-2</v>
      </c>
      <c r="G811" s="96" t="s">
        <v>3756</v>
      </c>
      <c r="H811" s="96" t="s">
        <v>7399</v>
      </c>
      <c r="I811" s="96" t="s">
        <v>7400</v>
      </c>
      <c r="J811" s="96" t="s">
        <v>7401</v>
      </c>
      <c r="K811" s="96" t="s">
        <v>510</v>
      </c>
      <c r="W811" s="213">
        <v>811</v>
      </c>
      <c r="X811" s="214">
        <v>14</v>
      </c>
    </row>
    <row r="812" spans="1:24" x14ac:dyDescent="0.25">
      <c r="A812" s="97" t="s">
        <v>2240</v>
      </c>
      <c r="B812" s="98" t="s">
        <v>6406</v>
      </c>
      <c r="C812" s="97">
        <v>0</v>
      </c>
      <c r="D812" s="99" t="s">
        <v>2471</v>
      </c>
      <c r="E812" s="99" t="s">
        <v>6407</v>
      </c>
      <c r="F812" s="99">
        <v>0.12</v>
      </c>
      <c r="G812" s="99" t="s">
        <v>6408</v>
      </c>
      <c r="H812" s="99" t="s">
        <v>6409</v>
      </c>
      <c r="I812" s="99" t="s">
        <v>6410</v>
      </c>
      <c r="J812" s="99" t="s">
        <v>6411</v>
      </c>
      <c r="K812" s="99" t="s">
        <v>510</v>
      </c>
      <c r="W812" s="213">
        <v>812</v>
      </c>
      <c r="X812" s="214">
        <v>14</v>
      </c>
    </row>
    <row r="813" spans="1:24" x14ac:dyDescent="0.25">
      <c r="A813" s="71" t="s">
        <v>1966</v>
      </c>
      <c r="B813" s="73" t="s">
        <v>3884</v>
      </c>
      <c r="C813" s="71">
        <v>0</v>
      </c>
      <c r="D813" s="72" t="s">
        <v>1220</v>
      </c>
      <c r="E813" s="72" t="s">
        <v>3885</v>
      </c>
      <c r="F813" s="72">
        <v>0.24199999999999999</v>
      </c>
      <c r="G813" s="72" t="s">
        <v>3886</v>
      </c>
      <c r="H813" s="72" t="s">
        <v>3887</v>
      </c>
      <c r="I813" s="72" t="s">
        <v>3889</v>
      </c>
      <c r="J813" s="72" t="s">
        <v>3888</v>
      </c>
      <c r="K813" s="72" t="s">
        <v>510</v>
      </c>
      <c r="W813" s="213">
        <v>813</v>
      </c>
      <c r="X813" s="214">
        <v>10</v>
      </c>
    </row>
    <row r="814" spans="1:24" x14ac:dyDescent="0.25">
      <c r="A814" s="97" t="s">
        <v>2240</v>
      </c>
      <c r="B814" s="98" t="s">
        <v>7444</v>
      </c>
      <c r="C814" s="97">
        <v>0</v>
      </c>
      <c r="D814" s="99" t="s">
        <v>286</v>
      </c>
      <c r="E814" s="99" t="s">
        <v>7445</v>
      </c>
      <c r="F814" s="99">
        <v>0.128</v>
      </c>
      <c r="G814" s="99" t="s">
        <v>7446</v>
      </c>
      <c r="H814" s="99" t="s">
        <v>7447</v>
      </c>
      <c r="I814" s="99" t="s">
        <v>7448</v>
      </c>
      <c r="J814" s="99" t="s">
        <v>6289</v>
      </c>
      <c r="K814" s="99" t="s">
        <v>510</v>
      </c>
      <c r="W814" s="213">
        <v>814</v>
      </c>
      <c r="X814" s="214">
        <v>14</v>
      </c>
    </row>
    <row r="815" spans="1:24" x14ac:dyDescent="0.25">
      <c r="A815" s="94" t="s">
        <v>2240</v>
      </c>
      <c r="B815" s="95" t="s">
        <v>4831</v>
      </c>
      <c r="C815" s="94">
        <v>0</v>
      </c>
      <c r="D815" s="96" t="s">
        <v>4711</v>
      </c>
      <c r="E815" s="96" t="s">
        <v>4832</v>
      </c>
      <c r="F815" s="96">
        <v>0.08</v>
      </c>
      <c r="G815" s="96" t="s">
        <v>4833</v>
      </c>
      <c r="H815" s="96" t="s">
        <v>4834</v>
      </c>
      <c r="I815" s="96" t="s">
        <v>4835</v>
      </c>
      <c r="J815" s="96" t="s">
        <v>4836</v>
      </c>
      <c r="K815" s="96" t="s">
        <v>510</v>
      </c>
      <c r="W815" s="213">
        <v>815</v>
      </c>
      <c r="X815" s="214">
        <v>14</v>
      </c>
    </row>
    <row r="816" spans="1:24" x14ac:dyDescent="0.25">
      <c r="A816" s="97" t="s">
        <v>2240</v>
      </c>
      <c r="B816" s="98" t="s">
        <v>5116</v>
      </c>
      <c r="C816" s="97">
        <v>0</v>
      </c>
      <c r="D816" s="99" t="s">
        <v>4252</v>
      </c>
      <c r="E816" s="99" t="s">
        <v>5117</v>
      </c>
      <c r="F816" s="99">
        <v>4.5999999999999999E-2</v>
      </c>
      <c r="G816" s="99" t="s">
        <v>5118</v>
      </c>
      <c r="H816" s="99" t="s">
        <v>5119</v>
      </c>
      <c r="I816" s="99" t="s">
        <v>5120</v>
      </c>
      <c r="J816" s="99" t="s">
        <v>5121</v>
      </c>
      <c r="K816" s="99" t="s">
        <v>510</v>
      </c>
      <c r="W816" s="213">
        <v>816</v>
      </c>
      <c r="X816" s="214">
        <v>14</v>
      </c>
    </row>
    <row r="817" spans="1:24" x14ac:dyDescent="0.25">
      <c r="A817" s="94" t="s">
        <v>2240</v>
      </c>
      <c r="B817" s="95" t="s">
        <v>7302</v>
      </c>
      <c r="C817" s="94">
        <v>0</v>
      </c>
      <c r="D817" s="96" t="s">
        <v>1848</v>
      </c>
      <c r="E817" s="96" t="s">
        <v>7303</v>
      </c>
      <c r="F817" s="96">
        <v>2.5999999999999999E-2</v>
      </c>
      <c r="G817" s="96" t="s">
        <v>7304</v>
      </c>
      <c r="H817" s="96" t="s">
        <v>7305</v>
      </c>
      <c r="I817" s="96" t="s">
        <v>7306</v>
      </c>
      <c r="J817" s="96" t="s">
        <v>7307</v>
      </c>
      <c r="K817" s="96" t="s">
        <v>510</v>
      </c>
      <c r="W817" s="213">
        <v>817</v>
      </c>
      <c r="X817" s="214">
        <v>14</v>
      </c>
    </row>
    <row r="818" spans="1:24" x14ac:dyDescent="0.25">
      <c r="A818" s="67" t="s">
        <v>1966</v>
      </c>
      <c r="B818" s="69" t="s">
        <v>3896</v>
      </c>
      <c r="C818" s="67">
        <v>0</v>
      </c>
      <c r="D818" s="68" t="s">
        <v>158</v>
      </c>
      <c r="E818" s="68" t="s">
        <v>3897</v>
      </c>
      <c r="F818" s="68">
        <v>0.55500000000000005</v>
      </c>
      <c r="G818" s="68" t="s">
        <v>3898</v>
      </c>
      <c r="H818" s="68" t="s">
        <v>3899</v>
      </c>
      <c r="I818" s="68" t="s">
        <v>3900</v>
      </c>
      <c r="J818" s="68" t="s">
        <v>3901</v>
      </c>
      <c r="K818" s="68" t="s">
        <v>510</v>
      </c>
      <c r="W818" s="213">
        <v>818</v>
      </c>
      <c r="X818" s="214">
        <v>10</v>
      </c>
    </row>
    <row r="819" spans="1:24" x14ac:dyDescent="0.25">
      <c r="A819" s="94" t="s">
        <v>2240</v>
      </c>
      <c r="B819" s="95" t="s">
        <v>3890</v>
      </c>
      <c r="C819" s="94">
        <v>0</v>
      </c>
      <c r="D819" s="96" t="s">
        <v>107</v>
      </c>
      <c r="E819" s="96" t="s">
        <v>3891</v>
      </c>
      <c r="F819" s="96">
        <v>0.188</v>
      </c>
      <c r="G819" s="96" t="s">
        <v>3892</v>
      </c>
      <c r="H819" s="96" t="s">
        <v>3893</v>
      </c>
      <c r="I819" s="96" t="s">
        <v>3894</v>
      </c>
      <c r="J819" s="96" t="s">
        <v>3895</v>
      </c>
      <c r="K819" s="96" t="s">
        <v>510</v>
      </c>
      <c r="W819" s="213">
        <v>819</v>
      </c>
      <c r="X819" s="214">
        <v>14</v>
      </c>
    </row>
    <row r="820" spans="1:24" x14ac:dyDescent="0.25">
      <c r="A820" s="97" t="s">
        <v>2240</v>
      </c>
      <c r="B820" s="98" t="s">
        <v>6315</v>
      </c>
      <c r="C820" s="97">
        <v>0</v>
      </c>
      <c r="D820" s="99" t="s">
        <v>966</v>
      </c>
      <c r="E820" s="99" t="s">
        <v>6316</v>
      </c>
      <c r="F820" s="99">
        <v>9.6000000000000002E-2</v>
      </c>
      <c r="G820" s="99" t="s">
        <v>6317</v>
      </c>
      <c r="H820" s="99" t="s">
        <v>6318</v>
      </c>
      <c r="I820" s="99" t="s">
        <v>6319</v>
      </c>
      <c r="J820" s="99" t="s">
        <v>6320</v>
      </c>
      <c r="K820" s="99" t="s">
        <v>510</v>
      </c>
      <c r="W820" s="213">
        <v>820</v>
      </c>
      <c r="X820" s="214">
        <v>14</v>
      </c>
    </row>
    <row r="821" spans="1:24" x14ac:dyDescent="0.25">
      <c r="A821" s="94" t="s">
        <v>2240</v>
      </c>
      <c r="B821" s="95" t="s">
        <v>6731</v>
      </c>
      <c r="C821" s="94">
        <v>0</v>
      </c>
      <c r="D821" s="96" t="s">
        <v>1016</v>
      </c>
      <c r="E821" s="96" t="s">
        <v>6732</v>
      </c>
      <c r="F821" s="96">
        <v>1.7000000000000001E-2</v>
      </c>
      <c r="G821" s="96" t="s">
        <v>6733</v>
      </c>
      <c r="H821" s="96" t="s">
        <v>6734</v>
      </c>
      <c r="I821" s="96" t="s">
        <v>6735</v>
      </c>
      <c r="J821" s="96" t="s">
        <v>6736</v>
      </c>
      <c r="K821" s="96" t="s">
        <v>510</v>
      </c>
      <c r="W821" s="213">
        <v>821</v>
      </c>
      <c r="X821" s="214">
        <v>14</v>
      </c>
    </row>
    <row r="822" spans="1:24" x14ac:dyDescent="0.25">
      <c r="A822" s="97" t="s">
        <v>2240</v>
      </c>
      <c r="B822" s="98" t="s">
        <v>4559</v>
      </c>
      <c r="C822" s="97">
        <v>0</v>
      </c>
      <c r="D822" s="99" t="s">
        <v>1745</v>
      </c>
      <c r="E822" s="99" t="s">
        <v>4560</v>
      </c>
      <c r="F822" s="99">
        <v>1.7000000000000001E-2</v>
      </c>
      <c r="G822" s="99" t="s">
        <v>4561</v>
      </c>
      <c r="H822" s="99" t="s">
        <v>4562</v>
      </c>
      <c r="I822" s="99" t="s">
        <v>4563</v>
      </c>
      <c r="J822" s="99" t="s">
        <v>4564</v>
      </c>
      <c r="K822" s="99" t="s">
        <v>510</v>
      </c>
      <c r="W822" s="213">
        <v>822</v>
      </c>
      <c r="X822" s="214">
        <v>14</v>
      </c>
    </row>
    <row r="823" spans="1:24" ht="14.45" customHeight="1" x14ac:dyDescent="0.25">
      <c r="A823" s="71" t="s">
        <v>1966</v>
      </c>
      <c r="B823" s="146" t="s">
        <v>8431</v>
      </c>
      <c r="C823" s="71">
        <v>0</v>
      </c>
      <c r="D823" s="72" t="s">
        <v>2780</v>
      </c>
      <c r="E823" s="72" t="s">
        <v>2227</v>
      </c>
      <c r="F823" s="72">
        <v>0.253</v>
      </c>
      <c r="G823" s="72" t="s">
        <v>2228</v>
      </c>
      <c r="H823" s="72" t="s">
        <v>2229</v>
      </c>
      <c r="I823" s="72" t="s">
        <v>2230</v>
      </c>
      <c r="J823" s="72" t="s">
        <v>2231</v>
      </c>
      <c r="K823" s="72" t="s">
        <v>510</v>
      </c>
      <c r="W823" s="213">
        <v>823</v>
      </c>
      <c r="X823" s="214">
        <v>10</v>
      </c>
    </row>
    <row r="824" spans="1:24" x14ac:dyDescent="0.25">
      <c r="A824" s="97" t="s">
        <v>2240</v>
      </c>
      <c r="B824" s="98" t="s">
        <v>7034</v>
      </c>
      <c r="C824" s="97">
        <v>0</v>
      </c>
      <c r="D824" s="99" t="s">
        <v>5797</v>
      </c>
      <c r="E824" s="99" t="s">
        <v>7035</v>
      </c>
      <c r="F824" s="99">
        <v>1.4999999999999999E-2</v>
      </c>
      <c r="G824" s="99" t="s">
        <v>7036</v>
      </c>
      <c r="H824" s="99" t="s">
        <v>7037</v>
      </c>
      <c r="I824" s="99" t="s">
        <v>7038</v>
      </c>
      <c r="J824" s="99" t="s">
        <v>7039</v>
      </c>
      <c r="K824" s="99" t="s">
        <v>510</v>
      </c>
      <c r="W824" s="213">
        <v>824</v>
      </c>
      <c r="X824" s="214">
        <v>14</v>
      </c>
    </row>
    <row r="825" spans="1:24" x14ac:dyDescent="0.25">
      <c r="A825" s="71" t="s">
        <v>1966</v>
      </c>
      <c r="B825" s="73" t="s">
        <v>3902</v>
      </c>
      <c r="C825" s="71">
        <v>0</v>
      </c>
      <c r="D825" s="72" t="s">
        <v>423</v>
      </c>
      <c r="E825" s="72" t="s">
        <v>3903</v>
      </c>
      <c r="F825" s="72">
        <v>0.54700000000000004</v>
      </c>
      <c r="G825" s="72" t="s">
        <v>3904</v>
      </c>
      <c r="H825" s="72" t="s">
        <v>3905</v>
      </c>
      <c r="I825" s="72" t="s">
        <v>3906</v>
      </c>
      <c r="J825" s="72" t="s">
        <v>3907</v>
      </c>
      <c r="K825" s="72" t="s">
        <v>510</v>
      </c>
      <c r="W825" s="213">
        <v>825</v>
      </c>
      <c r="X825" s="214">
        <v>10</v>
      </c>
    </row>
    <row r="826" spans="1:24" x14ac:dyDescent="0.25">
      <c r="A826" s="97" t="s">
        <v>2240</v>
      </c>
      <c r="B826" s="98" t="s">
        <v>6390</v>
      </c>
      <c r="C826" s="97">
        <v>0</v>
      </c>
      <c r="D826" s="99" t="s">
        <v>2094</v>
      </c>
      <c r="E826" s="99" t="s">
        <v>6391</v>
      </c>
      <c r="F826" s="99">
        <v>0.02</v>
      </c>
      <c r="G826" s="99" t="s">
        <v>6392</v>
      </c>
      <c r="H826" s="99" t="s">
        <v>6393</v>
      </c>
      <c r="I826" s="99" t="s">
        <v>6394</v>
      </c>
      <c r="J826" s="99" t="s">
        <v>6395</v>
      </c>
      <c r="K826" s="99" t="s">
        <v>510</v>
      </c>
      <c r="W826" s="213">
        <v>826</v>
      </c>
      <c r="X826" s="214">
        <v>14</v>
      </c>
    </row>
    <row r="827" spans="1:24" x14ac:dyDescent="0.25">
      <c r="A827" s="71" t="s">
        <v>1966</v>
      </c>
      <c r="B827" s="73" t="s">
        <v>3908</v>
      </c>
      <c r="C827" s="71">
        <v>0</v>
      </c>
      <c r="D827" s="72" t="s">
        <v>122</v>
      </c>
      <c r="E827" s="72" t="s">
        <v>3909</v>
      </c>
      <c r="F827" s="72">
        <v>0.24299999999999999</v>
      </c>
      <c r="G827" s="72" t="s">
        <v>3910</v>
      </c>
      <c r="H827" s="72" t="s">
        <v>3911</v>
      </c>
      <c r="I827" s="72" t="s">
        <v>3912</v>
      </c>
      <c r="J827" s="72" t="s">
        <v>3913</v>
      </c>
      <c r="K827" s="72" t="s">
        <v>510</v>
      </c>
      <c r="W827" s="213">
        <v>827</v>
      </c>
      <c r="X827" s="214">
        <v>10</v>
      </c>
    </row>
    <row r="828" spans="1:24" x14ac:dyDescent="0.25">
      <c r="A828" s="97" t="s">
        <v>2240</v>
      </c>
      <c r="B828" s="131" t="s">
        <v>7953</v>
      </c>
      <c r="C828" s="97">
        <v>0</v>
      </c>
      <c r="D828" s="99" t="s">
        <v>2541</v>
      </c>
      <c r="E828" s="99" t="s">
        <v>2323</v>
      </c>
      <c r="F828" s="99">
        <v>4.2000000000000003E-2</v>
      </c>
      <c r="G828" s="99" t="s">
        <v>2324</v>
      </c>
      <c r="H828" s="99" t="s">
        <v>2325</v>
      </c>
      <c r="I828" s="99" t="s">
        <v>2326</v>
      </c>
      <c r="J828" s="99" t="s">
        <v>2327</v>
      </c>
      <c r="K828" s="99" t="s">
        <v>510</v>
      </c>
      <c r="W828" s="213">
        <v>828</v>
      </c>
      <c r="X828" s="214">
        <v>14</v>
      </c>
    </row>
    <row r="829" spans="1:24" ht="14.45" customHeight="1" x14ac:dyDescent="0.25">
      <c r="A829" s="71" t="s">
        <v>1966</v>
      </c>
      <c r="B829" s="72" t="s">
        <v>2232</v>
      </c>
      <c r="C829" s="71">
        <v>1</v>
      </c>
      <c r="D829" s="72" t="s">
        <v>2026</v>
      </c>
      <c r="E829" s="72" t="s">
        <v>2233</v>
      </c>
      <c r="F829" s="72">
        <v>0.54200000000000004</v>
      </c>
      <c r="G829" s="72" t="s">
        <v>2234</v>
      </c>
      <c r="H829" s="72" t="s">
        <v>2235</v>
      </c>
      <c r="I829" s="72" t="s">
        <v>2236</v>
      </c>
      <c r="J829" s="72" t="s">
        <v>2237</v>
      </c>
      <c r="K829" s="72" t="s">
        <v>9548</v>
      </c>
      <c r="W829" s="213">
        <v>829</v>
      </c>
      <c r="X829" s="214">
        <v>10</v>
      </c>
    </row>
    <row r="830" spans="1:24" ht="14.45" customHeight="1" x14ac:dyDescent="0.25">
      <c r="A830" s="68" t="s">
        <v>0</v>
      </c>
      <c r="B830" s="67" t="s">
        <v>32</v>
      </c>
      <c r="C830" s="68" t="s">
        <v>2238</v>
      </c>
      <c r="D830" s="68" t="s">
        <v>2021</v>
      </c>
      <c r="E830" s="68" t="s">
        <v>2239</v>
      </c>
      <c r="F830" s="68" t="s">
        <v>510</v>
      </c>
      <c r="G830" s="68" t="s">
        <v>510</v>
      </c>
      <c r="H830" s="100"/>
      <c r="I830" s="100"/>
      <c r="J830" s="100"/>
      <c r="K830" s="68" t="s">
        <v>510</v>
      </c>
      <c r="W830" s="213">
        <v>830</v>
      </c>
      <c r="X830" s="214">
        <v>10</v>
      </c>
    </row>
    <row r="831" spans="1:24" x14ac:dyDescent="0.25">
      <c r="A831" s="71" t="s">
        <v>1966</v>
      </c>
      <c r="B831" s="73" t="s">
        <v>3914</v>
      </c>
      <c r="C831" s="71">
        <v>0</v>
      </c>
      <c r="D831" s="72" t="s">
        <v>247</v>
      </c>
      <c r="E831" s="72" t="s">
        <v>3915</v>
      </c>
      <c r="F831" s="72">
        <v>0.31</v>
      </c>
      <c r="G831" s="72" t="s">
        <v>3916</v>
      </c>
      <c r="H831" s="72" t="s">
        <v>3917</v>
      </c>
      <c r="I831" s="72" t="s">
        <v>3918</v>
      </c>
      <c r="J831" s="72" t="s">
        <v>3919</v>
      </c>
      <c r="K831" s="72" t="s">
        <v>510</v>
      </c>
      <c r="W831" s="213">
        <v>831</v>
      </c>
      <c r="X831" s="214">
        <v>10</v>
      </c>
    </row>
    <row r="832" spans="1:24" x14ac:dyDescent="0.25">
      <c r="A832" s="97" t="s">
        <v>2240</v>
      </c>
      <c r="B832" s="98" t="s">
        <v>4505</v>
      </c>
      <c r="C832" s="97">
        <v>0</v>
      </c>
      <c r="D832" s="99" t="s">
        <v>4346</v>
      </c>
      <c r="E832" s="99" t="s">
        <v>4506</v>
      </c>
      <c r="F832" s="99">
        <v>3.5999999999999997E-2</v>
      </c>
      <c r="G832" s="99" t="s">
        <v>4507</v>
      </c>
      <c r="H832" s="99" t="s">
        <v>4508</v>
      </c>
      <c r="I832" s="99" t="s">
        <v>4509</v>
      </c>
      <c r="J832" s="99" t="s">
        <v>4510</v>
      </c>
      <c r="K832" s="99" t="s">
        <v>510</v>
      </c>
      <c r="W832" s="213">
        <v>832</v>
      </c>
      <c r="X832" s="214">
        <v>14</v>
      </c>
    </row>
    <row r="833" spans="1:24" x14ac:dyDescent="0.25">
      <c r="A833" s="94" t="s">
        <v>2240</v>
      </c>
      <c r="B833" s="95" t="s">
        <v>6679</v>
      </c>
      <c r="C833" s="94">
        <v>0</v>
      </c>
      <c r="D833" s="96" t="s">
        <v>1016</v>
      </c>
      <c r="E833" s="96" t="s">
        <v>6680</v>
      </c>
      <c r="F833" s="96">
        <v>0.27200000000000002</v>
      </c>
      <c r="G833" s="96" t="s">
        <v>6681</v>
      </c>
      <c r="H833" s="96" t="s">
        <v>6682</v>
      </c>
      <c r="I833" s="96" t="s">
        <v>6683</v>
      </c>
      <c r="J833" s="96" t="s">
        <v>6684</v>
      </c>
      <c r="K833" s="96" t="s">
        <v>510</v>
      </c>
      <c r="W833" s="213">
        <v>833</v>
      </c>
      <c r="X833" s="214">
        <v>14</v>
      </c>
    </row>
    <row r="834" spans="1:24" x14ac:dyDescent="0.25">
      <c r="A834" s="97" t="s">
        <v>2240</v>
      </c>
      <c r="B834" s="98" t="s">
        <v>6148</v>
      </c>
      <c r="C834" s="97">
        <v>0</v>
      </c>
      <c r="D834" s="99" t="s">
        <v>1848</v>
      </c>
      <c r="E834" s="99" t="s">
        <v>6149</v>
      </c>
      <c r="F834" s="99">
        <v>4.7E-2</v>
      </c>
      <c r="G834" s="99" t="s">
        <v>6150</v>
      </c>
      <c r="H834" s="99" t="s">
        <v>6151</v>
      </c>
      <c r="I834" s="99" t="s">
        <v>6152</v>
      </c>
      <c r="J834" s="99" t="s">
        <v>6153</v>
      </c>
      <c r="K834" s="99" t="s">
        <v>510</v>
      </c>
      <c r="W834" s="213">
        <v>834</v>
      </c>
      <c r="X834" s="214">
        <v>14</v>
      </c>
    </row>
    <row r="835" spans="1:24" x14ac:dyDescent="0.25">
      <c r="A835" s="94" t="s">
        <v>2240</v>
      </c>
      <c r="B835" s="95" t="s">
        <v>7086</v>
      </c>
      <c r="C835" s="94">
        <v>0</v>
      </c>
      <c r="D835" s="96" t="s">
        <v>966</v>
      </c>
      <c r="E835" s="96" t="s">
        <v>7087</v>
      </c>
      <c r="F835" s="96">
        <v>3.0000000000000001E-3</v>
      </c>
      <c r="G835" s="96" t="s">
        <v>7088</v>
      </c>
      <c r="H835" s="96" t="s">
        <v>7089</v>
      </c>
      <c r="I835" s="96" t="s">
        <v>7090</v>
      </c>
      <c r="J835" s="96" t="s">
        <v>7091</v>
      </c>
      <c r="K835" s="96" t="s">
        <v>510</v>
      </c>
      <c r="W835" s="213">
        <v>835</v>
      </c>
      <c r="X835" s="214">
        <v>14</v>
      </c>
    </row>
    <row r="836" spans="1:24" ht="14.45" customHeight="1" x14ac:dyDescent="0.25">
      <c r="A836" s="97" t="s">
        <v>2240</v>
      </c>
      <c r="B836" s="99" t="s">
        <v>3414</v>
      </c>
      <c r="C836" s="97">
        <v>0</v>
      </c>
      <c r="D836" s="99" t="s">
        <v>3415</v>
      </c>
      <c r="E836" s="99" t="s">
        <v>3416</v>
      </c>
      <c r="F836" s="99">
        <v>0.155</v>
      </c>
      <c r="G836" s="99" t="s">
        <v>3417</v>
      </c>
      <c r="H836" s="99" t="s">
        <v>3418</v>
      </c>
      <c r="I836" s="99" t="s">
        <v>3419</v>
      </c>
      <c r="J836" s="99" t="s">
        <v>3420</v>
      </c>
      <c r="K836" s="99" t="s">
        <v>510</v>
      </c>
      <c r="W836" s="213">
        <v>836</v>
      </c>
      <c r="X836" s="214">
        <v>14</v>
      </c>
    </row>
    <row r="837" spans="1:24" x14ac:dyDescent="0.25">
      <c r="A837" s="94" t="s">
        <v>2240</v>
      </c>
      <c r="B837" s="130" t="s">
        <v>7918</v>
      </c>
      <c r="C837" s="94">
        <v>0</v>
      </c>
      <c r="D837" s="96" t="s">
        <v>2367</v>
      </c>
      <c r="E837" s="96" t="s">
        <v>2241</v>
      </c>
      <c r="F837" s="96">
        <v>6.7000000000000004E-2</v>
      </c>
      <c r="G837" s="96" t="s">
        <v>2242</v>
      </c>
      <c r="H837" s="96" t="s">
        <v>2243</v>
      </c>
      <c r="I837" s="96" t="s">
        <v>2244</v>
      </c>
      <c r="J837" s="96" t="s">
        <v>2245</v>
      </c>
      <c r="K837" s="96" t="s">
        <v>510</v>
      </c>
      <c r="W837" s="213">
        <v>837</v>
      </c>
      <c r="X837" s="214">
        <v>14</v>
      </c>
    </row>
    <row r="838" spans="1:24" x14ac:dyDescent="0.25">
      <c r="A838" s="97" t="s">
        <v>2240</v>
      </c>
      <c r="B838" s="98" t="s">
        <v>4746</v>
      </c>
      <c r="C838" s="97">
        <v>0</v>
      </c>
      <c r="D838" s="99" t="s">
        <v>4718</v>
      </c>
      <c r="E838" s="99" t="s">
        <v>4747</v>
      </c>
      <c r="F838" s="99">
        <v>5.0999999999999997E-2</v>
      </c>
      <c r="G838" s="99" t="s">
        <v>4748</v>
      </c>
      <c r="H838" s="99" t="s">
        <v>4749</v>
      </c>
      <c r="I838" s="99" t="s">
        <v>4750</v>
      </c>
      <c r="J838" s="99" t="s">
        <v>4751</v>
      </c>
      <c r="K838" s="99" t="s">
        <v>510</v>
      </c>
      <c r="W838" s="213">
        <v>838</v>
      </c>
      <c r="X838" s="214">
        <v>14</v>
      </c>
    </row>
    <row r="839" spans="1:24" x14ac:dyDescent="0.25">
      <c r="A839" s="71" t="s">
        <v>1966</v>
      </c>
      <c r="B839" s="73" t="s">
        <v>3300</v>
      </c>
      <c r="C839" s="71">
        <v>0</v>
      </c>
      <c r="D839" s="72" t="s">
        <v>3301</v>
      </c>
      <c r="E839" s="72" t="s">
        <v>3302</v>
      </c>
      <c r="F839" s="72">
        <v>0.45700000000000002</v>
      </c>
      <c r="G839" s="72" t="s">
        <v>3303</v>
      </c>
      <c r="H839" s="72" t="s">
        <v>3304</v>
      </c>
      <c r="I839" s="72" t="s">
        <v>3305</v>
      </c>
      <c r="J839" s="72" t="s">
        <v>3306</v>
      </c>
      <c r="K839" s="72" t="s">
        <v>510</v>
      </c>
      <c r="W839" s="213">
        <v>839</v>
      </c>
      <c r="X839" s="214">
        <v>10</v>
      </c>
    </row>
    <row r="840" spans="1:24" x14ac:dyDescent="0.25">
      <c r="A840" s="97" t="s">
        <v>2240</v>
      </c>
      <c r="B840" s="98" t="s">
        <v>6720</v>
      </c>
      <c r="C840" s="97">
        <v>0</v>
      </c>
      <c r="D840" s="99" t="s">
        <v>3161</v>
      </c>
      <c r="E840" s="99" t="s">
        <v>6721</v>
      </c>
      <c r="F840" s="99">
        <v>2.9000000000000001E-2</v>
      </c>
      <c r="G840" s="99" t="s">
        <v>6722</v>
      </c>
      <c r="H840" s="99" t="s">
        <v>6723</v>
      </c>
      <c r="I840" s="99" t="s">
        <v>6724</v>
      </c>
      <c r="J840" s="99" t="s">
        <v>6725</v>
      </c>
      <c r="K840" s="99" t="s">
        <v>510</v>
      </c>
      <c r="W840" s="213">
        <v>840</v>
      </c>
      <c r="X840" s="214">
        <v>14</v>
      </c>
    </row>
    <row r="841" spans="1:24" x14ac:dyDescent="0.25">
      <c r="A841" s="94" t="s">
        <v>2240</v>
      </c>
      <c r="B841" s="95" t="s">
        <v>7246</v>
      </c>
      <c r="C841" s="94">
        <v>0</v>
      </c>
      <c r="D841" s="96" t="s">
        <v>659</v>
      </c>
      <c r="E841" s="96" t="s">
        <v>7247</v>
      </c>
      <c r="F841" s="96">
        <v>3.2000000000000001E-2</v>
      </c>
      <c r="G841" s="96" t="s">
        <v>7248</v>
      </c>
      <c r="H841" s="96" t="s">
        <v>7249</v>
      </c>
      <c r="I841" s="96" t="s">
        <v>7250</v>
      </c>
      <c r="J841" s="96" t="s">
        <v>7251</v>
      </c>
      <c r="K841" s="96" t="s">
        <v>510</v>
      </c>
      <c r="W841" s="213">
        <v>841</v>
      </c>
      <c r="X841" s="214">
        <v>14</v>
      </c>
    </row>
    <row r="842" spans="1:24" x14ac:dyDescent="0.25">
      <c r="A842" s="97" t="s">
        <v>2240</v>
      </c>
      <c r="B842" s="131" t="s">
        <v>7954</v>
      </c>
      <c r="C842" s="97">
        <v>0</v>
      </c>
      <c r="D842" s="99" t="s">
        <v>7942</v>
      </c>
      <c r="E842" s="99" t="s">
        <v>2328</v>
      </c>
      <c r="F842" s="99">
        <v>4.2000000000000003E-2</v>
      </c>
      <c r="G842" s="99" t="s">
        <v>2329</v>
      </c>
      <c r="H842" s="99" t="s">
        <v>2330</v>
      </c>
      <c r="I842" s="99" t="s">
        <v>2331</v>
      </c>
      <c r="J842" s="99" t="s">
        <v>2332</v>
      </c>
      <c r="K842" s="99" t="s">
        <v>9479</v>
      </c>
      <c r="W842" s="213">
        <v>842</v>
      </c>
      <c r="X842" s="214">
        <v>14</v>
      </c>
    </row>
    <row r="843" spans="1:24" x14ac:dyDescent="0.25">
      <c r="A843" s="94" t="s">
        <v>2240</v>
      </c>
      <c r="B843" s="95" t="s">
        <v>8420</v>
      </c>
      <c r="C843" s="94">
        <v>0</v>
      </c>
      <c r="D843" s="96" t="s">
        <v>2333</v>
      </c>
      <c r="E843" s="96" t="s">
        <v>2334</v>
      </c>
      <c r="F843" s="96">
        <v>4.3999999999999997E-2</v>
      </c>
      <c r="G843" s="96" t="s">
        <v>2335</v>
      </c>
      <c r="H843" s="96" t="s">
        <v>2336</v>
      </c>
      <c r="I843" s="96" t="s">
        <v>2337</v>
      </c>
      <c r="J843" s="96" t="s">
        <v>2338</v>
      </c>
      <c r="K843" s="96" t="s">
        <v>510</v>
      </c>
      <c r="W843" s="213">
        <v>843</v>
      </c>
      <c r="X843" s="214">
        <v>14</v>
      </c>
    </row>
    <row r="844" spans="1:24" x14ac:dyDescent="0.25">
      <c r="A844" s="97" t="s">
        <v>2240</v>
      </c>
      <c r="B844" s="98" t="s">
        <v>6082</v>
      </c>
      <c r="C844" s="97">
        <v>0</v>
      </c>
      <c r="D844" s="99" t="s">
        <v>3250</v>
      </c>
      <c r="E844" s="99" t="s">
        <v>6083</v>
      </c>
      <c r="F844" s="99">
        <v>0.18</v>
      </c>
      <c r="G844" s="99" t="s">
        <v>6084</v>
      </c>
      <c r="H844" s="99" t="s">
        <v>6085</v>
      </c>
      <c r="I844" s="99" t="s">
        <v>6086</v>
      </c>
      <c r="J844" s="99" t="s">
        <v>5614</v>
      </c>
      <c r="K844" s="99" t="s">
        <v>510</v>
      </c>
      <c r="W844" s="213">
        <v>844</v>
      </c>
      <c r="X844" s="214">
        <v>14</v>
      </c>
    </row>
    <row r="845" spans="1:24" ht="14.45" customHeight="1" x14ac:dyDescent="0.25">
      <c r="A845" s="94" t="s">
        <v>2240</v>
      </c>
      <c r="B845" s="96" t="s">
        <v>3421</v>
      </c>
      <c r="C845" s="94">
        <v>1</v>
      </c>
      <c r="D845" s="96" t="s">
        <v>226</v>
      </c>
      <c r="E845" s="96" t="s">
        <v>3422</v>
      </c>
      <c r="F845" s="96">
        <v>0.26100000000000001</v>
      </c>
      <c r="G845" s="96" t="s">
        <v>3423</v>
      </c>
      <c r="H845" s="96" t="s">
        <v>3424</v>
      </c>
      <c r="I845" s="96" t="s">
        <v>3425</v>
      </c>
      <c r="J845" s="96" t="s">
        <v>3426</v>
      </c>
      <c r="K845" s="96" t="s">
        <v>510</v>
      </c>
      <c r="W845" s="213">
        <v>845</v>
      </c>
      <c r="X845" s="214">
        <v>14</v>
      </c>
    </row>
    <row r="846" spans="1:24" ht="14.45" customHeight="1" x14ac:dyDescent="0.25">
      <c r="A846" s="99" t="s">
        <v>0</v>
      </c>
      <c r="B846" s="97" t="s">
        <v>32</v>
      </c>
      <c r="C846" s="99" t="s">
        <v>3427</v>
      </c>
      <c r="D846" s="99" t="s">
        <v>212</v>
      </c>
      <c r="E846" s="99" t="s">
        <v>2622</v>
      </c>
      <c r="F846" s="99">
        <v>0.153</v>
      </c>
      <c r="G846" s="99" t="s">
        <v>510</v>
      </c>
      <c r="H846" s="99"/>
      <c r="I846" s="99"/>
      <c r="J846" s="99"/>
      <c r="K846" s="99" t="s">
        <v>510</v>
      </c>
      <c r="W846" s="213">
        <v>846</v>
      </c>
      <c r="X846" s="214">
        <v>14</v>
      </c>
    </row>
    <row r="847" spans="1:24" x14ac:dyDescent="0.25">
      <c r="A847" s="94" t="s">
        <v>2240</v>
      </c>
      <c r="B847" s="95" t="s">
        <v>5740</v>
      </c>
      <c r="C847" s="94">
        <v>0</v>
      </c>
      <c r="D847" s="96" t="s">
        <v>5039</v>
      </c>
      <c r="E847" s="96" t="s">
        <v>5741</v>
      </c>
      <c r="F847" s="96">
        <v>0.20699999999999999</v>
      </c>
      <c r="G847" s="96" t="s">
        <v>5742</v>
      </c>
      <c r="H847" s="96" t="s">
        <v>5743</v>
      </c>
      <c r="I847" s="96" t="s">
        <v>5744</v>
      </c>
      <c r="J847" s="96" t="s">
        <v>5745</v>
      </c>
      <c r="K847" s="96" t="s">
        <v>510</v>
      </c>
      <c r="W847" s="213">
        <v>847</v>
      </c>
      <c r="X847" s="214">
        <v>14</v>
      </c>
    </row>
    <row r="848" spans="1:24" x14ac:dyDescent="0.25">
      <c r="A848" s="97" t="s">
        <v>2240</v>
      </c>
      <c r="B848" s="131" t="s">
        <v>8076</v>
      </c>
      <c r="C848" s="97">
        <v>0</v>
      </c>
      <c r="D848" s="99" t="s">
        <v>2246</v>
      </c>
      <c r="E848" s="99" t="s">
        <v>2247</v>
      </c>
      <c r="F848" s="99">
        <v>6.5000000000000002E-2</v>
      </c>
      <c r="G848" s="99" t="s">
        <v>2248</v>
      </c>
      <c r="H848" s="99" t="s">
        <v>2249</v>
      </c>
      <c r="I848" s="99" t="s">
        <v>2250</v>
      </c>
      <c r="J848" s="99" t="s">
        <v>2251</v>
      </c>
      <c r="K848" s="99" t="s">
        <v>510</v>
      </c>
      <c r="W848" s="213">
        <v>848</v>
      </c>
      <c r="X848" s="214">
        <v>14</v>
      </c>
    </row>
    <row r="849" spans="1:24" x14ac:dyDescent="0.25">
      <c r="A849" s="94" t="s">
        <v>2240</v>
      </c>
      <c r="B849" s="95" t="s">
        <v>6904</v>
      </c>
      <c r="C849" s="94">
        <v>0</v>
      </c>
      <c r="D849" s="96" t="s">
        <v>3403</v>
      </c>
      <c r="E849" s="96" t="s">
        <v>6905</v>
      </c>
      <c r="F849" s="96">
        <v>0.24099999999999999</v>
      </c>
      <c r="G849" s="96" t="s">
        <v>6906</v>
      </c>
      <c r="H849" s="96" t="s">
        <v>6907</v>
      </c>
      <c r="I849" s="96" t="s">
        <v>6908</v>
      </c>
      <c r="J849" s="96" t="s">
        <v>6909</v>
      </c>
      <c r="K849" s="96" t="s">
        <v>510</v>
      </c>
      <c r="W849" s="213">
        <v>849</v>
      </c>
      <c r="X849" s="214">
        <v>14</v>
      </c>
    </row>
    <row r="850" spans="1:24" x14ac:dyDescent="0.25">
      <c r="A850" s="67" t="s">
        <v>1966</v>
      </c>
      <c r="B850" s="69" t="s">
        <v>3920</v>
      </c>
      <c r="C850" s="67">
        <v>0</v>
      </c>
      <c r="D850" s="68" t="s">
        <v>158</v>
      </c>
      <c r="E850" s="68" t="s">
        <v>3921</v>
      </c>
      <c r="F850" s="68">
        <v>0.32</v>
      </c>
      <c r="G850" s="68" t="s">
        <v>3922</v>
      </c>
      <c r="H850" s="68" t="s">
        <v>3923</v>
      </c>
      <c r="I850" s="68" t="s">
        <v>3924</v>
      </c>
      <c r="J850" s="68" t="s">
        <v>3925</v>
      </c>
      <c r="K850" s="68" t="s">
        <v>510</v>
      </c>
      <c r="W850" s="213">
        <v>850</v>
      </c>
      <c r="X850" s="214">
        <v>10</v>
      </c>
    </row>
    <row r="851" spans="1:24" x14ac:dyDescent="0.25">
      <c r="A851" s="94" t="s">
        <v>2240</v>
      </c>
      <c r="B851" s="130" t="s">
        <v>7919</v>
      </c>
      <c r="C851" s="94">
        <v>0</v>
      </c>
      <c r="D851" s="96" t="s">
        <v>2752</v>
      </c>
      <c r="E851" s="96" t="s">
        <v>2253</v>
      </c>
      <c r="F851" s="96">
        <v>0.22700000000000001</v>
      </c>
      <c r="G851" s="96" t="s">
        <v>2254</v>
      </c>
      <c r="H851" s="96" t="s">
        <v>2047</v>
      </c>
      <c r="I851" s="96" t="s">
        <v>2255</v>
      </c>
      <c r="J851" s="96" t="s">
        <v>2256</v>
      </c>
      <c r="K851" s="96" t="s">
        <v>9549</v>
      </c>
      <c r="W851" s="213">
        <v>851</v>
      </c>
      <c r="X851" s="214">
        <v>14</v>
      </c>
    </row>
    <row r="852" spans="1:24" ht="15" customHeight="1" x14ac:dyDescent="0.25">
      <c r="A852" s="97" t="s">
        <v>2240</v>
      </c>
      <c r="B852" s="98" t="s">
        <v>7449</v>
      </c>
      <c r="C852" s="97">
        <v>0</v>
      </c>
      <c r="D852" s="99" t="s">
        <v>212</v>
      </c>
      <c r="E852" s="99" t="s">
        <v>7450</v>
      </c>
      <c r="F852" s="99">
        <v>0.04</v>
      </c>
      <c r="G852" s="99" t="s">
        <v>7451</v>
      </c>
      <c r="H852" s="99" t="s">
        <v>7452</v>
      </c>
      <c r="I852" s="99" t="s">
        <v>7453</v>
      </c>
      <c r="J852" s="99" t="s">
        <v>7454</v>
      </c>
      <c r="K852" s="99" t="s">
        <v>510</v>
      </c>
      <c r="W852" s="213">
        <v>852</v>
      </c>
      <c r="X852" s="214">
        <v>14</v>
      </c>
    </row>
    <row r="853" spans="1:24" x14ac:dyDescent="0.25">
      <c r="A853" s="94" t="s">
        <v>2240</v>
      </c>
      <c r="B853" s="95" t="s">
        <v>4819</v>
      </c>
      <c r="C853" s="94">
        <v>0</v>
      </c>
      <c r="D853" s="96" t="s">
        <v>4535</v>
      </c>
      <c r="E853" s="96" t="s">
        <v>4820</v>
      </c>
      <c r="F853" s="96">
        <v>0.29599999999999999</v>
      </c>
      <c r="G853" s="96" t="s">
        <v>4821</v>
      </c>
      <c r="H853" s="96" t="s">
        <v>4822</v>
      </c>
      <c r="I853" s="96" t="s">
        <v>4823</v>
      </c>
      <c r="J853" s="96" t="s">
        <v>4824</v>
      </c>
      <c r="K853" s="96" t="s">
        <v>510</v>
      </c>
      <c r="W853" s="213">
        <v>853</v>
      </c>
      <c r="X853" s="214">
        <v>14</v>
      </c>
    </row>
    <row r="854" spans="1:24" x14ac:dyDescent="0.25">
      <c r="A854" s="97" t="s">
        <v>2240</v>
      </c>
      <c r="B854" s="98" t="s">
        <v>7269</v>
      </c>
      <c r="C854" s="97">
        <v>0</v>
      </c>
      <c r="D854" s="99" t="s">
        <v>450</v>
      </c>
      <c r="E854" s="99" t="s">
        <v>4820</v>
      </c>
      <c r="F854" s="99">
        <v>0.19600000000000001</v>
      </c>
      <c r="G854" s="99" t="s">
        <v>7270</v>
      </c>
      <c r="H854" s="99" t="s">
        <v>7271</v>
      </c>
      <c r="I854" s="99" t="s">
        <v>7272</v>
      </c>
      <c r="J854" s="99" t="s">
        <v>7273</v>
      </c>
      <c r="K854" s="99" t="s">
        <v>510</v>
      </c>
      <c r="W854" s="213">
        <v>854</v>
      </c>
      <c r="X854" s="214">
        <v>14</v>
      </c>
    </row>
    <row r="855" spans="1:24" x14ac:dyDescent="0.25">
      <c r="A855" s="94" t="s">
        <v>2240</v>
      </c>
      <c r="B855" s="130" t="s">
        <v>7955</v>
      </c>
      <c r="C855" s="94">
        <v>0</v>
      </c>
      <c r="D855" s="96" t="s">
        <v>3076</v>
      </c>
      <c r="E855" s="96" t="s">
        <v>2339</v>
      </c>
      <c r="F855" s="96">
        <v>0.183</v>
      </c>
      <c r="G855" s="96" t="s">
        <v>2340</v>
      </c>
      <c r="H855" s="96" t="s">
        <v>2341</v>
      </c>
      <c r="I855" s="96" t="s">
        <v>2342</v>
      </c>
      <c r="J855" s="96" t="s">
        <v>2343</v>
      </c>
      <c r="K855" s="96" t="s">
        <v>510</v>
      </c>
      <c r="W855" s="213">
        <v>855</v>
      </c>
      <c r="X855" s="214">
        <v>14</v>
      </c>
    </row>
    <row r="856" spans="1:24" ht="14.45" customHeight="1" x14ac:dyDescent="0.25">
      <c r="A856" s="101" t="s">
        <v>2257</v>
      </c>
      <c r="B856" s="102" t="s">
        <v>2258</v>
      </c>
      <c r="C856" s="103">
        <v>1</v>
      </c>
      <c r="D856" s="104" t="s">
        <v>2259</v>
      </c>
      <c r="E856" s="104" t="s">
        <v>2260</v>
      </c>
      <c r="F856" s="104">
        <v>0.22700000000000001</v>
      </c>
      <c r="G856" s="104" t="s">
        <v>2261</v>
      </c>
      <c r="H856" s="104" t="s">
        <v>2262</v>
      </c>
      <c r="I856" s="104" t="s">
        <v>2263</v>
      </c>
      <c r="J856" s="104" t="s">
        <v>2264</v>
      </c>
      <c r="K856" s="104" t="s">
        <v>9460</v>
      </c>
      <c r="W856" s="213">
        <v>856</v>
      </c>
      <c r="X856" s="214">
        <v>13</v>
      </c>
    </row>
    <row r="857" spans="1:24" ht="14.45" customHeight="1" x14ac:dyDescent="0.25">
      <c r="A857" s="105" t="s">
        <v>0</v>
      </c>
      <c r="B857" s="106" t="s">
        <v>32</v>
      </c>
      <c r="C857" s="107" t="s">
        <v>2265</v>
      </c>
      <c r="D857" s="105" t="s">
        <v>2266</v>
      </c>
      <c r="E857" s="105" t="s">
        <v>2267</v>
      </c>
      <c r="F857" s="105">
        <v>1E-3</v>
      </c>
      <c r="G857" s="105" t="s">
        <v>2268</v>
      </c>
      <c r="H857" s="108"/>
      <c r="I857" s="108"/>
      <c r="J857" s="108"/>
      <c r="K857" s="105" t="s">
        <v>9509</v>
      </c>
      <c r="W857" s="213">
        <v>857</v>
      </c>
      <c r="X857" s="214">
        <v>13</v>
      </c>
    </row>
    <row r="858" spans="1:24" x14ac:dyDescent="0.25">
      <c r="A858" s="97" t="s">
        <v>2240</v>
      </c>
      <c r="B858" s="98" t="s">
        <v>5746</v>
      </c>
      <c r="C858" s="97">
        <v>0</v>
      </c>
      <c r="D858" s="99" t="s">
        <v>1745</v>
      </c>
      <c r="E858" s="99" t="s">
        <v>5747</v>
      </c>
      <c r="F858" s="99">
        <v>0.28799999999999998</v>
      </c>
      <c r="G858" s="99" t="s">
        <v>5748</v>
      </c>
      <c r="H858" s="99" t="s">
        <v>5749</v>
      </c>
      <c r="I858" s="99" t="s">
        <v>5750</v>
      </c>
      <c r="J858" s="99" t="s">
        <v>5751</v>
      </c>
      <c r="K858" s="99" t="s">
        <v>510</v>
      </c>
      <c r="W858" s="213">
        <v>858</v>
      </c>
      <c r="X858" s="214">
        <v>14</v>
      </c>
    </row>
    <row r="859" spans="1:24" x14ac:dyDescent="0.25">
      <c r="A859" s="94" t="s">
        <v>2240</v>
      </c>
      <c r="B859" s="95" t="s">
        <v>4275</v>
      </c>
      <c r="C859" s="94">
        <v>0</v>
      </c>
      <c r="D859" s="96" t="s">
        <v>4276</v>
      </c>
      <c r="E859" s="96" t="s">
        <v>4277</v>
      </c>
      <c r="F859" s="96">
        <v>0.183</v>
      </c>
      <c r="G859" s="96" t="s">
        <v>4278</v>
      </c>
      <c r="H859" s="96" t="s">
        <v>4279</v>
      </c>
      <c r="I859" s="96" t="s">
        <v>4280</v>
      </c>
      <c r="J859" s="96" t="s">
        <v>4281</v>
      </c>
      <c r="K859" s="96" t="s">
        <v>510</v>
      </c>
      <c r="W859" s="213">
        <v>859</v>
      </c>
      <c r="X859" s="214">
        <v>14</v>
      </c>
    </row>
    <row r="860" spans="1:24" x14ac:dyDescent="0.25">
      <c r="A860" s="97" t="s">
        <v>2240</v>
      </c>
      <c r="B860" s="98" t="s">
        <v>6286</v>
      </c>
      <c r="C860" s="97">
        <v>0</v>
      </c>
      <c r="D860" s="99" t="s">
        <v>5409</v>
      </c>
      <c r="E860" s="99" t="s">
        <v>6287</v>
      </c>
      <c r="F860" s="99">
        <v>0.28000000000000003</v>
      </c>
      <c r="G860" s="99" t="s">
        <v>6288</v>
      </c>
      <c r="H860" s="99" t="s">
        <v>6289</v>
      </c>
      <c r="I860" s="99" t="s">
        <v>4316</v>
      </c>
      <c r="J860" s="99" t="s">
        <v>6290</v>
      </c>
      <c r="K860" s="99" t="s">
        <v>510</v>
      </c>
      <c r="W860" s="213">
        <v>860</v>
      </c>
      <c r="X860" s="214">
        <v>14</v>
      </c>
    </row>
    <row r="861" spans="1:24" x14ac:dyDescent="0.25">
      <c r="A861" s="94" t="s">
        <v>2240</v>
      </c>
      <c r="B861" s="95" t="s">
        <v>6327</v>
      </c>
      <c r="C861" s="94">
        <v>0</v>
      </c>
      <c r="D861" s="96" t="s">
        <v>4025</v>
      </c>
      <c r="E861" s="96" t="s">
        <v>6328</v>
      </c>
      <c r="F861" s="96">
        <v>0.214</v>
      </c>
      <c r="G861" s="96" t="s">
        <v>6329</v>
      </c>
      <c r="H861" s="96" t="s">
        <v>6330</v>
      </c>
      <c r="I861" s="96" t="s">
        <v>6331</v>
      </c>
      <c r="J861" s="96" t="s">
        <v>6332</v>
      </c>
      <c r="K861" s="96" t="s">
        <v>510</v>
      </c>
      <c r="W861" s="213">
        <v>861</v>
      </c>
      <c r="X861" s="214">
        <v>14</v>
      </c>
    </row>
    <row r="862" spans="1:24" x14ac:dyDescent="0.25">
      <c r="A862" s="97" t="s">
        <v>2240</v>
      </c>
      <c r="B862" s="98" t="s">
        <v>6872</v>
      </c>
      <c r="C862" s="97">
        <v>0</v>
      </c>
      <c r="D862" s="99" t="s">
        <v>3206</v>
      </c>
      <c r="E862" s="99" t="s">
        <v>6873</v>
      </c>
      <c r="F862" s="99">
        <v>0.29499999999999998</v>
      </c>
      <c r="G862" s="99" t="s">
        <v>6874</v>
      </c>
      <c r="H862" s="99" t="s">
        <v>6875</v>
      </c>
      <c r="I862" s="99" t="s">
        <v>6876</v>
      </c>
      <c r="J862" s="99" t="s">
        <v>6877</v>
      </c>
      <c r="K862" s="99" t="s">
        <v>510</v>
      </c>
      <c r="W862" s="213">
        <v>862</v>
      </c>
      <c r="X862" s="214">
        <v>14</v>
      </c>
    </row>
    <row r="863" spans="1:24" x14ac:dyDescent="0.25">
      <c r="A863" s="94" t="s">
        <v>2240</v>
      </c>
      <c r="B863" s="130" t="s">
        <v>7956</v>
      </c>
      <c r="C863" s="94">
        <v>0</v>
      </c>
      <c r="D863" s="96" t="s">
        <v>2629</v>
      </c>
      <c r="E863" s="96" t="s">
        <v>2269</v>
      </c>
      <c r="F863" s="96">
        <v>0.114</v>
      </c>
      <c r="G863" s="96" t="s">
        <v>2270</v>
      </c>
      <c r="H863" s="96" t="s">
        <v>2271</v>
      </c>
      <c r="I863" s="96" t="s">
        <v>2272</v>
      </c>
      <c r="J863" s="96" t="s">
        <v>2273</v>
      </c>
      <c r="K863" s="96" t="s">
        <v>510</v>
      </c>
      <c r="W863" s="213">
        <v>863</v>
      </c>
      <c r="X863" s="214">
        <v>14</v>
      </c>
    </row>
    <row r="864" spans="1:24" x14ac:dyDescent="0.25">
      <c r="A864" s="97" t="s">
        <v>2240</v>
      </c>
      <c r="B864" s="98" t="s">
        <v>5184</v>
      </c>
      <c r="C864" s="97">
        <v>0</v>
      </c>
      <c r="D864" s="99" t="s">
        <v>4603</v>
      </c>
      <c r="E864" s="99" t="s">
        <v>5185</v>
      </c>
      <c r="F864" s="99">
        <v>0.17399999999999999</v>
      </c>
      <c r="G864" s="99" t="s">
        <v>5186</v>
      </c>
      <c r="H864" s="99" t="s">
        <v>5187</v>
      </c>
      <c r="I864" s="99" t="s">
        <v>5188</v>
      </c>
      <c r="J864" s="99" t="s">
        <v>5189</v>
      </c>
      <c r="K864" s="99" t="s">
        <v>510</v>
      </c>
      <c r="W864" s="213">
        <v>864</v>
      </c>
      <c r="X864" s="214">
        <v>14</v>
      </c>
    </row>
    <row r="865" spans="1:24" x14ac:dyDescent="0.25">
      <c r="A865" s="94" t="s">
        <v>2240</v>
      </c>
      <c r="B865" s="95" t="s">
        <v>5609</v>
      </c>
      <c r="C865" s="94">
        <v>0</v>
      </c>
      <c r="D865" s="96" t="s">
        <v>4687</v>
      </c>
      <c r="E865" s="96" t="s">
        <v>5610</v>
      </c>
      <c r="F865" s="96">
        <v>0.23499999999999999</v>
      </c>
      <c r="G865" s="96" t="s">
        <v>5611</v>
      </c>
      <c r="H865" s="96" t="s">
        <v>5612</v>
      </c>
      <c r="I865" s="96" t="s">
        <v>5613</v>
      </c>
      <c r="J865" s="96" t="s">
        <v>5614</v>
      </c>
      <c r="K865" s="96" t="s">
        <v>510</v>
      </c>
      <c r="W865" s="213">
        <v>865</v>
      </c>
      <c r="X865" s="214">
        <v>14</v>
      </c>
    </row>
    <row r="866" spans="1:24" x14ac:dyDescent="0.25">
      <c r="A866" s="97" t="s">
        <v>2240</v>
      </c>
      <c r="B866" s="98" t="s">
        <v>6059</v>
      </c>
      <c r="C866" s="97">
        <v>0</v>
      </c>
      <c r="D866" s="99" t="s">
        <v>5215</v>
      </c>
      <c r="E866" s="99" t="s">
        <v>6060</v>
      </c>
      <c r="F866" s="99">
        <v>0.25700000000000001</v>
      </c>
      <c r="G866" s="99" t="s">
        <v>5237</v>
      </c>
      <c r="H866" s="99" t="s">
        <v>6061</v>
      </c>
      <c r="I866" s="99" t="s">
        <v>6062</v>
      </c>
      <c r="J866" s="99" t="s">
        <v>6063</v>
      </c>
      <c r="K866" s="99" t="s">
        <v>510</v>
      </c>
      <c r="W866" s="213">
        <v>866</v>
      </c>
      <c r="X866" s="214">
        <v>14</v>
      </c>
    </row>
    <row r="867" spans="1:24" x14ac:dyDescent="0.25">
      <c r="A867" s="94" t="s">
        <v>2240</v>
      </c>
      <c r="B867" s="130" t="s">
        <v>7957</v>
      </c>
      <c r="C867" s="94">
        <v>0</v>
      </c>
      <c r="D867" s="96" t="s">
        <v>7943</v>
      </c>
      <c r="E867" s="96" t="s">
        <v>2274</v>
      </c>
      <c r="F867" s="96">
        <v>0.129</v>
      </c>
      <c r="G867" s="96" t="s">
        <v>2275</v>
      </c>
      <c r="H867" s="96" t="s">
        <v>2276</v>
      </c>
      <c r="I867" s="96" t="s">
        <v>2277</v>
      </c>
      <c r="J867" s="96" t="s">
        <v>2278</v>
      </c>
      <c r="K867" s="96" t="s">
        <v>510</v>
      </c>
      <c r="W867" s="213">
        <v>867</v>
      </c>
      <c r="X867" s="214">
        <v>14</v>
      </c>
    </row>
    <row r="868" spans="1:24" x14ac:dyDescent="0.25">
      <c r="A868" s="97" t="s">
        <v>2240</v>
      </c>
      <c r="B868" s="98" t="s">
        <v>5837</v>
      </c>
      <c r="C868" s="97">
        <v>0</v>
      </c>
      <c r="D868" s="99" t="s">
        <v>431</v>
      </c>
      <c r="E868" s="99" t="s">
        <v>5838</v>
      </c>
      <c r="F868" s="99">
        <v>0.23699999999999999</v>
      </c>
      <c r="G868" s="99" t="s">
        <v>5839</v>
      </c>
      <c r="H868" s="99" t="s">
        <v>5840</v>
      </c>
      <c r="I868" s="99" t="s">
        <v>5841</v>
      </c>
      <c r="J868" s="99" t="s">
        <v>5842</v>
      </c>
      <c r="K868" s="99" t="s">
        <v>510</v>
      </c>
      <c r="W868" s="213">
        <v>868</v>
      </c>
      <c r="X868" s="214">
        <v>14</v>
      </c>
    </row>
    <row r="869" spans="1:24" x14ac:dyDescent="0.25">
      <c r="A869" s="94" t="s">
        <v>2240</v>
      </c>
      <c r="B869" s="95" t="s">
        <v>5160</v>
      </c>
      <c r="C869" s="94">
        <v>0</v>
      </c>
      <c r="D869" s="96" t="s">
        <v>5161</v>
      </c>
      <c r="E869" s="96" t="s">
        <v>5162</v>
      </c>
      <c r="F869" s="96">
        <v>8.4000000000000005E-2</v>
      </c>
      <c r="G869" s="96" t="s">
        <v>5163</v>
      </c>
      <c r="H869" s="96" t="s">
        <v>3113</v>
      </c>
      <c r="I869" s="96" t="s">
        <v>5164</v>
      </c>
      <c r="J869" s="96" t="s">
        <v>5165</v>
      </c>
      <c r="K869" s="96" t="s">
        <v>510</v>
      </c>
      <c r="W869" s="213">
        <v>869</v>
      </c>
      <c r="X869" s="214">
        <v>14</v>
      </c>
    </row>
    <row r="870" spans="1:24" x14ac:dyDescent="0.25">
      <c r="A870" s="97" t="s">
        <v>2240</v>
      </c>
      <c r="B870" s="98" t="s">
        <v>6115</v>
      </c>
      <c r="C870" s="97">
        <v>0</v>
      </c>
      <c r="D870" s="99" t="s">
        <v>3250</v>
      </c>
      <c r="E870" s="99" t="s">
        <v>5162</v>
      </c>
      <c r="F870" s="99">
        <v>0.192</v>
      </c>
      <c r="G870" s="99" t="s">
        <v>6116</v>
      </c>
      <c r="H870" s="99" t="s">
        <v>6117</v>
      </c>
      <c r="I870" s="99" t="s">
        <v>6118</v>
      </c>
      <c r="J870" s="99" t="s">
        <v>6119</v>
      </c>
      <c r="K870" s="99" t="s">
        <v>510</v>
      </c>
      <c r="W870" s="213">
        <v>870</v>
      </c>
      <c r="X870" s="214">
        <v>14</v>
      </c>
    </row>
    <row r="871" spans="1:24" x14ac:dyDescent="0.25">
      <c r="A871" s="94" t="s">
        <v>2240</v>
      </c>
      <c r="B871" s="95" t="s">
        <v>7346</v>
      </c>
      <c r="C871" s="94">
        <v>0</v>
      </c>
      <c r="D871" s="96" t="s">
        <v>5924</v>
      </c>
      <c r="E871" s="96" t="s">
        <v>7347</v>
      </c>
      <c r="F871" s="96">
        <v>0.14599999999999999</v>
      </c>
      <c r="G871" s="96" t="s">
        <v>7348</v>
      </c>
      <c r="H871" s="96" t="s">
        <v>7349</v>
      </c>
      <c r="I871" s="96" t="s">
        <v>7350</v>
      </c>
      <c r="J871" s="96" t="s">
        <v>7351</v>
      </c>
      <c r="K871" s="96" t="s">
        <v>510</v>
      </c>
      <c r="W871" s="213">
        <v>871</v>
      </c>
      <c r="X871" s="214">
        <v>14</v>
      </c>
    </row>
    <row r="872" spans="1:24" x14ac:dyDescent="0.25">
      <c r="A872" s="97" t="s">
        <v>2240</v>
      </c>
      <c r="B872" s="131" t="s">
        <v>7958</v>
      </c>
      <c r="C872" s="97">
        <v>0</v>
      </c>
      <c r="D872" s="99" t="s">
        <v>2668</v>
      </c>
      <c r="E872" s="99" t="s">
        <v>2279</v>
      </c>
      <c r="F872" s="99">
        <v>0.26300000000000001</v>
      </c>
      <c r="G872" s="99" t="s">
        <v>2280</v>
      </c>
      <c r="H872" s="99" t="s">
        <v>1712</v>
      </c>
      <c r="I872" s="99" t="s">
        <v>2281</v>
      </c>
      <c r="J872" s="99" t="s">
        <v>2282</v>
      </c>
      <c r="K872" s="99" t="s">
        <v>510</v>
      </c>
      <c r="W872" s="213">
        <v>872</v>
      </c>
      <c r="X872" s="214">
        <v>14</v>
      </c>
    </row>
    <row r="873" spans="1:24" x14ac:dyDescent="0.25">
      <c r="A873" s="94" t="s">
        <v>2240</v>
      </c>
      <c r="B873" s="95" t="s">
        <v>7308</v>
      </c>
      <c r="C873" s="94">
        <v>0</v>
      </c>
      <c r="D873" s="96" t="s">
        <v>3161</v>
      </c>
      <c r="E873" s="96" t="s">
        <v>7309</v>
      </c>
      <c r="F873" s="96">
        <v>0.17599999999999999</v>
      </c>
      <c r="G873" s="96" t="s">
        <v>4833</v>
      </c>
      <c r="H873" s="96" t="s">
        <v>7310</v>
      </c>
      <c r="I873" s="96" t="s">
        <v>7311</v>
      </c>
      <c r="J873" s="96" t="s">
        <v>7312</v>
      </c>
      <c r="K873" s="96" t="s">
        <v>510</v>
      </c>
      <c r="W873" s="213">
        <v>873</v>
      </c>
      <c r="X873" s="214">
        <v>14</v>
      </c>
    </row>
    <row r="874" spans="1:24" x14ac:dyDescent="0.25">
      <c r="A874" s="97" t="s">
        <v>2240</v>
      </c>
      <c r="B874" s="98" t="s">
        <v>6396</v>
      </c>
      <c r="C874" s="97">
        <v>0</v>
      </c>
      <c r="D874" s="99" t="s">
        <v>5197</v>
      </c>
      <c r="E874" s="99" t="s">
        <v>6397</v>
      </c>
      <c r="F874" s="99">
        <v>0.19900000000000001</v>
      </c>
      <c r="G874" s="99" t="s">
        <v>6398</v>
      </c>
      <c r="H874" s="99" t="s">
        <v>6399</v>
      </c>
      <c r="I874" s="99" t="s">
        <v>581</v>
      </c>
      <c r="J874" s="99" t="s">
        <v>6400</v>
      </c>
      <c r="K874" s="99" t="s">
        <v>510</v>
      </c>
      <c r="W874" s="213">
        <v>874</v>
      </c>
      <c r="X874" s="214">
        <v>14</v>
      </c>
    </row>
    <row r="875" spans="1:24" x14ac:dyDescent="0.25">
      <c r="A875" s="94" t="s">
        <v>2240</v>
      </c>
      <c r="B875" s="95" t="s">
        <v>6297</v>
      </c>
      <c r="C875" s="94">
        <v>0</v>
      </c>
      <c r="D875" s="96" t="s">
        <v>3406</v>
      </c>
      <c r="E875" s="96" t="s">
        <v>6298</v>
      </c>
      <c r="F875" s="96">
        <v>0.152</v>
      </c>
      <c r="G875" s="96" t="s">
        <v>6299</v>
      </c>
      <c r="H875" s="96" t="s">
        <v>6300</v>
      </c>
      <c r="I875" s="96" t="s">
        <v>6301</v>
      </c>
      <c r="J875" s="96" t="s">
        <v>6302</v>
      </c>
      <c r="K875" s="96" t="s">
        <v>510</v>
      </c>
      <c r="W875" s="213">
        <v>875</v>
      </c>
      <c r="X875" s="214">
        <v>14</v>
      </c>
    </row>
    <row r="876" spans="1:24" x14ac:dyDescent="0.25">
      <c r="A876" s="97" t="s">
        <v>2240</v>
      </c>
      <c r="B876" s="98" t="s">
        <v>7364</v>
      </c>
      <c r="C876" s="97">
        <v>0</v>
      </c>
      <c r="D876" s="99" t="s">
        <v>1146</v>
      </c>
      <c r="E876" s="99" t="s">
        <v>7365</v>
      </c>
      <c r="F876" s="99">
        <v>0.245</v>
      </c>
      <c r="G876" s="99" t="s">
        <v>7366</v>
      </c>
      <c r="H876" s="99" t="s">
        <v>7367</v>
      </c>
      <c r="I876" s="99" t="s">
        <v>7368</v>
      </c>
      <c r="J876" s="99" t="s">
        <v>7369</v>
      </c>
      <c r="K876" s="99" t="s">
        <v>510</v>
      </c>
      <c r="W876" s="213">
        <v>876</v>
      </c>
      <c r="X876" s="214">
        <v>14</v>
      </c>
    </row>
    <row r="877" spans="1:24" ht="14.45" customHeight="1" x14ac:dyDescent="0.25">
      <c r="A877" s="94" t="s">
        <v>2240</v>
      </c>
      <c r="B877" s="128" t="s">
        <v>7887</v>
      </c>
      <c r="C877" s="94">
        <v>1</v>
      </c>
      <c r="D877" s="96" t="s">
        <v>2283</v>
      </c>
      <c r="E877" s="96" t="s">
        <v>2284</v>
      </c>
      <c r="F877" s="96">
        <v>0.183</v>
      </c>
      <c r="G877" s="96" t="s">
        <v>2285</v>
      </c>
      <c r="H877" s="96" t="s">
        <v>2286</v>
      </c>
      <c r="I877" s="96" t="s">
        <v>2287</v>
      </c>
      <c r="J877" s="96" t="s">
        <v>2288</v>
      </c>
      <c r="K877" s="96" t="s">
        <v>9534</v>
      </c>
      <c r="W877" s="213">
        <v>877</v>
      </c>
      <c r="X877" s="214">
        <v>14</v>
      </c>
    </row>
    <row r="878" spans="1:24" ht="14.45" customHeight="1" x14ac:dyDescent="0.25">
      <c r="A878" s="99" t="s">
        <v>0</v>
      </c>
      <c r="B878" s="97" t="s">
        <v>32</v>
      </c>
      <c r="C878" s="131" t="s">
        <v>2289</v>
      </c>
      <c r="D878" s="99" t="s">
        <v>2016</v>
      </c>
      <c r="E878" s="99" t="s">
        <v>2290</v>
      </c>
      <c r="F878" s="99" t="s">
        <v>510</v>
      </c>
      <c r="G878" s="99" t="s">
        <v>510</v>
      </c>
      <c r="H878" s="109"/>
      <c r="I878" s="109"/>
      <c r="J878" s="109"/>
      <c r="K878" s="99" t="s">
        <v>510</v>
      </c>
      <c r="W878" s="213">
        <v>878</v>
      </c>
      <c r="X878" s="214">
        <v>14</v>
      </c>
    </row>
    <row r="879" spans="1:24" x14ac:dyDescent="0.25">
      <c r="A879" s="94" t="s">
        <v>2240</v>
      </c>
      <c r="B879" s="95" t="s">
        <v>6570</v>
      </c>
      <c r="C879" s="94">
        <v>0</v>
      </c>
      <c r="D879" s="96" t="s">
        <v>3161</v>
      </c>
      <c r="E879" s="96" t="s">
        <v>6571</v>
      </c>
      <c r="F879" s="96">
        <v>7.9000000000000001E-2</v>
      </c>
      <c r="G879" s="96" t="s">
        <v>6572</v>
      </c>
      <c r="H879" s="96" t="s">
        <v>6573</v>
      </c>
      <c r="I879" s="96" t="s">
        <v>6574</v>
      </c>
      <c r="J879" s="96" t="s">
        <v>6575</v>
      </c>
      <c r="K879" s="96" t="s">
        <v>510</v>
      </c>
      <c r="W879" s="213">
        <v>879</v>
      </c>
      <c r="X879" s="214">
        <v>14</v>
      </c>
    </row>
    <row r="880" spans="1:24" x14ac:dyDescent="0.25">
      <c r="A880" s="97" t="s">
        <v>2240</v>
      </c>
      <c r="B880" s="98" t="s">
        <v>5014</v>
      </c>
      <c r="C880" s="97">
        <v>0</v>
      </c>
      <c r="D880" s="99" t="s">
        <v>3161</v>
      </c>
      <c r="E880" s="99" t="s">
        <v>5015</v>
      </c>
      <c r="F880" s="99">
        <v>0.254</v>
      </c>
      <c r="G880" s="99" t="s">
        <v>5016</v>
      </c>
      <c r="H880" s="99" t="s">
        <v>5017</v>
      </c>
      <c r="I880" s="99" t="s">
        <v>5018</v>
      </c>
      <c r="J880" s="99" t="s">
        <v>5019</v>
      </c>
      <c r="K880" s="99" t="s">
        <v>510</v>
      </c>
      <c r="W880" s="213">
        <v>880</v>
      </c>
      <c r="X880" s="214">
        <v>14</v>
      </c>
    </row>
    <row r="881" spans="1:24" x14ac:dyDescent="0.25">
      <c r="A881" s="94" t="s">
        <v>2240</v>
      </c>
      <c r="B881" s="95" t="s">
        <v>4769</v>
      </c>
      <c r="C881" s="94">
        <v>0</v>
      </c>
      <c r="D881" s="96" t="s">
        <v>4770</v>
      </c>
      <c r="E881" s="96" t="s">
        <v>4771</v>
      </c>
      <c r="F881" s="96">
        <v>0.14099999999999999</v>
      </c>
      <c r="G881" s="96" t="s">
        <v>4772</v>
      </c>
      <c r="H881" s="96" t="s">
        <v>4773</v>
      </c>
      <c r="I881" s="96" t="s">
        <v>4774</v>
      </c>
      <c r="J881" s="96" t="s">
        <v>4775</v>
      </c>
      <c r="K881" s="96" t="s">
        <v>510</v>
      </c>
      <c r="W881" s="213">
        <v>881</v>
      </c>
      <c r="X881" s="214">
        <v>14</v>
      </c>
    </row>
    <row r="882" spans="1:24" x14ac:dyDescent="0.25">
      <c r="A882" s="97" t="s">
        <v>2240</v>
      </c>
      <c r="B882" s="98" t="s">
        <v>5720</v>
      </c>
      <c r="C882" s="97">
        <v>0</v>
      </c>
      <c r="D882" s="99" t="s">
        <v>450</v>
      </c>
      <c r="E882" s="99" t="s">
        <v>5721</v>
      </c>
      <c r="F882" s="99">
        <v>0.25600000000000001</v>
      </c>
      <c r="G882" s="99" t="s">
        <v>5722</v>
      </c>
      <c r="H882" s="99" t="s">
        <v>4415</v>
      </c>
      <c r="I882" s="99" t="s">
        <v>5723</v>
      </c>
      <c r="J882" s="99" t="s">
        <v>5724</v>
      </c>
      <c r="K882" s="99" t="s">
        <v>510</v>
      </c>
      <c r="W882" s="213">
        <v>882</v>
      </c>
      <c r="X882" s="214">
        <v>14</v>
      </c>
    </row>
    <row r="883" spans="1:24" x14ac:dyDescent="0.25">
      <c r="A883" s="94" t="s">
        <v>2240</v>
      </c>
      <c r="B883" s="95" t="s">
        <v>7381</v>
      </c>
      <c r="C883" s="94">
        <v>0</v>
      </c>
      <c r="D883" s="96" t="s">
        <v>2471</v>
      </c>
      <c r="E883" s="96" t="s">
        <v>7382</v>
      </c>
      <c r="F883" s="96">
        <v>0.217</v>
      </c>
      <c r="G883" s="96" t="s">
        <v>7383</v>
      </c>
      <c r="H883" s="96" t="s">
        <v>7384</v>
      </c>
      <c r="I883" s="96" t="s">
        <v>7385</v>
      </c>
      <c r="J883" s="96" t="s">
        <v>7386</v>
      </c>
      <c r="K883" s="96" t="s">
        <v>510</v>
      </c>
      <c r="W883" s="213">
        <v>883</v>
      </c>
      <c r="X883" s="214">
        <v>14</v>
      </c>
    </row>
    <row r="884" spans="1:24" x14ac:dyDescent="0.25">
      <c r="A884" s="97" t="s">
        <v>2240</v>
      </c>
      <c r="B884" s="131" t="s">
        <v>7920</v>
      </c>
      <c r="C884" s="97">
        <v>0</v>
      </c>
      <c r="D884" s="99" t="s">
        <v>2854</v>
      </c>
      <c r="E884" s="99" t="s">
        <v>2292</v>
      </c>
      <c r="F884" s="99">
        <v>0.127</v>
      </c>
      <c r="G884" s="99" t="s">
        <v>2293</v>
      </c>
      <c r="H884" s="99" t="s">
        <v>2294</v>
      </c>
      <c r="I884" s="99" t="s">
        <v>2295</v>
      </c>
      <c r="J884" s="99" t="s">
        <v>2296</v>
      </c>
      <c r="K884" s="99" t="s">
        <v>510</v>
      </c>
      <c r="W884" s="213">
        <v>884</v>
      </c>
      <c r="X884" s="214">
        <v>14</v>
      </c>
    </row>
    <row r="885" spans="1:24" x14ac:dyDescent="0.25">
      <c r="A885" s="94" t="s">
        <v>2240</v>
      </c>
      <c r="B885" s="95" t="s">
        <v>6444</v>
      </c>
      <c r="C885" s="94">
        <v>0</v>
      </c>
      <c r="D885" s="96" t="s">
        <v>3286</v>
      </c>
      <c r="E885" s="96" t="s">
        <v>6445</v>
      </c>
      <c r="F885" s="96">
        <v>0.29699999999999999</v>
      </c>
      <c r="G885" s="96" t="s">
        <v>6446</v>
      </c>
      <c r="H885" s="96" t="s">
        <v>6447</v>
      </c>
      <c r="I885" s="96" t="s">
        <v>6448</v>
      </c>
      <c r="J885" s="96" t="s">
        <v>5947</v>
      </c>
      <c r="K885" s="96" t="s">
        <v>510</v>
      </c>
      <c r="W885" s="213">
        <v>885</v>
      </c>
      <c r="X885" s="214">
        <v>14</v>
      </c>
    </row>
    <row r="886" spans="1:24" x14ac:dyDescent="0.25">
      <c r="A886" s="97" t="s">
        <v>2240</v>
      </c>
      <c r="B886" s="131" t="s">
        <v>7921</v>
      </c>
      <c r="C886" s="97">
        <v>0</v>
      </c>
      <c r="D886" s="99" t="s">
        <v>2367</v>
      </c>
      <c r="E886" s="99" t="s">
        <v>2298</v>
      </c>
      <c r="F886" s="99">
        <v>7.5999999999999998E-2</v>
      </c>
      <c r="G886" s="99" t="s">
        <v>2299</v>
      </c>
      <c r="H886" s="99" t="s">
        <v>2300</v>
      </c>
      <c r="I886" s="99" t="s">
        <v>2301</v>
      </c>
      <c r="J886" s="99" t="s">
        <v>2302</v>
      </c>
      <c r="K886" s="99" t="s">
        <v>9460</v>
      </c>
      <c r="W886" s="213">
        <v>886</v>
      </c>
      <c r="X886" s="214">
        <v>14</v>
      </c>
    </row>
    <row r="887" spans="1:24" x14ac:dyDescent="0.25">
      <c r="A887" s="94" t="s">
        <v>2240</v>
      </c>
      <c r="B887" s="95" t="s">
        <v>6291</v>
      </c>
      <c r="C887" s="94">
        <v>0</v>
      </c>
      <c r="D887" s="96" t="s">
        <v>2094</v>
      </c>
      <c r="E887" s="96" t="s">
        <v>6292</v>
      </c>
      <c r="F887" s="96">
        <v>0.19800000000000001</v>
      </c>
      <c r="G887" s="96" t="s">
        <v>6293</v>
      </c>
      <c r="H887" s="96" t="s">
        <v>6294</v>
      </c>
      <c r="I887" s="96" t="s">
        <v>6295</v>
      </c>
      <c r="J887" s="96" t="s">
        <v>6296</v>
      </c>
      <c r="K887" s="96" t="s">
        <v>510</v>
      </c>
      <c r="W887" s="213">
        <v>887</v>
      </c>
      <c r="X887" s="214">
        <v>14</v>
      </c>
    </row>
    <row r="888" spans="1:24" ht="15" customHeight="1" x14ac:dyDescent="0.25">
      <c r="A888" s="97" t="s">
        <v>2240</v>
      </c>
      <c r="B888" s="131" t="s">
        <v>7959</v>
      </c>
      <c r="C888" s="97">
        <v>0</v>
      </c>
      <c r="D888" s="99" t="s">
        <v>2971</v>
      </c>
      <c r="E888" s="99" t="s">
        <v>2373</v>
      </c>
      <c r="F888" s="99">
        <v>7.5999999999999998E-2</v>
      </c>
      <c r="G888" s="99" t="s">
        <v>2374</v>
      </c>
      <c r="H888" s="99" t="s">
        <v>2375</v>
      </c>
      <c r="I888" s="99" t="s">
        <v>2376</v>
      </c>
      <c r="J888" s="99" t="s">
        <v>2377</v>
      </c>
      <c r="K888" s="99" t="s">
        <v>510</v>
      </c>
      <c r="W888" s="213">
        <v>888</v>
      </c>
      <c r="X888" s="214">
        <v>14</v>
      </c>
    </row>
    <row r="889" spans="1:24" x14ac:dyDescent="0.25">
      <c r="A889" s="94" t="s">
        <v>2240</v>
      </c>
      <c r="B889" s="95" t="s">
        <v>5178</v>
      </c>
      <c r="C889" s="94">
        <v>0</v>
      </c>
      <c r="D889" s="96" t="s">
        <v>4609</v>
      </c>
      <c r="E889" s="96" t="s">
        <v>5179</v>
      </c>
      <c r="F889" s="96">
        <v>0.156</v>
      </c>
      <c r="G889" s="96" t="s">
        <v>5180</v>
      </c>
      <c r="H889" s="96" t="s">
        <v>5181</v>
      </c>
      <c r="I889" s="96" t="s">
        <v>5182</v>
      </c>
      <c r="J889" s="96" t="s">
        <v>5183</v>
      </c>
      <c r="K889" s="96" t="s">
        <v>510</v>
      </c>
      <c r="W889" s="213">
        <v>889</v>
      </c>
      <c r="X889" s="214">
        <v>14</v>
      </c>
    </row>
    <row r="890" spans="1:24" x14ac:dyDescent="0.25">
      <c r="A890" s="97" t="s">
        <v>2240</v>
      </c>
      <c r="B890" s="98" t="s">
        <v>6940</v>
      </c>
      <c r="C890" s="97">
        <v>0</v>
      </c>
      <c r="D890" s="99" t="s">
        <v>3415</v>
      </c>
      <c r="E890" s="99" t="s">
        <v>6941</v>
      </c>
      <c r="F890" s="99">
        <v>0.16700000000000001</v>
      </c>
      <c r="G890" s="99" t="s">
        <v>6942</v>
      </c>
      <c r="H890" s="99" t="s">
        <v>6943</v>
      </c>
      <c r="I890" s="99" t="s">
        <v>6944</v>
      </c>
      <c r="J890" s="99" t="s">
        <v>4625</v>
      </c>
      <c r="K890" s="99" t="s">
        <v>510</v>
      </c>
      <c r="W890" s="213">
        <v>890</v>
      </c>
      <c r="X890" s="214">
        <v>14</v>
      </c>
    </row>
    <row r="891" spans="1:24" ht="14.45" customHeight="1" x14ac:dyDescent="0.25">
      <c r="A891" s="94" t="s">
        <v>2240</v>
      </c>
      <c r="B891" s="128" t="s">
        <v>2344</v>
      </c>
      <c r="C891" s="94">
        <v>2</v>
      </c>
      <c r="D891" s="96" t="s">
        <v>1409</v>
      </c>
      <c r="E891" s="96" t="s">
        <v>2345</v>
      </c>
      <c r="F891" s="96">
        <v>0.22600000000000001</v>
      </c>
      <c r="G891" s="96" t="s">
        <v>2346</v>
      </c>
      <c r="H891" s="96" t="s">
        <v>2347</v>
      </c>
      <c r="I891" s="96" t="s">
        <v>2348</v>
      </c>
      <c r="J891" s="96" t="s">
        <v>2349</v>
      </c>
      <c r="K891" s="96" t="s">
        <v>510</v>
      </c>
      <c r="W891" s="213">
        <v>891</v>
      </c>
      <c r="X891" s="214">
        <v>14</v>
      </c>
    </row>
    <row r="892" spans="1:24" ht="14.45" customHeight="1" x14ac:dyDescent="0.25">
      <c r="A892" s="99" t="s">
        <v>0</v>
      </c>
      <c r="B892" s="97" t="s">
        <v>32</v>
      </c>
      <c r="C892" s="129" t="s">
        <v>2350</v>
      </c>
      <c r="D892" s="99" t="s">
        <v>2351</v>
      </c>
      <c r="E892" s="99" t="s">
        <v>2352</v>
      </c>
      <c r="F892" s="99" t="s">
        <v>510</v>
      </c>
      <c r="G892" s="99" t="s">
        <v>510</v>
      </c>
      <c r="H892" s="109"/>
      <c r="I892" s="109"/>
      <c r="J892" s="109"/>
      <c r="K892" s="99" t="s">
        <v>510</v>
      </c>
      <c r="W892" s="213">
        <v>892</v>
      </c>
      <c r="X892" s="214">
        <v>14</v>
      </c>
    </row>
    <row r="893" spans="1:24" ht="14.45" customHeight="1" x14ac:dyDescent="0.25">
      <c r="A893" s="96" t="s">
        <v>0</v>
      </c>
      <c r="B893" s="94" t="s">
        <v>32</v>
      </c>
      <c r="C893" s="128" t="s">
        <v>2353</v>
      </c>
      <c r="D893" s="96" t="s">
        <v>495</v>
      </c>
      <c r="E893" s="96" t="s">
        <v>2354</v>
      </c>
      <c r="F893" s="96" t="s">
        <v>510</v>
      </c>
      <c r="G893" s="96" t="s">
        <v>510</v>
      </c>
      <c r="H893" s="110"/>
      <c r="I893" s="110"/>
      <c r="J893" s="110"/>
      <c r="K893" s="96" t="s">
        <v>510</v>
      </c>
      <c r="W893" s="213">
        <v>893</v>
      </c>
      <c r="X893" s="214">
        <v>14</v>
      </c>
    </row>
    <row r="894" spans="1:24" x14ac:dyDescent="0.25">
      <c r="A894" s="97" t="s">
        <v>2240</v>
      </c>
      <c r="B894" s="98" t="s">
        <v>4656</v>
      </c>
      <c r="C894" s="97">
        <v>0</v>
      </c>
      <c r="D894" s="99" t="s">
        <v>4657</v>
      </c>
      <c r="E894" s="99" t="s">
        <v>2345</v>
      </c>
      <c r="F894" s="99">
        <v>7.0000000000000007E-2</v>
      </c>
      <c r="G894" s="99" t="s">
        <v>4658</v>
      </c>
      <c r="H894" s="99" t="s">
        <v>4659</v>
      </c>
      <c r="I894" s="99" t="s">
        <v>4660</v>
      </c>
      <c r="J894" s="99" t="s">
        <v>4661</v>
      </c>
      <c r="K894" s="99" t="s">
        <v>510</v>
      </c>
      <c r="W894" s="213">
        <v>894</v>
      </c>
      <c r="X894" s="214">
        <v>14</v>
      </c>
    </row>
    <row r="895" spans="1:24" ht="14.45" customHeight="1" x14ac:dyDescent="0.25">
      <c r="A895" s="94" t="s">
        <v>2240</v>
      </c>
      <c r="B895" s="96" t="s">
        <v>7483</v>
      </c>
      <c r="C895" s="94">
        <v>0</v>
      </c>
      <c r="D895" s="96" t="s">
        <v>312</v>
      </c>
      <c r="E895" s="96" t="s">
        <v>6178</v>
      </c>
      <c r="F895" s="96">
        <v>0.121</v>
      </c>
      <c r="G895" s="96" t="s">
        <v>7484</v>
      </c>
      <c r="H895" s="96" t="s">
        <v>7485</v>
      </c>
      <c r="I895" s="96" t="s">
        <v>7486</v>
      </c>
      <c r="J895" s="96" t="s">
        <v>2765</v>
      </c>
      <c r="K895" s="96" t="s">
        <v>510</v>
      </c>
      <c r="W895" s="213">
        <v>895</v>
      </c>
      <c r="X895" s="214">
        <v>14</v>
      </c>
    </row>
    <row r="896" spans="1:24" x14ac:dyDescent="0.25">
      <c r="A896" s="97" t="s">
        <v>2240</v>
      </c>
      <c r="B896" s="98" t="s">
        <v>6177</v>
      </c>
      <c r="C896" s="97">
        <v>0</v>
      </c>
      <c r="D896" s="99" t="s">
        <v>3403</v>
      </c>
      <c r="E896" s="99" t="s">
        <v>6178</v>
      </c>
      <c r="F896" s="99">
        <v>0.114</v>
      </c>
      <c r="G896" s="99" t="s">
        <v>6179</v>
      </c>
      <c r="H896" s="99" t="s">
        <v>6180</v>
      </c>
      <c r="I896" s="99" t="s">
        <v>6181</v>
      </c>
      <c r="J896" s="99" t="s">
        <v>6182</v>
      </c>
      <c r="K896" s="99" t="s">
        <v>510</v>
      </c>
      <c r="W896" s="213">
        <v>896</v>
      </c>
      <c r="X896" s="214">
        <v>14</v>
      </c>
    </row>
    <row r="897" spans="1:24" ht="14.45" customHeight="1" x14ac:dyDescent="0.25">
      <c r="A897" s="107" t="s">
        <v>2303</v>
      </c>
      <c r="B897" s="107" t="s">
        <v>2304</v>
      </c>
      <c r="C897" s="106">
        <v>5</v>
      </c>
      <c r="D897" s="105" t="s">
        <v>2305</v>
      </c>
      <c r="E897" s="105" t="s">
        <v>2306</v>
      </c>
      <c r="F897" s="105">
        <v>0.249</v>
      </c>
      <c r="G897" s="105" t="s">
        <v>2307</v>
      </c>
      <c r="H897" s="105" t="s">
        <v>2308</v>
      </c>
      <c r="I897" s="105" t="s">
        <v>2309</v>
      </c>
      <c r="J897" s="105" t="s">
        <v>2310</v>
      </c>
      <c r="K897" s="105" t="s">
        <v>9550</v>
      </c>
      <c r="W897" s="213">
        <v>897</v>
      </c>
      <c r="X897" s="214">
        <v>13</v>
      </c>
    </row>
    <row r="898" spans="1:24" ht="14.45" customHeight="1" x14ac:dyDescent="0.25">
      <c r="A898" s="104" t="s">
        <v>0</v>
      </c>
      <c r="B898" s="103" t="s">
        <v>32</v>
      </c>
      <c r="C898" s="102" t="s">
        <v>2311</v>
      </c>
      <c r="D898" s="104" t="s">
        <v>2312</v>
      </c>
      <c r="E898" s="104" t="s">
        <v>2313</v>
      </c>
      <c r="F898" s="104">
        <v>0</v>
      </c>
      <c r="G898" s="104" t="s">
        <v>2314</v>
      </c>
      <c r="H898" s="111"/>
      <c r="I898" s="111"/>
      <c r="J898" s="111"/>
      <c r="K898" s="104" t="s">
        <v>9551</v>
      </c>
      <c r="W898" s="213">
        <v>898</v>
      </c>
      <c r="X898" s="214">
        <v>13</v>
      </c>
    </row>
    <row r="899" spans="1:24" x14ac:dyDescent="0.25">
      <c r="A899" s="105" t="s">
        <v>0</v>
      </c>
      <c r="B899" s="106" t="s">
        <v>32</v>
      </c>
      <c r="C899" s="107" t="s">
        <v>2315</v>
      </c>
      <c r="D899" s="105" t="s">
        <v>64</v>
      </c>
      <c r="E899" s="105" t="s">
        <v>2316</v>
      </c>
      <c r="F899" s="105">
        <v>6.0000000000000001E-3</v>
      </c>
      <c r="G899" s="105" t="s">
        <v>510</v>
      </c>
      <c r="H899" s="108"/>
      <c r="I899" s="108"/>
      <c r="J899" s="108"/>
      <c r="K899" s="105" t="s">
        <v>510</v>
      </c>
      <c r="W899" s="213">
        <v>899</v>
      </c>
      <c r="X899" s="214">
        <v>13</v>
      </c>
    </row>
    <row r="900" spans="1:24" ht="14.45" customHeight="1" x14ac:dyDescent="0.25">
      <c r="A900" s="104" t="s">
        <v>0</v>
      </c>
      <c r="B900" s="103" t="s">
        <v>32</v>
      </c>
      <c r="C900" s="102" t="s">
        <v>2317</v>
      </c>
      <c r="D900" s="104" t="s">
        <v>2067</v>
      </c>
      <c r="E900" s="104" t="s">
        <v>2318</v>
      </c>
      <c r="F900" s="104">
        <v>2E-3</v>
      </c>
      <c r="G900" s="104" t="s">
        <v>510</v>
      </c>
      <c r="H900" s="111"/>
      <c r="I900" s="111"/>
      <c r="J900" s="111"/>
      <c r="K900" s="104" t="s">
        <v>9552</v>
      </c>
      <c r="W900" s="213">
        <v>900</v>
      </c>
      <c r="X900" s="214">
        <v>13</v>
      </c>
    </row>
    <row r="901" spans="1:24" ht="14.45" customHeight="1" x14ac:dyDescent="0.25">
      <c r="A901" s="105" t="s">
        <v>0</v>
      </c>
      <c r="B901" s="106" t="s">
        <v>32</v>
      </c>
      <c r="C901" s="107" t="s">
        <v>2319</v>
      </c>
      <c r="D901" s="105" t="s">
        <v>1817</v>
      </c>
      <c r="E901" s="105" t="s">
        <v>2320</v>
      </c>
      <c r="F901" s="105">
        <v>3.0000000000000001E-3</v>
      </c>
      <c r="G901" s="105" t="s">
        <v>510</v>
      </c>
      <c r="H901" s="108"/>
      <c r="I901" s="108"/>
      <c r="J901" s="108"/>
      <c r="K901" s="105" t="s">
        <v>510</v>
      </c>
      <c r="W901" s="213">
        <v>901</v>
      </c>
      <c r="X901" s="214">
        <v>13</v>
      </c>
    </row>
    <row r="902" spans="1:24" ht="14.45" customHeight="1" x14ac:dyDescent="0.25">
      <c r="A902" s="104" t="s">
        <v>0</v>
      </c>
      <c r="B902" s="103" t="s">
        <v>32</v>
      </c>
      <c r="C902" s="102" t="s">
        <v>2321</v>
      </c>
      <c r="D902" s="104" t="s">
        <v>391</v>
      </c>
      <c r="E902" s="104" t="s">
        <v>2322</v>
      </c>
      <c r="F902" s="104">
        <v>6.0000000000000001E-3</v>
      </c>
      <c r="G902" s="104" t="s">
        <v>510</v>
      </c>
      <c r="H902" s="111"/>
      <c r="I902" s="111"/>
      <c r="J902" s="111"/>
      <c r="K902" s="104" t="s">
        <v>9553</v>
      </c>
      <c r="W902" s="213">
        <v>902</v>
      </c>
      <c r="X902" s="214">
        <v>13</v>
      </c>
    </row>
    <row r="903" spans="1:24" x14ac:dyDescent="0.25">
      <c r="A903" s="94" t="s">
        <v>2240</v>
      </c>
      <c r="B903" s="95" t="s">
        <v>6576</v>
      </c>
      <c r="C903" s="94">
        <v>0</v>
      </c>
      <c r="D903" s="96" t="s">
        <v>3161</v>
      </c>
      <c r="E903" s="96" t="s">
        <v>6577</v>
      </c>
      <c r="F903" s="96">
        <v>0.16900000000000001</v>
      </c>
      <c r="G903" s="96" t="s">
        <v>6578</v>
      </c>
      <c r="H903" s="96" t="s">
        <v>6579</v>
      </c>
      <c r="I903" s="96" t="s">
        <v>6580</v>
      </c>
      <c r="J903" s="96" t="s">
        <v>6581</v>
      </c>
      <c r="K903" s="96" t="s">
        <v>510</v>
      </c>
      <c r="W903" s="213">
        <v>903</v>
      </c>
      <c r="X903" s="214">
        <v>14</v>
      </c>
    </row>
    <row r="904" spans="1:24" x14ac:dyDescent="0.25">
      <c r="A904" s="97" t="s">
        <v>2240</v>
      </c>
      <c r="B904" s="98" t="s">
        <v>3926</v>
      </c>
      <c r="C904" s="97">
        <v>0</v>
      </c>
      <c r="D904" s="99" t="s">
        <v>469</v>
      </c>
      <c r="E904" s="99" t="s">
        <v>3927</v>
      </c>
      <c r="F904" s="99">
        <v>0.24</v>
      </c>
      <c r="G904" s="99" t="s">
        <v>3928</v>
      </c>
      <c r="H904" s="99" t="s">
        <v>3929</v>
      </c>
      <c r="I904" s="99" t="s">
        <v>3930</v>
      </c>
      <c r="J904" s="99" t="s">
        <v>3931</v>
      </c>
      <c r="K904" s="99" t="s">
        <v>510</v>
      </c>
      <c r="W904" s="213">
        <v>904</v>
      </c>
      <c r="X904" s="214">
        <v>14</v>
      </c>
    </row>
    <row r="905" spans="1:24" x14ac:dyDescent="0.25">
      <c r="A905" s="94" t="s">
        <v>2240</v>
      </c>
      <c r="B905" s="95" t="s">
        <v>6455</v>
      </c>
      <c r="C905" s="94">
        <v>0</v>
      </c>
      <c r="D905" s="96" t="s">
        <v>2351</v>
      </c>
      <c r="E905" s="96" t="s">
        <v>6456</v>
      </c>
      <c r="F905" s="96">
        <v>0.30099999999999999</v>
      </c>
      <c r="G905" s="96" t="s">
        <v>6457</v>
      </c>
      <c r="H905" s="96" t="s">
        <v>6458</v>
      </c>
      <c r="I905" s="96" t="s">
        <v>6459</v>
      </c>
      <c r="J905" s="96" t="s">
        <v>6460</v>
      </c>
      <c r="K905" s="96" t="s">
        <v>510</v>
      </c>
      <c r="W905" s="213">
        <v>905</v>
      </c>
      <c r="X905" s="214">
        <v>14</v>
      </c>
    </row>
    <row r="906" spans="1:24" x14ac:dyDescent="0.25">
      <c r="A906" s="97" t="s">
        <v>2240</v>
      </c>
      <c r="B906" s="98" t="s">
        <v>4985</v>
      </c>
      <c r="C906" s="97">
        <v>0</v>
      </c>
      <c r="D906" s="99" t="s">
        <v>4535</v>
      </c>
      <c r="E906" s="99" t="s">
        <v>4986</v>
      </c>
      <c r="F906" s="99">
        <v>0.22</v>
      </c>
      <c r="G906" s="99" t="s">
        <v>4987</v>
      </c>
      <c r="H906" s="99" t="s">
        <v>4988</v>
      </c>
      <c r="I906" s="99" t="s">
        <v>4989</v>
      </c>
      <c r="J906" s="99" t="s">
        <v>4990</v>
      </c>
      <c r="K906" s="99" t="s">
        <v>510</v>
      </c>
      <c r="W906" s="213">
        <v>906</v>
      </c>
      <c r="X906" s="214">
        <v>14</v>
      </c>
    </row>
    <row r="907" spans="1:24" x14ac:dyDescent="0.25">
      <c r="A907" s="94" t="s">
        <v>2240</v>
      </c>
      <c r="B907" s="95" t="s">
        <v>6979</v>
      </c>
      <c r="C907" s="94">
        <v>0</v>
      </c>
      <c r="D907" s="96" t="s">
        <v>3206</v>
      </c>
      <c r="E907" s="96" t="s">
        <v>4986</v>
      </c>
      <c r="F907" s="96">
        <v>0.27100000000000002</v>
      </c>
      <c r="G907" s="96" t="s">
        <v>4321</v>
      </c>
      <c r="H907" s="96" t="s">
        <v>6980</v>
      </c>
      <c r="I907" s="96" t="s">
        <v>6981</v>
      </c>
      <c r="J907" s="96" t="s">
        <v>6982</v>
      </c>
      <c r="K907" s="96" t="s">
        <v>510</v>
      </c>
      <c r="W907" s="213">
        <v>907</v>
      </c>
      <c r="X907" s="214">
        <v>14</v>
      </c>
    </row>
    <row r="908" spans="1:24" x14ac:dyDescent="0.25">
      <c r="A908" s="97" t="s">
        <v>2240</v>
      </c>
      <c r="B908" s="98" t="s">
        <v>4622</v>
      </c>
      <c r="C908" s="97">
        <v>0</v>
      </c>
      <c r="D908" s="99" t="s">
        <v>947</v>
      </c>
      <c r="E908" s="99" t="s">
        <v>4623</v>
      </c>
      <c r="F908" s="99">
        <v>0.112</v>
      </c>
      <c r="G908" s="99" t="s">
        <v>4624</v>
      </c>
      <c r="H908" s="99" t="s">
        <v>4625</v>
      </c>
      <c r="I908" s="99" t="s">
        <v>4626</v>
      </c>
      <c r="J908" s="99" t="s">
        <v>4627</v>
      </c>
      <c r="K908" s="99" t="s">
        <v>510</v>
      </c>
      <c r="W908" s="213">
        <v>908</v>
      </c>
      <c r="X908" s="214">
        <v>14</v>
      </c>
    </row>
    <row r="909" spans="1:24" x14ac:dyDescent="0.25">
      <c r="A909" s="94" t="s">
        <v>2240</v>
      </c>
      <c r="B909" s="95" t="s">
        <v>6345</v>
      </c>
      <c r="C909" s="94">
        <v>0</v>
      </c>
      <c r="D909" s="96" t="s">
        <v>5497</v>
      </c>
      <c r="E909" s="96" t="s">
        <v>6346</v>
      </c>
      <c r="F909" s="96">
        <v>0.26700000000000002</v>
      </c>
      <c r="G909" s="96" t="s">
        <v>6347</v>
      </c>
      <c r="H909" s="96" t="s">
        <v>6348</v>
      </c>
      <c r="I909" s="96" t="s">
        <v>6349</v>
      </c>
      <c r="J909" s="96" t="s">
        <v>6350</v>
      </c>
      <c r="K909" s="96" t="s">
        <v>510</v>
      </c>
      <c r="W909" s="213">
        <v>909</v>
      </c>
      <c r="X909" s="214">
        <v>14</v>
      </c>
    </row>
    <row r="910" spans="1:24" x14ac:dyDescent="0.25">
      <c r="A910" s="97" t="s">
        <v>2240</v>
      </c>
      <c r="B910" s="131" t="s">
        <v>7922</v>
      </c>
      <c r="C910" s="97">
        <v>0</v>
      </c>
      <c r="D910" s="99" t="s">
        <v>2361</v>
      </c>
      <c r="E910" s="99" t="s">
        <v>2362</v>
      </c>
      <c r="F910" s="99">
        <v>2.5000000000000001E-2</v>
      </c>
      <c r="G910" s="99" t="s">
        <v>2363</v>
      </c>
      <c r="H910" s="99" t="s">
        <v>2364</v>
      </c>
      <c r="I910" s="99" t="s">
        <v>2365</v>
      </c>
      <c r="J910" s="99" t="s">
        <v>2366</v>
      </c>
      <c r="K910" s="99" t="s">
        <v>510</v>
      </c>
      <c r="W910" s="213">
        <v>910</v>
      </c>
      <c r="X910" s="214">
        <v>14</v>
      </c>
    </row>
    <row r="911" spans="1:24" x14ac:dyDescent="0.25">
      <c r="A911" s="94" t="s">
        <v>2240</v>
      </c>
      <c r="B911" s="130" t="s">
        <v>7960</v>
      </c>
      <c r="C911" s="94">
        <v>0</v>
      </c>
      <c r="D911" s="96" t="s">
        <v>2946</v>
      </c>
      <c r="E911" s="96" t="s">
        <v>2356</v>
      </c>
      <c r="F911" s="96">
        <v>0.09</v>
      </c>
      <c r="G911" s="96" t="s">
        <v>2357</v>
      </c>
      <c r="H911" s="96" t="s">
        <v>2358</v>
      </c>
      <c r="I911" s="96" t="s">
        <v>2359</v>
      </c>
      <c r="J911" s="96" t="s">
        <v>2360</v>
      </c>
      <c r="K911" s="96" t="s">
        <v>510</v>
      </c>
      <c r="W911" s="213">
        <v>911</v>
      </c>
      <c r="X911" s="214">
        <v>14</v>
      </c>
    </row>
    <row r="912" spans="1:24" x14ac:dyDescent="0.25">
      <c r="A912" s="97" t="s">
        <v>2240</v>
      </c>
      <c r="B912" s="98" t="s">
        <v>5604</v>
      </c>
      <c r="C912" s="97">
        <v>0</v>
      </c>
      <c r="D912" s="99" t="s">
        <v>4252</v>
      </c>
      <c r="E912" s="99" t="s">
        <v>2356</v>
      </c>
      <c r="F912" s="99">
        <v>0.22700000000000001</v>
      </c>
      <c r="G912" s="99" t="s">
        <v>5605</v>
      </c>
      <c r="H912" s="99" t="s">
        <v>5606</v>
      </c>
      <c r="I912" s="99" t="s">
        <v>5607</v>
      </c>
      <c r="J912" s="99" t="s">
        <v>5608</v>
      </c>
      <c r="K912" s="99" t="s">
        <v>510</v>
      </c>
      <c r="W912" s="213">
        <v>912</v>
      </c>
      <c r="X912" s="214">
        <v>14</v>
      </c>
    </row>
    <row r="913" spans="1:24" x14ac:dyDescent="0.25">
      <c r="A913" s="94" t="s">
        <v>2240</v>
      </c>
      <c r="B913" s="95" t="s">
        <v>5415</v>
      </c>
      <c r="C913" s="94">
        <v>0</v>
      </c>
      <c r="D913" s="96" t="s">
        <v>4718</v>
      </c>
      <c r="E913" s="96" t="s">
        <v>5416</v>
      </c>
      <c r="F913" s="96">
        <v>0.14599999999999999</v>
      </c>
      <c r="G913" s="96" t="s">
        <v>5417</v>
      </c>
      <c r="H913" s="96" t="s">
        <v>5418</v>
      </c>
      <c r="I913" s="96" t="s">
        <v>5419</v>
      </c>
      <c r="J913" s="96" t="s">
        <v>5420</v>
      </c>
      <c r="K913" s="96" t="s">
        <v>510</v>
      </c>
      <c r="W913" s="213">
        <v>913</v>
      </c>
      <c r="X913" s="214">
        <v>14</v>
      </c>
    </row>
    <row r="914" spans="1:24" x14ac:dyDescent="0.25">
      <c r="A914" s="97" t="s">
        <v>2240</v>
      </c>
      <c r="B914" s="98" t="s">
        <v>5855</v>
      </c>
      <c r="C914" s="97">
        <v>0</v>
      </c>
      <c r="D914" s="99" t="s">
        <v>4025</v>
      </c>
      <c r="E914" s="99" t="s">
        <v>5856</v>
      </c>
      <c r="F914" s="99">
        <v>0.13600000000000001</v>
      </c>
      <c r="G914" s="99" t="s">
        <v>5845</v>
      </c>
      <c r="H914" s="99" t="s">
        <v>5857</v>
      </c>
      <c r="I914" s="99" t="s">
        <v>5858</v>
      </c>
      <c r="J914" s="99" t="s">
        <v>5859</v>
      </c>
      <c r="K914" s="99" t="s">
        <v>510</v>
      </c>
      <c r="W914" s="213">
        <v>914</v>
      </c>
      <c r="X914" s="214">
        <v>14</v>
      </c>
    </row>
    <row r="915" spans="1:24" x14ac:dyDescent="0.25">
      <c r="A915" s="94" t="s">
        <v>2240</v>
      </c>
      <c r="B915" s="130" t="s">
        <v>7923</v>
      </c>
      <c r="C915" s="94">
        <v>0</v>
      </c>
      <c r="D915" s="96" t="s">
        <v>137</v>
      </c>
      <c r="E915" s="96" t="s">
        <v>2368</v>
      </c>
      <c r="F915" s="96">
        <v>0.20699999999999999</v>
      </c>
      <c r="G915" s="96" t="s">
        <v>2369</v>
      </c>
      <c r="H915" s="96" t="s">
        <v>2370</v>
      </c>
      <c r="I915" s="96" t="s">
        <v>2371</v>
      </c>
      <c r="J915" s="96" t="s">
        <v>2372</v>
      </c>
      <c r="K915" s="96" t="s">
        <v>510</v>
      </c>
      <c r="W915" s="213">
        <v>915</v>
      </c>
      <c r="X915" s="214">
        <v>14</v>
      </c>
    </row>
    <row r="916" spans="1:24" x14ac:dyDescent="0.25">
      <c r="A916" s="97" t="s">
        <v>2240</v>
      </c>
      <c r="B916" s="98" t="s">
        <v>6647</v>
      </c>
      <c r="C916" s="97">
        <v>0</v>
      </c>
      <c r="D916" s="99" t="s">
        <v>5409</v>
      </c>
      <c r="E916" s="99" t="s">
        <v>6648</v>
      </c>
      <c r="F916" s="99">
        <v>0.17100000000000001</v>
      </c>
      <c r="G916" s="99" t="s">
        <v>6649</v>
      </c>
      <c r="H916" s="99" t="s">
        <v>6650</v>
      </c>
      <c r="I916" s="99" t="s">
        <v>6651</v>
      </c>
      <c r="J916" s="99" t="s">
        <v>6652</v>
      </c>
      <c r="K916" s="99" t="s">
        <v>510</v>
      </c>
      <c r="W916" s="213">
        <v>916</v>
      </c>
      <c r="X916" s="214">
        <v>14</v>
      </c>
    </row>
    <row r="917" spans="1:24" x14ac:dyDescent="0.25">
      <c r="A917" s="94" t="s">
        <v>2240</v>
      </c>
      <c r="B917" s="95" t="s">
        <v>4650</v>
      </c>
      <c r="C917" s="94">
        <v>0</v>
      </c>
      <c r="D917" s="96" t="s">
        <v>4651</v>
      </c>
      <c r="E917" s="96" t="s">
        <v>4652</v>
      </c>
      <c r="F917" s="96">
        <v>0.153</v>
      </c>
      <c r="G917" s="96" t="s">
        <v>1100</v>
      </c>
      <c r="H917" s="96" t="s">
        <v>4653</v>
      </c>
      <c r="I917" s="96" t="s">
        <v>4654</v>
      </c>
      <c r="J917" s="96" t="s">
        <v>4655</v>
      </c>
      <c r="K917" s="96" t="s">
        <v>510</v>
      </c>
      <c r="W917" s="213">
        <v>917</v>
      </c>
      <c r="X917" s="214">
        <v>14</v>
      </c>
    </row>
    <row r="918" spans="1:24" ht="14.45" customHeight="1" x14ac:dyDescent="0.25">
      <c r="A918" s="97" t="s">
        <v>2240</v>
      </c>
      <c r="B918" s="129" t="s">
        <v>2378</v>
      </c>
      <c r="C918" s="97">
        <v>1</v>
      </c>
      <c r="D918" s="99" t="s">
        <v>2379</v>
      </c>
      <c r="E918" s="99" t="s">
        <v>2380</v>
      </c>
      <c r="F918" s="99">
        <v>0.28100000000000003</v>
      </c>
      <c r="G918" s="99" t="s">
        <v>2381</v>
      </c>
      <c r="H918" s="99" t="s">
        <v>2382</v>
      </c>
      <c r="I918" s="99" t="s">
        <v>2383</v>
      </c>
      <c r="J918" s="99" t="s">
        <v>2384</v>
      </c>
      <c r="K918" s="99" t="s">
        <v>9554</v>
      </c>
      <c r="W918" s="213">
        <v>918</v>
      </c>
      <c r="X918" s="214">
        <v>14</v>
      </c>
    </row>
    <row r="919" spans="1:24" ht="14.45" customHeight="1" x14ac:dyDescent="0.25">
      <c r="A919" s="96" t="s">
        <v>0</v>
      </c>
      <c r="B919" s="94" t="s">
        <v>32</v>
      </c>
      <c r="C919" s="130" t="s">
        <v>2385</v>
      </c>
      <c r="D919" s="96" t="s">
        <v>1848</v>
      </c>
      <c r="E919" s="96" t="s">
        <v>2386</v>
      </c>
      <c r="F919" s="96" t="s">
        <v>510</v>
      </c>
      <c r="G919" s="96" t="s">
        <v>510</v>
      </c>
      <c r="H919" s="110"/>
      <c r="I919" s="110"/>
      <c r="J919" s="110"/>
      <c r="K919" s="96" t="s">
        <v>9522</v>
      </c>
      <c r="W919" s="213">
        <v>919</v>
      </c>
      <c r="X919" s="214">
        <v>14</v>
      </c>
    </row>
    <row r="920" spans="1:24" x14ac:dyDescent="0.25">
      <c r="A920" s="97" t="s">
        <v>2240</v>
      </c>
      <c r="B920" s="98" t="s">
        <v>5637</v>
      </c>
      <c r="C920" s="97">
        <v>0</v>
      </c>
      <c r="D920" s="99" t="s">
        <v>4718</v>
      </c>
      <c r="E920" s="99" t="s">
        <v>5638</v>
      </c>
      <c r="F920" s="99">
        <v>0.187</v>
      </c>
      <c r="G920" s="99" t="s">
        <v>4658</v>
      </c>
      <c r="H920" s="99" t="s">
        <v>5639</v>
      </c>
      <c r="I920" s="99" t="s">
        <v>3318</v>
      </c>
      <c r="J920" s="99" t="s">
        <v>5640</v>
      </c>
      <c r="K920" s="99" t="s">
        <v>510</v>
      </c>
      <c r="W920" s="213">
        <v>920</v>
      </c>
      <c r="X920" s="214">
        <v>14</v>
      </c>
    </row>
    <row r="921" spans="1:24" x14ac:dyDescent="0.25">
      <c r="A921" s="94" t="s">
        <v>2240</v>
      </c>
      <c r="B921" s="95" t="s">
        <v>4540</v>
      </c>
      <c r="C921" s="94">
        <v>0</v>
      </c>
      <c r="D921" s="96" t="s">
        <v>4541</v>
      </c>
      <c r="E921" s="96" t="s">
        <v>4542</v>
      </c>
      <c r="F921" s="96">
        <v>0.125</v>
      </c>
      <c r="G921" s="96" t="s">
        <v>4543</v>
      </c>
      <c r="H921" s="96" t="s">
        <v>4544</v>
      </c>
      <c r="I921" s="96" t="s">
        <v>4545</v>
      </c>
      <c r="J921" s="96" t="s">
        <v>4546</v>
      </c>
      <c r="K921" s="96" t="s">
        <v>510</v>
      </c>
      <c r="W921" s="213">
        <v>921</v>
      </c>
      <c r="X921" s="214">
        <v>14</v>
      </c>
    </row>
    <row r="922" spans="1:24" ht="15" customHeight="1" x14ac:dyDescent="0.25">
      <c r="A922" s="97" t="s">
        <v>2240</v>
      </c>
      <c r="B922" s="98" t="s">
        <v>6333</v>
      </c>
      <c r="C922" s="97">
        <v>0</v>
      </c>
      <c r="D922" s="99" t="s">
        <v>2094</v>
      </c>
      <c r="E922" s="99" t="s">
        <v>6334</v>
      </c>
      <c r="F922" s="99">
        <v>0.192</v>
      </c>
      <c r="G922" s="99" t="s">
        <v>6335</v>
      </c>
      <c r="H922" s="99" t="s">
        <v>6336</v>
      </c>
      <c r="I922" s="99" t="s">
        <v>6337</v>
      </c>
      <c r="J922" s="99" t="s">
        <v>6338</v>
      </c>
      <c r="K922" s="99" t="s">
        <v>510</v>
      </c>
      <c r="W922" s="213">
        <v>922</v>
      </c>
      <c r="X922" s="214">
        <v>14</v>
      </c>
    </row>
    <row r="923" spans="1:24" x14ac:dyDescent="0.25">
      <c r="A923" s="94" t="s">
        <v>2240</v>
      </c>
      <c r="B923" s="95" t="s">
        <v>5122</v>
      </c>
      <c r="C923" s="94">
        <v>0</v>
      </c>
      <c r="D923" s="96" t="s">
        <v>4616</v>
      </c>
      <c r="E923" s="96" t="s">
        <v>5123</v>
      </c>
      <c r="F923" s="96">
        <v>0.185</v>
      </c>
      <c r="G923" s="96" t="s">
        <v>2335</v>
      </c>
      <c r="H923" s="96" t="s">
        <v>5124</v>
      </c>
      <c r="I923" s="96" t="s">
        <v>5125</v>
      </c>
      <c r="J923" s="96" t="s">
        <v>5126</v>
      </c>
      <c r="K923" s="96" t="s">
        <v>510</v>
      </c>
      <c r="W923" s="213">
        <v>923</v>
      </c>
      <c r="X923" s="214">
        <v>14</v>
      </c>
    </row>
    <row r="924" spans="1:24" x14ac:dyDescent="0.25">
      <c r="A924" s="97" t="s">
        <v>2240</v>
      </c>
      <c r="B924" s="98" t="s">
        <v>7231</v>
      </c>
      <c r="C924" s="97">
        <v>0</v>
      </c>
      <c r="D924" s="99" t="s">
        <v>293</v>
      </c>
      <c r="E924" s="99" t="s">
        <v>5123</v>
      </c>
      <c r="F924" s="99">
        <v>0.218</v>
      </c>
      <c r="G924" s="99" t="s">
        <v>7232</v>
      </c>
      <c r="H924" s="99" t="s">
        <v>7233</v>
      </c>
      <c r="I924" s="99" t="s">
        <v>7234</v>
      </c>
      <c r="J924" s="99" t="s">
        <v>7235</v>
      </c>
      <c r="K924" s="99" t="s">
        <v>510</v>
      </c>
      <c r="W924" s="213">
        <v>924</v>
      </c>
      <c r="X924" s="214">
        <v>14</v>
      </c>
    </row>
    <row r="925" spans="1:24" x14ac:dyDescent="0.25">
      <c r="A925" s="94" t="s">
        <v>2240</v>
      </c>
      <c r="B925" s="95" t="s">
        <v>7236</v>
      </c>
      <c r="C925" s="94">
        <v>0</v>
      </c>
      <c r="D925" s="96" t="s">
        <v>1146</v>
      </c>
      <c r="E925" s="96" t="s">
        <v>7237</v>
      </c>
      <c r="F925" s="96">
        <v>0.156</v>
      </c>
      <c r="G925" s="96" t="s">
        <v>2140</v>
      </c>
      <c r="H925" s="96" t="s">
        <v>7238</v>
      </c>
      <c r="I925" s="96" t="s">
        <v>7239</v>
      </c>
      <c r="J925" s="96" t="s">
        <v>6493</v>
      </c>
      <c r="K925" s="96" t="s">
        <v>510</v>
      </c>
      <c r="W925" s="213">
        <v>925</v>
      </c>
      <c r="X925" s="214">
        <v>14</v>
      </c>
    </row>
    <row r="926" spans="1:24" x14ac:dyDescent="0.25">
      <c r="A926" s="97" t="s">
        <v>2240</v>
      </c>
      <c r="B926" s="98" t="s">
        <v>7438</v>
      </c>
      <c r="C926" s="97">
        <v>0</v>
      </c>
      <c r="D926" s="99" t="s">
        <v>404</v>
      </c>
      <c r="E926" s="99" t="s">
        <v>7439</v>
      </c>
      <c r="F926" s="99">
        <v>0.28499999999999998</v>
      </c>
      <c r="G926" s="99" t="s">
        <v>7440</v>
      </c>
      <c r="H926" s="99" t="s">
        <v>7441</v>
      </c>
      <c r="I926" s="99" t="s">
        <v>7442</v>
      </c>
      <c r="J926" s="99" t="s">
        <v>7443</v>
      </c>
      <c r="K926" s="99" t="s">
        <v>510</v>
      </c>
      <c r="W926" s="213">
        <v>926</v>
      </c>
      <c r="X926" s="214">
        <v>14</v>
      </c>
    </row>
    <row r="927" spans="1:24" x14ac:dyDescent="0.25">
      <c r="A927" s="94" t="s">
        <v>2240</v>
      </c>
      <c r="B927" s="95" t="s">
        <v>5020</v>
      </c>
      <c r="C927" s="94">
        <v>0</v>
      </c>
      <c r="D927" s="96" t="s">
        <v>5021</v>
      </c>
      <c r="E927" s="96" t="s">
        <v>5022</v>
      </c>
      <c r="F927" s="96">
        <v>0.32200000000000001</v>
      </c>
      <c r="G927" s="96" t="s">
        <v>5023</v>
      </c>
      <c r="H927" s="96" t="s">
        <v>5024</v>
      </c>
      <c r="I927" s="96" t="s">
        <v>5025</v>
      </c>
      <c r="J927" s="96" t="s">
        <v>5026</v>
      </c>
      <c r="K927" s="96" t="s">
        <v>510</v>
      </c>
      <c r="W927" s="213">
        <v>927</v>
      </c>
      <c r="X927" s="214">
        <v>14</v>
      </c>
    </row>
    <row r="928" spans="1:24" x14ac:dyDescent="0.25">
      <c r="A928" s="97" t="s">
        <v>2240</v>
      </c>
      <c r="B928" s="98" t="s">
        <v>4305</v>
      </c>
      <c r="C928" s="97">
        <v>0</v>
      </c>
      <c r="D928" s="99" t="s">
        <v>4283</v>
      </c>
      <c r="E928" s="99" t="s">
        <v>4306</v>
      </c>
      <c r="F928" s="99">
        <v>4.1000000000000002E-2</v>
      </c>
      <c r="G928" s="99" t="s">
        <v>2688</v>
      </c>
      <c r="H928" s="99" t="s">
        <v>2689</v>
      </c>
      <c r="I928" s="99" t="s">
        <v>2690</v>
      </c>
      <c r="J928" s="99" t="s">
        <v>2691</v>
      </c>
      <c r="K928" s="99" t="s">
        <v>510</v>
      </c>
      <c r="W928" s="213">
        <v>928</v>
      </c>
      <c r="X928" s="214">
        <v>14</v>
      </c>
    </row>
    <row r="929" spans="1:24" ht="14.45" customHeight="1" x14ac:dyDescent="0.25">
      <c r="A929" s="94" t="s">
        <v>2240</v>
      </c>
      <c r="B929" s="128" t="s">
        <v>2387</v>
      </c>
      <c r="C929" s="94">
        <v>0</v>
      </c>
      <c r="D929" s="96" t="s">
        <v>2388</v>
      </c>
      <c r="E929" s="96" t="s">
        <v>2389</v>
      </c>
      <c r="F929" s="96">
        <v>0.246</v>
      </c>
      <c r="G929" s="96" t="s">
        <v>2390</v>
      </c>
      <c r="H929" s="96" t="s">
        <v>2391</v>
      </c>
      <c r="I929" s="96" t="s">
        <v>2392</v>
      </c>
      <c r="J929" s="96" t="s">
        <v>2393</v>
      </c>
      <c r="K929" s="96" t="s">
        <v>510</v>
      </c>
      <c r="W929" s="213">
        <v>929</v>
      </c>
      <c r="X929" s="214">
        <v>14</v>
      </c>
    </row>
    <row r="930" spans="1:24" ht="15" customHeight="1" x14ac:dyDescent="0.25">
      <c r="A930" s="97" t="s">
        <v>2240</v>
      </c>
      <c r="B930" s="98" t="s">
        <v>7240</v>
      </c>
      <c r="C930" s="97">
        <v>0</v>
      </c>
      <c r="D930" s="99" t="s">
        <v>3286</v>
      </c>
      <c r="E930" s="99" t="s">
        <v>7241</v>
      </c>
      <c r="F930" s="99">
        <v>2.9000000000000001E-2</v>
      </c>
      <c r="G930" s="99" t="s">
        <v>7242</v>
      </c>
      <c r="H930" s="99" t="s">
        <v>7243</v>
      </c>
      <c r="I930" s="99" t="s">
        <v>7244</v>
      </c>
      <c r="J930" s="99" t="s">
        <v>7245</v>
      </c>
      <c r="K930" s="99" t="s">
        <v>510</v>
      </c>
      <c r="W930" s="213">
        <v>930</v>
      </c>
      <c r="X930" s="214">
        <v>14</v>
      </c>
    </row>
    <row r="931" spans="1:24" x14ac:dyDescent="0.25">
      <c r="A931" s="71" t="s">
        <v>1966</v>
      </c>
      <c r="B931" s="73" t="s">
        <v>3932</v>
      </c>
      <c r="C931" s="71">
        <v>0</v>
      </c>
      <c r="D931" s="72" t="s">
        <v>495</v>
      </c>
      <c r="E931" s="72" t="s">
        <v>3933</v>
      </c>
      <c r="F931" s="72">
        <v>0.38</v>
      </c>
      <c r="G931" s="72" t="s">
        <v>3934</v>
      </c>
      <c r="H931" s="72" t="s">
        <v>3935</v>
      </c>
      <c r="I931" s="72" t="s">
        <v>3936</v>
      </c>
      <c r="J931" s="72" t="s">
        <v>3937</v>
      </c>
      <c r="K931" s="72" t="s">
        <v>510</v>
      </c>
      <c r="W931" s="213">
        <v>931</v>
      </c>
      <c r="X931" s="214">
        <v>10</v>
      </c>
    </row>
    <row r="932" spans="1:24" x14ac:dyDescent="0.25">
      <c r="A932" s="97" t="s">
        <v>2240</v>
      </c>
      <c r="B932" s="98" t="s">
        <v>4801</v>
      </c>
      <c r="C932" s="97">
        <v>0</v>
      </c>
      <c r="D932" s="99" t="s">
        <v>4462</v>
      </c>
      <c r="E932" s="99" t="s">
        <v>6525</v>
      </c>
      <c r="F932" s="99">
        <v>0.18099999999999999</v>
      </c>
      <c r="G932" s="99" t="s">
        <v>6526</v>
      </c>
      <c r="H932" s="99" t="s">
        <v>6527</v>
      </c>
      <c r="I932" s="99" t="s">
        <v>6528</v>
      </c>
      <c r="J932" s="99" t="s">
        <v>6529</v>
      </c>
      <c r="K932" s="99" t="s">
        <v>510</v>
      </c>
      <c r="W932" s="213">
        <v>932</v>
      </c>
      <c r="X932" s="214">
        <v>14</v>
      </c>
    </row>
    <row r="933" spans="1:24" x14ac:dyDescent="0.25">
      <c r="A933" s="94" t="s">
        <v>2240</v>
      </c>
      <c r="B933" s="95" t="s">
        <v>6356</v>
      </c>
      <c r="C933" s="94">
        <v>0</v>
      </c>
      <c r="D933" s="96" t="s">
        <v>3250</v>
      </c>
      <c r="E933" s="96" t="s">
        <v>6357</v>
      </c>
      <c r="F933" s="96">
        <v>0.187</v>
      </c>
      <c r="G933" s="96" t="s">
        <v>6358</v>
      </c>
      <c r="H933" s="96" t="s">
        <v>5639</v>
      </c>
      <c r="I933" s="96" t="s">
        <v>6359</v>
      </c>
      <c r="J933" s="96" t="s">
        <v>6360</v>
      </c>
      <c r="K933" s="96" t="s">
        <v>510</v>
      </c>
      <c r="W933" s="213">
        <v>933</v>
      </c>
      <c r="X933" s="214">
        <v>14</v>
      </c>
    </row>
    <row r="934" spans="1:24" x14ac:dyDescent="0.25">
      <c r="A934" s="97" t="s">
        <v>2240</v>
      </c>
      <c r="B934" s="98" t="s">
        <v>4319</v>
      </c>
      <c r="C934" s="97">
        <v>0</v>
      </c>
      <c r="D934" s="99" t="s">
        <v>219</v>
      </c>
      <c r="E934" s="99" t="s">
        <v>4320</v>
      </c>
      <c r="F934" s="99">
        <v>7.5999999999999998E-2</v>
      </c>
      <c r="G934" s="99" t="s">
        <v>4321</v>
      </c>
      <c r="H934" s="99" t="s">
        <v>4322</v>
      </c>
      <c r="I934" s="99" t="s">
        <v>4323</v>
      </c>
      <c r="J934" s="99" t="s">
        <v>4324</v>
      </c>
      <c r="K934" s="99" t="s">
        <v>510</v>
      </c>
      <c r="W934" s="213">
        <v>934</v>
      </c>
      <c r="X934" s="214">
        <v>14</v>
      </c>
    </row>
    <row r="935" spans="1:24" x14ac:dyDescent="0.25">
      <c r="A935" s="71" t="s">
        <v>1966</v>
      </c>
      <c r="B935" s="73" t="s">
        <v>3938</v>
      </c>
      <c r="C935" s="71">
        <v>0</v>
      </c>
      <c r="D935" s="72" t="s">
        <v>482</v>
      </c>
      <c r="E935" s="72" t="s">
        <v>3939</v>
      </c>
      <c r="F935" s="72">
        <v>0.28199999999999997</v>
      </c>
      <c r="G935" s="72" t="s">
        <v>3940</v>
      </c>
      <c r="H935" s="72" t="s">
        <v>3941</v>
      </c>
      <c r="I935" s="72" t="s">
        <v>3942</v>
      </c>
      <c r="J935" s="72" t="s">
        <v>3943</v>
      </c>
      <c r="K935" s="72" t="s">
        <v>510</v>
      </c>
      <c r="W935" s="213">
        <v>935</v>
      </c>
      <c r="X935" s="214">
        <v>10</v>
      </c>
    </row>
    <row r="936" spans="1:24" x14ac:dyDescent="0.25">
      <c r="A936" s="97" t="s">
        <v>2240</v>
      </c>
      <c r="B936" s="98" t="s">
        <v>5381</v>
      </c>
      <c r="C936" s="97">
        <v>0</v>
      </c>
      <c r="D936" s="99" t="s">
        <v>5215</v>
      </c>
      <c r="E936" s="99" t="s">
        <v>5382</v>
      </c>
      <c r="F936" s="99">
        <v>5.7000000000000002E-2</v>
      </c>
      <c r="G936" s="99" t="s">
        <v>5177</v>
      </c>
      <c r="H936" s="99" t="s">
        <v>5383</v>
      </c>
      <c r="I936" s="99" t="s">
        <v>5384</v>
      </c>
      <c r="J936" s="99" t="s">
        <v>5385</v>
      </c>
      <c r="K936" s="99" t="s">
        <v>510</v>
      </c>
      <c r="W936" s="213">
        <v>936</v>
      </c>
      <c r="X936" s="214">
        <v>14</v>
      </c>
    </row>
    <row r="937" spans="1:24" x14ac:dyDescent="0.25">
      <c r="A937" s="94" t="s">
        <v>2240</v>
      </c>
      <c r="B937" s="95" t="s">
        <v>4553</v>
      </c>
      <c r="C937" s="94">
        <v>0</v>
      </c>
      <c r="D937" s="96" t="s">
        <v>4436</v>
      </c>
      <c r="E937" s="96" t="s">
        <v>4554</v>
      </c>
      <c r="F937" s="96">
        <v>7.6999999999999999E-2</v>
      </c>
      <c r="G937" s="96" t="s">
        <v>4555</v>
      </c>
      <c r="H937" s="96" t="s">
        <v>4556</v>
      </c>
      <c r="I937" s="96" t="s">
        <v>4557</v>
      </c>
      <c r="J937" s="96" t="s">
        <v>4558</v>
      </c>
      <c r="K937" s="96" t="s">
        <v>510</v>
      </c>
      <c r="W937" s="213">
        <v>937</v>
      </c>
      <c r="X937" s="214">
        <v>14</v>
      </c>
    </row>
    <row r="938" spans="1:24" x14ac:dyDescent="0.25">
      <c r="A938" s="97" t="s">
        <v>2240</v>
      </c>
      <c r="B938" s="98" t="s">
        <v>4517</v>
      </c>
      <c r="C938" s="97">
        <v>0</v>
      </c>
      <c r="D938" s="99" t="s">
        <v>4265</v>
      </c>
      <c r="E938" s="99" t="s">
        <v>4518</v>
      </c>
      <c r="F938" s="99">
        <v>9.1999999999999998E-2</v>
      </c>
      <c r="G938" s="99" t="s">
        <v>4519</v>
      </c>
      <c r="H938" s="99" t="s">
        <v>4520</v>
      </c>
      <c r="I938" s="99" t="s">
        <v>4521</v>
      </c>
      <c r="J938" s="99" t="s">
        <v>4522</v>
      </c>
      <c r="K938" s="99" t="s">
        <v>510</v>
      </c>
      <c r="W938" s="213">
        <v>938</v>
      </c>
      <c r="X938" s="214">
        <v>14</v>
      </c>
    </row>
    <row r="939" spans="1:24" x14ac:dyDescent="0.25">
      <c r="A939" s="94" t="s">
        <v>2240</v>
      </c>
      <c r="B939" s="95" t="s">
        <v>5352</v>
      </c>
      <c r="C939" s="94">
        <v>0</v>
      </c>
      <c r="D939" s="96" t="s">
        <v>4860</v>
      </c>
      <c r="E939" s="96" t="s">
        <v>5353</v>
      </c>
      <c r="F939" s="96">
        <v>6.4000000000000001E-2</v>
      </c>
      <c r="G939" s="96" t="s">
        <v>5354</v>
      </c>
      <c r="H939" s="96" t="s">
        <v>5355</v>
      </c>
      <c r="I939" s="96" t="s">
        <v>5356</v>
      </c>
      <c r="J939" s="96" t="s">
        <v>5357</v>
      </c>
      <c r="K939" s="96" t="s">
        <v>510</v>
      </c>
      <c r="W939" s="213">
        <v>939</v>
      </c>
      <c r="X939" s="214">
        <v>14</v>
      </c>
    </row>
    <row r="940" spans="1:24" x14ac:dyDescent="0.25">
      <c r="A940" s="97" t="s">
        <v>2240</v>
      </c>
      <c r="B940" s="98" t="s">
        <v>6635</v>
      </c>
      <c r="C940" s="97">
        <v>0</v>
      </c>
      <c r="D940" s="99" t="s">
        <v>2471</v>
      </c>
      <c r="E940" s="99" t="s">
        <v>6636</v>
      </c>
      <c r="F940" s="99">
        <v>2.3E-2</v>
      </c>
      <c r="G940" s="99" t="s">
        <v>6637</v>
      </c>
      <c r="H940" s="99" t="s">
        <v>6638</v>
      </c>
      <c r="I940" s="99" t="s">
        <v>6639</v>
      </c>
      <c r="J940" s="99" t="s">
        <v>6640</v>
      </c>
      <c r="K940" s="99" t="s">
        <v>510</v>
      </c>
      <c r="W940" s="213">
        <v>940</v>
      </c>
      <c r="X940" s="214">
        <v>14</v>
      </c>
    </row>
    <row r="941" spans="1:24" x14ac:dyDescent="0.25">
      <c r="A941" s="94" t="s">
        <v>2240</v>
      </c>
      <c r="B941" s="95" t="s">
        <v>4946</v>
      </c>
      <c r="C941" s="94">
        <v>0</v>
      </c>
      <c r="D941" s="96" t="s">
        <v>2786</v>
      </c>
      <c r="E941" s="96" t="s">
        <v>4947</v>
      </c>
      <c r="F941" s="96">
        <v>5.5E-2</v>
      </c>
      <c r="G941" s="96" t="s">
        <v>4948</v>
      </c>
      <c r="H941" s="96" t="s">
        <v>4949</v>
      </c>
      <c r="I941" s="96" t="s">
        <v>3989</v>
      </c>
      <c r="J941" s="96" t="s">
        <v>4950</v>
      </c>
      <c r="K941" s="96" t="s">
        <v>510</v>
      </c>
      <c r="W941" s="213">
        <v>941</v>
      </c>
      <c r="X941" s="214">
        <v>14</v>
      </c>
    </row>
    <row r="942" spans="1:24" x14ac:dyDescent="0.25">
      <c r="A942" s="97" t="s">
        <v>2240</v>
      </c>
      <c r="B942" s="131" t="s">
        <v>8086</v>
      </c>
      <c r="C942" s="97">
        <v>0</v>
      </c>
      <c r="D942" s="99" t="s">
        <v>2733</v>
      </c>
      <c r="E942" s="99" t="s">
        <v>4289</v>
      </c>
      <c r="F942" s="99">
        <v>2.3E-2</v>
      </c>
      <c r="G942" s="99" t="s">
        <v>2307</v>
      </c>
      <c r="H942" s="99" t="s">
        <v>4290</v>
      </c>
      <c r="I942" s="99" t="s">
        <v>4291</v>
      </c>
      <c r="J942" s="99" t="s">
        <v>4292</v>
      </c>
      <c r="K942" s="99" t="s">
        <v>510</v>
      </c>
      <c r="W942" s="213">
        <v>942</v>
      </c>
      <c r="X942" s="214">
        <v>14</v>
      </c>
    </row>
    <row r="943" spans="1:24" x14ac:dyDescent="0.25">
      <c r="A943" s="94" t="s">
        <v>2240</v>
      </c>
      <c r="B943" s="95" t="s">
        <v>4967</v>
      </c>
      <c r="C943" s="94">
        <v>0</v>
      </c>
      <c r="D943" s="96" t="s">
        <v>3124</v>
      </c>
      <c r="E943" s="96" t="s">
        <v>4968</v>
      </c>
      <c r="F943" s="96">
        <v>5.2999999999999999E-2</v>
      </c>
      <c r="G943" s="96" t="s">
        <v>4969</v>
      </c>
      <c r="H943" s="96" t="s">
        <v>4970</v>
      </c>
      <c r="I943" s="96" t="s">
        <v>4971</v>
      </c>
      <c r="J943" s="96" t="s">
        <v>4972</v>
      </c>
      <c r="K943" s="96" t="s">
        <v>510</v>
      </c>
      <c r="W943" s="213">
        <v>943</v>
      </c>
      <c r="X943" s="214">
        <v>14</v>
      </c>
    </row>
    <row r="944" spans="1:24" x14ac:dyDescent="0.25">
      <c r="A944" s="97" t="s">
        <v>2240</v>
      </c>
      <c r="B944" s="98" t="s">
        <v>6401</v>
      </c>
      <c r="C944" s="97">
        <v>0</v>
      </c>
      <c r="D944" s="99" t="s">
        <v>2094</v>
      </c>
      <c r="E944" s="99" t="s">
        <v>4968</v>
      </c>
      <c r="F944" s="99">
        <v>7.8E-2</v>
      </c>
      <c r="G944" s="99" t="s">
        <v>6402</v>
      </c>
      <c r="H944" s="99" t="s">
        <v>6403</v>
      </c>
      <c r="I944" s="99" t="s">
        <v>6404</v>
      </c>
      <c r="J944" s="99" t="s">
        <v>6405</v>
      </c>
      <c r="K944" s="99" t="s">
        <v>510</v>
      </c>
      <c r="W944" s="213">
        <v>944</v>
      </c>
      <c r="X944" s="214">
        <v>14</v>
      </c>
    </row>
    <row r="945" spans="1:24" x14ac:dyDescent="0.25">
      <c r="A945" s="94" t="s">
        <v>2240</v>
      </c>
      <c r="B945" s="130" t="s">
        <v>7961</v>
      </c>
      <c r="C945" s="94">
        <v>0</v>
      </c>
      <c r="D945" s="96" t="s">
        <v>1092</v>
      </c>
      <c r="E945" s="96" t="s">
        <v>2394</v>
      </c>
      <c r="F945" s="96">
        <v>4.7E-2</v>
      </c>
      <c r="G945" s="96" t="s">
        <v>2395</v>
      </c>
      <c r="H945" s="96" t="s">
        <v>2396</v>
      </c>
      <c r="I945" s="96" t="s">
        <v>2397</v>
      </c>
      <c r="J945" s="96" t="s">
        <v>2398</v>
      </c>
      <c r="K945" s="96" t="s">
        <v>510</v>
      </c>
      <c r="W945" s="213">
        <v>945</v>
      </c>
      <c r="X945" s="214">
        <v>14</v>
      </c>
    </row>
    <row r="946" spans="1:24" x14ac:dyDescent="0.25">
      <c r="A946" s="97" t="s">
        <v>2240</v>
      </c>
      <c r="B946" s="98" t="s">
        <v>4282</v>
      </c>
      <c r="C946" s="97">
        <v>0</v>
      </c>
      <c r="D946" s="99" t="s">
        <v>4283</v>
      </c>
      <c r="E946" s="99" t="s">
        <v>4284</v>
      </c>
      <c r="F946" s="99">
        <v>5.0000000000000001E-3</v>
      </c>
      <c r="G946" s="99" t="s">
        <v>4285</v>
      </c>
      <c r="H946" s="99" t="s">
        <v>4286</v>
      </c>
      <c r="I946" s="99" t="s">
        <v>4287</v>
      </c>
      <c r="J946" s="99" t="s">
        <v>4288</v>
      </c>
      <c r="K946" s="99" t="s">
        <v>510</v>
      </c>
      <c r="W946" s="213">
        <v>946</v>
      </c>
      <c r="X946" s="214">
        <v>14</v>
      </c>
    </row>
    <row r="947" spans="1:24" x14ac:dyDescent="0.25">
      <c r="A947" s="94" t="s">
        <v>2240</v>
      </c>
      <c r="B947" s="95" t="s">
        <v>6697</v>
      </c>
      <c r="C947" s="94">
        <v>0</v>
      </c>
      <c r="D947" s="96" t="s">
        <v>3286</v>
      </c>
      <c r="E947" s="96" t="s">
        <v>6698</v>
      </c>
      <c r="F947" s="96">
        <v>0.86699999999999999</v>
      </c>
      <c r="G947" s="96" t="s">
        <v>6699</v>
      </c>
      <c r="H947" s="96" t="s">
        <v>6700</v>
      </c>
      <c r="I947" s="96" t="s">
        <v>4697</v>
      </c>
      <c r="J947" s="96" t="s">
        <v>6701</v>
      </c>
      <c r="K947" s="96" t="s">
        <v>510</v>
      </c>
      <c r="W947" s="213">
        <v>947</v>
      </c>
      <c r="X947" s="214">
        <v>14</v>
      </c>
    </row>
    <row r="948" spans="1:24" x14ac:dyDescent="0.25">
      <c r="A948" s="97" t="s">
        <v>2240</v>
      </c>
      <c r="B948" s="98" t="s">
        <v>5335</v>
      </c>
      <c r="C948" s="97">
        <v>0</v>
      </c>
      <c r="D948" s="99" t="s">
        <v>384</v>
      </c>
      <c r="E948" s="99" t="s">
        <v>5336</v>
      </c>
      <c r="F948" s="99">
        <v>8.4000000000000005E-2</v>
      </c>
      <c r="G948" s="99" t="s">
        <v>5337</v>
      </c>
      <c r="H948" s="99" t="s">
        <v>5338</v>
      </c>
      <c r="I948" s="99" t="s">
        <v>5339</v>
      </c>
      <c r="J948" s="99" t="s">
        <v>5340</v>
      </c>
      <c r="K948" s="99" t="s">
        <v>510</v>
      </c>
      <c r="W948" s="213">
        <v>948</v>
      </c>
      <c r="X948" s="214">
        <v>14</v>
      </c>
    </row>
    <row r="949" spans="1:24" x14ac:dyDescent="0.25">
      <c r="A949" s="94" t="s">
        <v>2240</v>
      </c>
      <c r="B949" s="95" t="s">
        <v>4979</v>
      </c>
      <c r="C949" s="94">
        <v>0</v>
      </c>
      <c r="D949" s="96" t="s">
        <v>4449</v>
      </c>
      <c r="E949" s="96" t="s">
        <v>4980</v>
      </c>
      <c r="F949" s="96">
        <v>9.1999999999999998E-2</v>
      </c>
      <c r="G949" s="96" t="s">
        <v>4981</v>
      </c>
      <c r="H949" s="96" t="s">
        <v>4982</v>
      </c>
      <c r="I949" s="96" t="s">
        <v>4983</v>
      </c>
      <c r="J949" s="96" t="s">
        <v>4984</v>
      </c>
      <c r="K949" s="96" t="s">
        <v>510</v>
      </c>
      <c r="W949" s="213">
        <v>949</v>
      </c>
      <c r="X949" s="214">
        <v>14</v>
      </c>
    </row>
    <row r="950" spans="1:24" x14ac:dyDescent="0.25">
      <c r="A950" s="97" t="s">
        <v>2240</v>
      </c>
      <c r="B950" s="98" t="s">
        <v>4523</v>
      </c>
      <c r="C950" s="97">
        <v>0</v>
      </c>
      <c r="D950" s="99" t="s">
        <v>4283</v>
      </c>
      <c r="E950" s="99" t="s">
        <v>4524</v>
      </c>
      <c r="F950" s="99">
        <v>8.3000000000000004E-2</v>
      </c>
      <c r="G950" s="99" t="s">
        <v>4525</v>
      </c>
      <c r="H950" s="99" t="s">
        <v>1865</v>
      </c>
      <c r="I950" s="99" t="s">
        <v>4526</v>
      </c>
      <c r="J950" s="99" t="s">
        <v>4527</v>
      </c>
      <c r="K950" s="99" t="s">
        <v>510</v>
      </c>
      <c r="W950" s="213">
        <v>950</v>
      </c>
      <c r="X950" s="214">
        <v>14</v>
      </c>
    </row>
    <row r="951" spans="1:24" x14ac:dyDescent="0.25">
      <c r="A951" s="94" t="s">
        <v>2240</v>
      </c>
      <c r="B951" s="95" t="s">
        <v>4956</v>
      </c>
      <c r="C951" s="94">
        <v>0</v>
      </c>
      <c r="D951" s="96" t="s">
        <v>4449</v>
      </c>
      <c r="E951" s="96" t="s">
        <v>4957</v>
      </c>
      <c r="F951" s="96">
        <v>4.9000000000000002E-2</v>
      </c>
      <c r="G951" s="96" t="s">
        <v>3067</v>
      </c>
      <c r="H951" s="96" t="s">
        <v>4958</v>
      </c>
      <c r="I951" s="96" t="s">
        <v>4959</v>
      </c>
      <c r="J951" s="96" t="s">
        <v>4960</v>
      </c>
      <c r="K951" s="96" t="s">
        <v>510</v>
      </c>
      <c r="W951" s="213">
        <v>951</v>
      </c>
      <c r="X951" s="214">
        <v>14</v>
      </c>
    </row>
    <row r="952" spans="1:24" x14ac:dyDescent="0.25">
      <c r="A952" s="97" t="s">
        <v>2240</v>
      </c>
      <c r="B952" s="98" t="s">
        <v>7049</v>
      </c>
      <c r="C952" s="97">
        <v>0</v>
      </c>
      <c r="D952" s="99" t="s">
        <v>1848</v>
      </c>
      <c r="E952" s="99" t="s">
        <v>7050</v>
      </c>
      <c r="F952" s="99">
        <v>8.2000000000000003E-2</v>
      </c>
      <c r="G952" s="99" t="s">
        <v>7051</v>
      </c>
      <c r="H952" s="99" t="s">
        <v>7052</v>
      </c>
      <c r="I952" s="99" t="s">
        <v>7053</v>
      </c>
      <c r="J952" s="99" t="s">
        <v>7054</v>
      </c>
      <c r="K952" s="99" t="s">
        <v>510</v>
      </c>
      <c r="W952" s="213">
        <v>952</v>
      </c>
      <c r="X952" s="214">
        <v>14</v>
      </c>
    </row>
    <row r="953" spans="1:24" x14ac:dyDescent="0.25">
      <c r="A953" s="94" t="s">
        <v>2240</v>
      </c>
      <c r="B953" s="95" t="s">
        <v>5347</v>
      </c>
      <c r="C953" s="94">
        <v>0</v>
      </c>
      <c r="D953" s="96" t="s">
        <v>1210</v>
      </c>
      <c r="E953" s="96" t="s">
        <v>5348</v>
      </c>
      <c r="F953" s="96">
        <v>8.6999999999999994E-2</v>
      </c>
      <c r="G953" s="96" t="s">
        <v>5349</v>
      </c>
      <c r="H953" s="96" t="s">
        <v>5350</v>
      </c>
      <c r="I953" s="96" t="s">
        <v>5351</v>
      </c>
      <c r="J953" s="96" t="s">
        <v>5083</v>
      </c>
      <c r="K953" s="96" t="s">
        <v>510</v>
      </c>
      <c r="W953" s="213">
        <v>953</v>
      </c>
      <c r="X953" s="214">
        <v>14</v>
      </c>
    </row>
    <row r="954" spans="1:24" x14ac:dyDescent="0.25">
      <c r="A954" s="97" t="s">
        <v>2240</v>
      </c>
      <c r="B954" s="98" t="s">
        <v>5936</v>
      </c>
      <c r="C954" s="97">
        <v>0</v>
      </c>
      <c r="D954" s="99" t="s">
        <v>822</v>
      </c>
      <c r="E954" s="99" t="s">
        <v>5937</v>
      </c>
      <c r="F954" s="99">
        <v>8.7999999999999995E-2</v>
      </c>
      <c r="G954" s="99" t="s">
        <v>5938</v>
      </c>
      <c r="H954" s="99" t="s">
        <v>5939</v>
      </c>
      <c r="I954" s="99" t="s">
        <v>5940</v>
      </c>
      <c r="J954" s="99" t="s">
        <v>5941</v>
      </c>
      <c r="K954" s="99" t="s">
        <v>510</v>
      </c>
      <c r="W954" s="213">
        <v>954</v>
      </c>
      <c r="X954" s="214">
        <v>14</v>
      </c>
    </row>
    <row r="955" spans="1:24" x14ac:dyDescent="0.25">
      <c r="A955" s="94" t="s">
        <v>2240</v>
      </c>
      <c r="B955" s="95" t="s">
        <v>6997</v>
      </c>
      <c r="C955" s="94">
        <v>0</v>
      </c>
      <c r="D955" s="96" t="s">
        <v>3286</v>
      </c>
      <c r="E955" s="96" t="s">
        <v>6998</v>
      </c>
      <c r="F955" s="96">
        <v>6.4000000000000001E-2</v>
      </c>
      <c r="G955" s="96" t="s">
        <v>6999</v>
      </c>
      <c r="H955" s="96" t="s">
        <v>7000</v>
      </c>
      <c r="I955" s="96" t="s">
        <v>7001</v>
      </c>
      <c r="J955" s="96" t="s">
        <v>7002</v>
      </c>
      <c r="K955" s="96" t="s">
        <v>510</v>
      </c>
      <c r="W955" s="213">
        <v>955</v>
      </c>
      <c r="X955" s="214">
        <v>14</v>
      </c>
    </row>
    <row r="956" spans="1:24" x14ac:dyDescent="0.25">
      <c r="A956" s="97" t="s">
        <v>2240</v>
      </c>
      <c r="B956" s="98" t="s">
        <v>5106</v>
      </c>
      <c r="C956" s="97">
        <v>0</v>
      </c>
      <c r="D956" s="99" t="s">
        <v>4711</v>
      </c>
      <c r="E956" s="99" t="s">
        <v>5107</v>
      </c>
      <c r="F956" s="99">
        <v>0.12</v>
      </c>
      <c r="G956" s="99" t="s">
        <v>5108</v>
      </c>
      <c r="H956" s="99" t="s">
        <v>5109</v>
      </c>
      <c r="I956" s="99" t="s">
        <v>5110</v>
      </c>
      <c r="J956" s="99" t="s">
        <v>5111</v>
      </c>
      <c r="K956" s="99" t="s">
        <v>510</v>
      </c>
      <c r="W956" s="213">
        <v>956</v>
      </c>
      <c r="X956" s="214">
        <v>14</v>
      </c>
    </row>
    <row r="957" spans="1:24" x14ac:dyDescent="0.25">
      <c r="A957" s="94" t="s">
        <v>2240</v>
      </c>
      <c r="B957" s="95" t="s">
        <v>6321</v>
      </c>
      <c r="C957" s="94">
        <v>0</v>
      </c>
      <c r="D957" s="96" t="s">
        <v>261</v>
      </c>
      <c r="E957" s="96" t="s">
        <v>6322</v>
      </c>
      <c r="F957" s="96">
        <v>0.11600000000000001</v>
      </c>
      <c r="G957" s="96" t="s">
        <v>6323</v>
      </c>
      <c r="H957" s="96" t="s">
        <v>6324</v>
      </c>
      <c r="I957" s="96" t="s">
        <v>6325</v>
      </c>
      <c r="J957" s="96" t="s">
        <v>6326</v>
      </c>
      <c r="K957" s="96" t="s">
        <v>510</v>
      </c>
      <c r="W957" s="213">
        <v>957</v>
      </c>
      <c r="X957" s="214">
        <v>14</v>
      </c>
    </row>
    <row r="958" spans="1:24" ht="15" customHeight="1" x14ac:dyDescent="0.25">
      <c r="A958" s="97" t="s">
        <v>2240</v>
      </c>
      <c r="B958" s="98" t="s">
        <v>4404</v>
      </c>
      <c r="C958" s="97">
        <v>0</v>
      </c>
      <c r="D958" s="99" t="s">
        <v>2680</v>
      </c>
      <c r="E958" s="99" t="s">
        <v>4405</v>
      </c>
      <c r="F958" s="99">
        <v>0.14399999999999999</v>
      </c>
      <c r="G958" s="99" t="s">
        <v>4406</v>
      </c>
      <c r="H958" s="99" t="s">
        <v>4407</v>
      </c>
      <c r="I958" s="99" t="s">
        <v>4408</v>
      </c>
      <c r="J958" s="99" t="s">
        <v>4409</v>
      </c>
      <c r="K958" s="99" t="s">
        <v>510</v>
      </c>
      <c r="W958" s="213">
        <v>958</v>
      </c>
      <c r="X958" s="214">
        <v>14</v>
      </c>
    </row>
    <row r="959" spans="1:24" x14ac:dyDescent="0.25">
      <c r="A959" s="94" t="s">
        <v>2240</v>
      </c>
      <c r="B959" s="95" t="s">
        <v>6120</v>
      </c>
      <c r="C959" s="94">
        <v>0</v>
      </c>
      <c r="D959" s="96" t="s">
        <v>293</v>
      </c>
      <c r="E959" s="96" t="s">
        <v>6121</v>
      </c>
      <c r="F959" s="96">
        <v>0.246</v>
      </c>
      <c r="G959" s="96" t="s">
        <v>6122</v>
      </c>
      <c r="H959" s="96" t="s">
        <v>6123</v>
      </c>
      <c r="I959" s="96" t="s">
        <v>6124</v>
      </c>
      <c r="J959" s="96" t="s">
        <v>6125</v>
      </c>
      <c r="K959" s="96" t="s">
        <v>510</v>
      </c>
      <c r="W959" s="213">
        <v>959</v>
      </c>
      <c r="X959" s="214">
        <v>14</v>
      </c>
    </row>
    <row r="960" spans="1:24" x14ac:dyDescent="0.25">
      <c r="A960" s="97" t="s">
        <v>2240</v>
      </c>
      <c r="B960" s="131" t="s">
        <v>7962</v>
      </c>
      <c r="C960" s="97">
        <v>0</v>
      </c>
      <c r="D960" s="99" t="s">
        <v>7944</v>
      </c>
      <c r="E960" s="99" t="s">
        <v>2399</v>
      </c>
      <c r="F960" s="99">
        <v>0.14099999999999999</v>
      </c>
      <c r="G960" s="99" t="s">
        <v>2400</v>
      </c>
      <c r="H960" s="99" t="s">
        <v>2401</v>
      </c>
      <c r="I960" s="99" t="s">
        <v>2402</v>
      </c>
      <c r="J960" s="99" t="s">
        <v>2403</v>
      </c>
      <c r="K960" s="99" t="s">
        <v>510</v>
      </c>
      <c r="W960" s="213">
        <v>960</v>
      </c>
      <c r="X960" s="214">
        <v>14</v>
      </c>
    </row>
    <row r="961" spans="1:24" x14ac:dyDescent="0.25">
      <c r="A961" s="94" t="s">
        <v>2240</v>
      </c>
      <c r="B961" s="95" t="s">
        <v>5166</v>
      </c>
      <c r="C961" s="94">
        <v>0</v>
      </c>
      <c r="D961" s="96" t="s">
        <v>4711</v>
      </c>
      <c r="E961" s="96" t="s">
        <v>5167</v>
      </c>
      <c r="F961" s="96">
        <v>0.11</v>
      </c>
      <c r="G961" s="96" t="s">
        <v>5168</v>
      </c>
      <c r="H961" s="96" t="s">
        <v>5169</v>
      </c>
      <c r="I961" s="96" t="s">
        <v>5170</v>
      </c>
      <c r="J961" s="96" t="s">
        <v>5171</v>
      </c>
      <c r="K961" s="96" t="s">
        <v>510</v>
      </c>
      <c r="W961" s="213">
        <v>961</v>
      </c>
      <c r="X961" s="214">
        <v>14</v>
      </c>
    </row>
    <row r="962" spans="1:24" x14ac:dyDescent="0.25">
      <c r="A962" s="97" t="s">
        <v>2240</v>
      </c>
      <c r="B962" s="98" t="s">
        <v>6755</v>
      </c>
      <c r="C962" s="97">
        <v>0</v>
      </c>
      <c r="D962" s="99" t="s">
        <v>1146</v>
      </c>
      <c r="E962" s="99" t="s">
        <v>6756</v>
      </c>
      <c r="F962" s="99">
        <v>0.03</v>
      </c>
      <c r="G962" s="99" t="s">
        <v>6757</v>
      </c>
      <c r="H962" s="99" t="s">
        <v>6758</v>
      </c>
      <c r="I962" s="99" t="s">
        <v>6759</v>
      </c>
      <c r="J962" s="99" t="s">
        <v>6760</v>
      </c>
      <c r="K962" s="99" t="s">
        <v>510</v>
      </c>
      <c r="W962" s="213">
        <v>962</v>
      </c>
      <c r="X962" s="214">
        <v>14</v>
      </c>
    </row>
    <row r="963" spans="1:24" x14ac:dyDescent="0.25">
      <c r="A963" s="94" t="s">
        <v>2240</v>
      </c>
      <c r="B963" s="95" t="s">
        <v>5632</v>
      </c>
      <c r="C963" s="94">
        <v>0</v>
      </c>
      <c r="D963" s="96" t="s">
        <v>4252</v>
      </c>
      <c r="E963" s="96" t="s">
        <v>5633</v>
      </c>
      <c r="F963" s="96">
        <v>0.05</v>
      </c>
      <c r="G963" s="96" t="s">
        <v>2988</v>
      </c>
      <c r="H963" s="96" t="s">
        <v>5634</v>
      </c>
      <c r="I963" s="96" t="s">
        <v>5635</v>
      </c>
      <c r="J963" s="96" t="s">
        <v>5636</v>
      </c>
      <c r="K963" s="96" t="s">
        <v>510</v>
      </c>
      <c r="W963" s="213">
        <v>963</v>
      </c>
      <c r="X963" s="214">
        <v>14</v>
      </c>
    </row>
    <row r="964" spans="1:24" x14ac:dyDescent="0.25">
      <c r="A964" s="97" t="s">
        <v>2240</v>
      </c>
      <c r="B964" s="98" t="s">
        <v>4859</v>
      </c>
      <c r="C964" s="97">
        <v>0</v>
      </c>
      <c r="D964" s="99" t="s">
        <v>4860</v>
      </c>
      <c r="E964" s="99" t="s">
        <v>4861</v>
      </c>
      <c r="F964" s="99">
        <v>8.4000000000000005E-2</v>
      </c>
      <c r="G964" s="99" t="s">
        <v>4862</v>
      </c>
      <c r="H964" s="99" t="s">
        <v>4863</v>
      </c>
      <c r="I964" s="99" t="s">
        <v>4864</v>
      </c>
      <c r="J964" s="99" t="s">
        <v>4865</v>
      </c>
      <c r="K964" s="99" t="s">
        <v>510</v>
      </c>
      <c r="W964" s="213">
        <v>964</v>
      </c>
      <c r="X964" s="214">
        <v>14</v>
      </c>
    </row>
    <row r="965" spans="1:24" x14ac:dyDescent="0.25">
      <c r="A965" s="94" t="s">
        <v>2240</v>
      </c>
      <c r="B965" s="95" t="s">
        <v>6097</v>
      </c>
      <c r="C965" s="94">
        <v>0</v>
      </c>
      <c r="D965" s="96" t="s">
        <v>3406</v>
      </c>
      <c r="E965" s="96" t="s">
        <v>6098</v>
      </c>
      <c r="F965" s="96">
        <v>9.1999999999999998E-2</v>
      </c>
      <c r="G965" s="96" t="s">
        <v>6099</v>
      </c>
      <c r="H965" s="96" t="s">
        <v>6100</v>
      </c>
      <c r="I965" s="96" t="s">
        <v>6101</v>
      </c>
      <c r="J965" s="96" t="s">
        <v>6102</v>
      </c>
      <c r="K965" s="96" t="s">
        <v>510</v>
      </c>
      <c r="W965" s="213">
        <v>965</v>
      </c>
      <c r="X965" s="214">
        <v>14</v>
      </c>
    </row>
    <row r="966" spans="1:24" x14ac:dyDescent="0.25">
      <c r="A966" s="97" t="s">
        <v>2240</v>
      </c>
      <c r="B966" s="98" t="s">
        <v>4547</v>
      </c>
      <c r="C966" s="97">
        <v>0</v>
      </c>
      <c r="D966" s="99" t="s">
        <v>4346</v>
      </c>
      <c r="E966" s="99" t="s">
        <v>4548</v>
      </c>
      <c r="F966" s="99">
        <v>0.13400000000000001</v>
      </c>
      <c r="G966" s="99" t="s">
        <v>4549</v>
      </c>
      <c r="H966" s="99" t="s">
        <v>4550</v>
      </c>
      <c r="I966" s="99" t="s">
        <v>4551</v>
      </c>
      <c r="J966" s="99" t="s">
        <v>4552</v>
      </c>
      <c r="K966" s="99" t="s">
        <v>510</v>
      </c>
      <c r="W966" s="213">
        <v>966</v>
      </c>
      <c r="X966" s="214">
        <v>14</v>
      </c>
    </row>
    <row r="967" spans="1:24" x14ac:dyDescent="0.25">
      <c r="A967" s="94" t="s">
        <v>2240</v>
      </c>
      <c r="B967" s="95" t="s">
        <v>8421</v>
      </c>
      <c r="C967" s="94">
        <v>0</v>
      </c>
      <c r="D967" s="96" t="s">
        <v>2410</v>
      </c>
      <c r="E967" s="96" t="s">
        <v>2411</v>
      </c>
      <c r="F967" s="96">
        <v>0.13500000000000001</v>
      </c>
      <c r="G967" s="96" t="s">
        <v>2412</v>
      </c>
      <c r="H967" s="96" t="s">
        <v>2413</v>
      </c>
      <c r="I967" s="96" t="s">
        <v>2414</v>
      </c>
      <c r="J967" s="96" t="s">
        <v>2415</v>
      </c>
      <c r="K967" s="96" t="s">
        <v>510</v>
      </c>
      <c r="W967" s="213">
        <v>967</v>
      </c>
      <c r="X967" s="214">
        <v>14</v>
      </c>
    </row>
    <row r="968" spans="1:24" x14ac:dyDescent="0.25">
      <c r="A968" s="97" t="s">
        <v>2240</v>
      </c>
      <c r="B968" s="98" t="s">
        <v>5684</v>
      </c>
      <c r="C968" s="97">
        <v>0</v>
      </c>
      <c r="D968" s="99" t="s">
        <v>4657</v>
      </c>
      <c r="E968" s="99" t="s">
        <v>5685</v>
      </c>
      <c r="F968" s="99">
        <v>0.13100000000000001</v>
      </c>
      <c r="G968" s="99" t="s">
        <v>5686</v>
      </c>
      <c r="H968" s="99" t="s">
        <v>5687</v>
      </c>
      <c r="I968" s="99" t="s">
        <v>5688</v>
      </c>
      <c r="J968" s="99" t="s">
        <v>5689</v>
      </c>
      <c r="K968" s="99" t="s">
        <v>510</v>
      </c>
      <c r="W968" s="213">
        <v>968</v>
      </c>
      <c r="X968" s="214">
        <v>14</v>
      </c>
    </row>
    <row r="969" spans="1:24" x14ac:dyDescent="0.25">
      <c r="A969" s="94" t="s">
        <v>2240</v>
      </c>
      <c r="B969" s="95" t="s">
        <v>6726</v>
      </c>
      <c r="C969" s="94">
        <v>0</v>
      </c>
      <c r="D969" s="96" t="s">
        <v>3161</v>
      </c>
      <c r="E969" s="96" t="s">
        <v>6727</v>
      </c>
      <c r="F969" s="96">
        <v>0.13500000000000001</v>
      </c>
      <c r="G969" s="96" t="s">
        <v>5211</v>
      </c>
      <c r="H969" s="96" t="s">
        <v>6728</v>
      </c>
      <c r="I969" s="96" t="s">
        <v>6729</v>
      </c>
      <c r="J969" s="96" t="s">
        <v>6730</v>
      </c>
      <c r="K969" s="96" t="s">
        <v>510</v>
      </c>
      <c r="W969" s="213">
        <v>969</v>
      </c>
      <c r="X969" s="214">
        <v>14</v>
      </c>
    </row>
    <row r="970" spans="1:24" ht="14.45" customHeight="1" x14ac:dyDescent="0.25">
      <c r="A970" s="97" t="s">
        <v>2240</v>
      </c>
      <c r="B970" s="129" t="s">
        <v>7888</v>
      </c>
      <c r="C970" s="97">
        <v>0</v>
      </c>
      <c r="D970" s="99" t="s">
        <v>2404</v>
      </c>
      <c r="E970" s="99" t="s">
        <v>2405</v>
      </c>
      <c r="F970" s="99">
        <v>1.9E-2</v>
      </c>
      <c r="G970" s="99" t="s">
        <v>2406</v>
      </c>
      <c r="H970" s="99" t="s">
        <v>2407</v>
      </c>
      <c r="I970" s="99" t="s">
        <v>2408</v>
      </c>
      <c r="J970" s="99" t="s">
        <v>2409</v>
      </c>
      <c r="K970" s="99" t="s">
        <v>510</v>
      </c>
      <c r="W970" s="213">
        <v>970</v>
      </c>
      <c r="X970" s="214">
        <v>14</v>
      </c>
    </row>
    <row r="971" spans="1:24" ht="15" customHeight="1" x14ac:dyDescent="0.25">
      <c r="A971" s="94" t="s">
        <v>2240</v>
      </c>
      <c r="B971" s="95" t="s">
        <v>7044</v>
      </c>
      <c r="C971" s="94">
        <v>0</v>
      </c>
      <c r="D971" s="96" t="s">
        <v>3286</v>
      </c>
      <c r="E971" s="96" t="s">
        <v>7045</v>
      </c>
      <c r="F971" s="96">
        <v>0.106</v>
      </c>
      <c r="G971" s="96" t="s">
        <v>5290</v>
      </c>
      <c r="H971" s="96" t="s">
        <v>7046</v>
      </c>
      <c r="I971" s="96" t="s">
        <v>7047</v>
      </c>
      <c r="J971" s="96" t="s">
        <v>7048</v>
      </c>
      <c r="K971" s="96" t="s">
        <v>510</v>
      </c>
      <c r="W971" s="213">
        <v>971</v>
      </c>
      <c r="X971" s="214">
        <v>14</v>
      </c>
    </row>
    <row r="972" spans="1:24" x14ac:dyDescent="0.25">
      <c r="A972" s="97" t="s">
        <v>2240</v>
      </c>
      <c r="B972" s="98" t="s">
        <v>5323</v>
      </c>
      <c r="C972" s="97">
        <v>0</v>
      </c>
      <c r="D972" s="99" t="s">
        <v>1210</v>
      </c>
      <c r="E972" s="99" t="s">
        <v>5324</v>
      </c>
      <c r="F972" s="99">
        <v>0.04</v>
      </c>
      <c r="G972" s="99" t="s">
        <v>5325</v>
      </c>
      <c r="H972" s="99" t="s">
        <v>5326</v>
      </c>
      <c r="I972" s="99" t="s">
        <v>5327</v>
      </c>
      <c r="J972" s="99" t="s">
        <v>5328</v>
      </c>
      <c r="K972" s="99" t="s">
        <v>510</v>
      </c>
      <c r="W972" s="213">
        <v>972</v>
      </c>
      <c r="X972" s="214">
        <v>14</v>
      </c>
    </row>
    <row r="973" spans="1:24" ht="15" customHeight="1" x14ac:dyDescent="0.25">
      <c r="A973" s="94" t="s">
        <v>2240</v>
      </c>
      <c r="B973" s="95" t="s">
        <v>6878</v>
      </c>
      <c r="C973" s="94">
        <v>0</v>
      </c>
      <c r="D973" s="96" t="s">
        <v>1848</v>
      </c>
      <c r="E973" s="96" t="s">
        <v>6879</v>
      </c>
      <c r="F973" s="96">
        <v>0.21299999999999999</v>
      </c>
      <c r="G973" s="96" t="s">
        <v>6880</v>
      </c>
      <c r="H973" s="96" t="s">
        <v>6881</v>
      </c>
      <c r="I973" s="96" t="s">
        <v>6882</v>
      </c>
      <c r="J973" s="96" t="s">
        <v>6883</v>
      </c>
      <c r="K973" s="96" t="s">
        <v>510</v>
      </c>
      <c r="W973" s="213">
        <v>973</v>
      </c>
      <c r="X973" s="214">
        <v>14</v>
      </c>
    </row>
    <row r="974" spans="1:24" x14ac:dyDescent="0.25">
      <c r="A974" s="97" t="s">
        <v>2240</v>
      </c>
      <c r="B974" s="98" t="s">
        <v>6136</v>
      </c>
      <c r="C974" s="97">
        <v>0</v>
      </c>
      <c r="D974" s="99" t="s">
        <v>5306</v>
      </c>
      <c r="E974" s="99" t="s">
        <v>6137</v>
      </c>
      <c r="F974" s="99">
        <v>5.3999999999999999E-2</v>
      </c>
      <c r="G974" s="99" t="s">
        <v>6138</v>
      </c>
      <c r="H974" s="99" t="s">
        <v>6139</v>
      </c>
      <c r="I974" s="99" t="s">
        <v>6140</v>
      </c>
      <c r="J974" s="99" t="s">
        <v>6141</v>
      </c>
      <c r="K974" s="99" t="s">
        <v>510</v>
      </c>
      <c r="W974" s="213">
        <v>974</v>
      </c>
      <c r="X974" s="214">
        <v>14</v>
      </c>
    </row>
    <row r="975" spans="1:24" x14ac:dyDescent="0.25">
      <c r="A975" s="94" t="s">
        <v>2240</v>
      </c>
      <c r="B975" s="95" t="s">
        <v>5930</v>
      </c>
      <c r="C975" s="94">
        <v>0</v>
      </c>
      <c r="D975" s="96" t="s">
        <v>219</v>
      </c>
      <c r="E975" s="96" t="s">
        <v>5931</v>
      </c>
      <c r="F975" s="96">
        <v>0.21099999999999999</v>
      </c>
      <c r="G975" s="96" t="s">
        <v>5932</v>
      </c>
      <c r="H975" s="96" t="s">
        <v>5933</v>
      </c>
      <c r="I975" s="96" t="s">
        <v>5934</v>
      </c>
      <c r="J975" s="96" t="s">
        <v>5935</v>
      </c>
      <c r="K975" s="96" t="s">
        <v>510</v>
      </c>
      <c r="W975" s="213">
        <v>975</v>
      </c>
      <c r="X975" s="214">
        <v>14</v>
      </c>
    </row>
    <row r="976" spans="1:24" x14ac:dyDescent="0.25">
      <c r="A976" s="97" t="s">
        <v>2240</v>
      </c>
      <c r="B976" s="98" t="s">
        <v>4499</v>
      </c>
      <c r="C976" s="97">
        <v>0</v>
      </c>
      <c r="D976" s="99" t="s">
        <v>2529</v>
      </c>
      <c r="E976" s="99" t="s">
        <v>4500</v>
      </c>
      <c r="F976" s="99">
        <v>8.3000000000000004E-2</v>
      </c>
      <c r="G976" s="99" t="s">
        <v>4501</v>
      </c>
      <c r="H976" s="99" t="s">
        <v>4502</v>
      </c>
      <c r="I976" s="99" t="s">
        <v>4503</v>
      </c>
      <c r="J976" s="99" t="s">
        <v>4504</v>
      </c>
      <c r="K976" s="99" t="s">
        <v>510</v>
      </c>
      <c r="W976" s="213">
        <v>976</v>
      </c>
      <c r="X976" s="214">
        <v>14</v>
      </c>
    </row>
    <row r="977" spans="1:24" x14ac:dyDescent="0.25">
      <c r="A977" s="94" t="s">
        <v>2240</v>
      </c>
      <c r="B977" s="95" t="s">
        <v>4795</v>
      </c>
      <c r="C977" s="94">
        <v>0</v>
      </c>
      <c r="D977" s="96" t="s">
        <v>2529</v>
      </c>
      <c r="E977" s="96" t="s">
        <v>4796</v>
      </c>
      <c r="F977" s="96">
        <v>0.15</v>
      </c>
      <c r="G977" s="96" t="s">
        <v>4797</v>
      </c>
      <c r="H977" s="96" t="s">
        <v>4798</v>
      </c>
      <c r="I977" s="96" t="s">
        <v>4799</v>
      </c>
      <c r="J977" s="96" t="s">
        <v>4800</v>
      </c>
      <c r="K977" s="96" t="s">
        <v>510</v>
      </c>
      <c r="W977" s="213">
        <v>977</v>
      </c>
      <c r="X977" s="214">
        <v>14</v>
      </c>
    </row>
    <row r="978" spans="1:24" x14ac:dyDescent="0.25">
      <c r="A978" s="97" t="s">
        <v>2240</v>
      </c>
      <c r="B978" s="98" t="s">
        <v>7252</v>
      </c>
      <c r="C978" s="97">
        <v>0</v>
      </c>
      <c r="D978" s="99" t="s">
        <v>652</v>
      </c>
      <c r="E978" s="99" t="s">
        <v>7253</v>
      </c>
      <c r="F978" s="99">
        <v>2.5000000000000001E-2</v>
      </c>
      <c r="G978" s="99" t="s">
        <v>7254</v>
      </c>
      <c r="H978" s="99" t="s">
        <v>7255</v>
      </c>
      <c r="I978" s="99" t="s">
        <v>7256</v>
      </c>
      <c r="J978" s="99" t="s">
        <v>7257</v>
      </c>
      <c r="K978" s="99" t="s">
        <v>510</v>
      </c>
      <c r="W978" s="213">
        <v>978</v>
      </c>
      <c r="X978" s="214">
        <v>14</v>
      </c>
    </row>
    <row r="979" spans="1:24" x14ac:dyDescent="0.25">
      <c r="A979" s="94" t="s">
        <v>2240</v>
      </c>
      <c r="B979" s="95" t="s">
        <v>5127</v>
      </c>
      <c r="C979" s="94">
        <v>0</v>
      </c>
      <c r="D979" s="96" t="s">
        <v>4657</v>
      </c>
      <c r="E979" s="96" t="s">
        <v>5128</v>
      </c>
      <c r="F979" s="96">
        <v>7.4999999999999997E-2</v>
      </c>
      <c r="G979" s="96" t="s">
        <v>5129</v>
      </c>
      <c r="H979" s="96" t="s">
        <v>5130</v>
      </c>
      <c r="I979" s="96" t="s">
        <v>5131</v>
      </c>
      <c r="J979" s="96" t="s">
        <v>5132</v>
      </c>
      <c r="K979" s="96" t="s">
        <v>510</v>
      </c>
      <c r="W979" s="213">
        <v>979</v>
      </c>
      <c r="X979" s="214">
        <v>14</v>
      </c>
    </row>
    <row r="980" spans="1:24" x14ac:dyDescent="0.25">
      <c r="A980" s="97" t="s">
        <v>2240</v>
      </c>
      <c r="B980" s="98" t="s">
        <v>6367</v>
      </c>
      <c r="C980" s="97">
        <v>0</v>
      </c>
      <c r="D980" s="99" t="s">
        <v>5924</v>
      </c>
      <c r="E980" s="99" t="s">
        <v>6368</v>
      </c>
      <c r="F980" s="99">
        <v>0.14599999999999999</v>
      </c>
      <c r="G980" s="99" t="s">
        <v>6369</v>
      </c>
      <c r="H980" s="99" t="s">
        <v>6370</v>
      </c>
      <c r="I980" s="99" t="s">
        <v>6371</v>
      </c>
      <c r="J980" s="99" t="s">
        <v>6372</v>
      </c>
      <c r="K980" s="99" t="s">
        <v>510</v>
      </c>
      <c r="W980" s="213">
        <v>980</v>
      </c>
      <c r="X980" s="214">
        <v>14</v>
      </c>
    </row>
    <row r="981" spans="1:24" x14ac:dyDescent="0.25">
      <c r="A981" s="94" t="s">
        <v>2240</v>
      </c>
      <c r="B981" s="95" t="s">
        <v>7387</v>
      </c>
      <c r="C981" s="94">
        <v>0</v>
      </c>
      <c r="D981" s="96" t="s">
        <v>198</v>
      </c>
      <c r="E981" s="96" t="s">
        <v>7388</v>
      </c>
      <c r="F981" s="96">
        <v>0.104</v>
      </c>
      <c r="G981" s="96" t="s">
        <v>2395</v>
      </c>
      <c r="H981" s="96" t="s">
        <v>7389</v>
      </c>
      <c r="I981" s="96" t="s">
        <v>7390</v>
      </c>
      <c r="J981" s="96" t="s">
        <v>6433</v>
      </c>
      <c r="K981" s="96" t="s">
        <v>510</v>
      </c>
      <c r="W981" s="213">
        <v>981</v>
      </c>
      <c r="X981" s="214">
        <v>14</v>
      </c>
    </row>
    <row r="982" spans="1:24" x14ac:dyDescent="0.25">
      <c r="A982" s="97" t="s">
        <v>2240</v>
      </c>
      <c r="B982" s="98" t="s">
        <v>6351</v>
      </c>
      <c r="C982" s="97">
        <v>0</v>
      </c>
      <c r="D982" s="99" t="s">
        <v>5924</v>
      </c>
      <c r="E982" s="99" t="s">
        <v>6352</v>
      </c>
      <c r="F982" s="99">
        <v>5.5E-2</v>
      </c>
      <c r="G982" s="99" t="s">
        <v>6353</v>
      </c>
      <c r="H982" s="99" t="s">
        <v>6354</v>
      </c>
      <c r="I982" s="99" t="s">
        <v>5051</v>
      </c>
      <c r="J982" s="99" t="s">
        <v>6355</v>
      </c>
      <c r="K982" s="99" t="s">
        <v>510</v>
      </c>
      <c r="W982" s="213">
        <v>982</v>
      </c>
      <c r="X982" s="214">
        <v>14</v>
      </c>
    </row>
    <row r="983" spans="1:24" x14ac:dyDescent="0.25">
      <c r="A983" s="94" t="s">
        <v>2240</v>
      </c>
      <c r="B983" s="130" t="s">
        <v>7963</v>
      </c>
      <c r="C983" s="94">
        <v>0</v>
      </c>
      <c r="D983" s="96" t="s">
        <v>2657</v>
      </c>
      <c r="E983" s="96" t="s">
        <v>2416</v>
      </c>
      <c r="F983" s="96">
        <v>0.14000000000000001</v>
      </c>
      <c r="G983" s="96" t="s">
        <v>2417</v>
      </c>
      <c r="H983" s="96" t="s">
        <v>2418</v>
      </c>
      <c r="I983" s="96" t="s">
        <v>2419</v>
      </c>
      <c r="J983" s="96" t="s">
        <v>2420</v>
      </c>
      <c r="K983" s="96" t="s">
        <v>510</v>
      </c>
      <c r="W983" s="213">
        <v>983</v>
      </c>
      <c r="X983" s="214">
        <v>14</v>
      </c>
    </row>
    <row r="984" spans="1:24" x14ac:dyDescent="0.25">
      <c r="A984" s="97" t="s">
        <v>2240</v>
      </c>
      <c r="B984" s="98" t="s">
        <v>4393</v>
      </c>
      <c r="C984" s="97">
        <v>0</v>
      </c>
      <c r="D984" s="99" t="s">
        <v>4377</v>
      </c>
      <c r="E984" s="99" t="s">
        <v>2416</v>
      </c>
      <c r="F984" s="99">
        <v>0.10299999999999999</v>
      </c>
      <c r="G984" s="99" t="s">
        <v>4394</v>
      </c>
      <c r="H984" s="99" t="s">
        <v>4395</v>
      </c>
      <c r="I984" s="99" t="s">
        <v>4396</v>
      </c>
      <c r="J984" s="99" t="s">
        <v>4397</v>
      </c>
      <c r="K984" s="99" t="s">
        <v>510</v>
      </c>
      <c r="W984" s="213">
        <v>984</v>
      </c>
      <c r="X984" s="214">
        <v>14</v>
      </c>
    </row>
    <row r="985" spans="1:24" x14ac:dyDescent="0.25">
      <c r="A985" s="71" t="s">
        <v>1966</v>
      </c>
      <c r="B985" s="73" t="s">
        <v>3944</v>
      </c>
      <c r="C985" s="71">
        <v>0</v>
      </c>
      <c r="D985" s="72" t="s">
        <v>597</v>
      </c>
      <c r="E985" s="72" t="s">
        <v>3945</v>
      </c>
      <c r="F985" s="72">
        <v>0.47599999999999998</v>
      </c>
      <c r="G985" s="72" t="s">
        <v>3946</v>
      </c>
      <c r="H985" s="72" t="s">
        <v>3947</v>
      </c>
      <c r="I985" s="72" t="s">
        <v>3948</v>
      </c>
      <c r="J985" s="72" t="s">
        <v>3949</v>
      </c>
      <c r="K985" s="72" t="s">
        <v>510</v>
      </c>
      <c r="W985" s="213">
        <v>985</v>
      </c>
      <c r="X985" s="214">
        <v>10</v>
      </c>
    </row>
    <row r="986" spans="1:24" x14ac:dyDescent="0.25">
      <c r="A986" s="97" t="s">
        <v>2240</v>
      </c>
      <c r="B986" s="98" t="s">
        <v>4640</v>
      </c>
      <c r="C986" s="97">
        <v>0</v>
      </c>
      <c r="D986" s="99" t="s">
        <v>3009</v>
      </c>
      <c r="E986" s="99" t="s">
        <v>4641</v>
      </c>
      <c r="F986" s="99">
        <v>6.2E-2</v>
      </c>
      <c r="G986" s="99" t="s">
        <v>4642</v>
      </c>
      <c r="H986" s="99" t="s">
        <v>4643</v>
      </c>
      <c r="I986" s="99" t="s">
        <v>4644</v>
      </c>
      <c r="J986" s="99" t="s">
        <v>4645</v>
      </c>
      <c r="K986" s="99" t="s">
        <v>510</v>
      </c>
      <c r="W986" s="213">
        <v>986</v>
      </c>
      <c r="X986" s="214">
        <v>14</v>
      </c>
    </row>
    <row r="987" spans="1:24" x14ac:dyDescent="0.25">
      <c r="A987" s="94" t="s">
        <v>2240</v>
      </c>
      <c r="B987" s="95" t="s">
        <v>6623</v>
      </c>
      <c r="C987" s="94">
        <v>0</v>
      </c>
      <c r="D987" s="96" t="s">
        <v>1974</v>
      </c>
      <c r="E987" s="96" t="s">
        <v>6624</v>
      </c>
      <c r="F987" s="96">
        <v>9.1999999999999998E-2</v>
      </c>
      <c r="G987" s="96" t="s">
        <v>6625</v>
      </c>
      <c r="H987" s="96" t="s">
        <v>6626</v>
      </c>
      <c r="I987" s="96" t="s">
        <v>6627</v>
      </c>
      <c r="J987" s="96" t="s">
        <v>6628</v>
      </c>
      <c r="K987" s="96" t="s">
        <v>510</v>
      </c>
      <c r="W987" s="213">
        <v>987</v>
      </c>
      <c r="X987" s="214">
        <v>14</v>
      </c>
    </row>
    <row r="988" spans="1:24" x14ac:dyDescent="0.25">
      <c r="A988" s="97" t="s">
        <v>2240</v>
      </c>
      <c r="B988" s="98" t="s">
        <v>5592</v>
      </c>
      <c r="C988" s="97">
        <v>0</v>
      </c>
      <c r="D988" s="99" t="s">
        <v>3331</v>
      </c>
      <c r="E988" s="99" t="s">
        <v>5593</v>
      </c>
      <c r="F988" s="99">
        <v>9.7000000000000003E-2</v>
      </c>
      <c r="G988" s="99" t="s">
        <v>5594</v>
      </c>
      <c r="H988" s="99" t="s">
        <v>5595</v>
      </c>
      <c r="I988" s="99" t="s">
        <v>5596</v>
      </c>
      <c r="J988" s="99" t="s">
        <v>5597</v>
      </c>
      <c r="K988" s="99" t="s">
        <v>510</v>
      </c>
      <c r="W988" s="213">
        <v>988</v>
      </c>
      <c r="X988" s="214">
        <v>14</v>
      </c>
    </row>
    <row r="989" spans="1:24" x14ac:dyDescent="0.25">
      <c r="A989" s="94" t="s">
        <v>2240</v>
      </c>
      <c r="B989" s="95" t="s">
        <v>5375</v>
      </c>
      <c r="C989" s="94">
        <v>0</v>
      </c>
      <c r="D989" s="96" t="s">
        <v>2446</v>
      </c>
      <c r="E989" s="96" t="s">
        <v>5376</v>
      </c>
      <c r="F989" s="96">
        <v>0.14799999999999999</v>
      </c>
      <c r="G989" s="96" t="s">
        <v>5377</v>
      </c>
      <c r="H989" s="96" t="s">
        <v>5378</v>
      </c>
      <c r="I989" s="96" t="s">
        <v>5379</v>
      </c>
      <c r="J989" s="96" t="s">
        <v>5380</v>
      </c>
      <c r="K989" s="96" t="s">
        <v>510</v>
      </c>
      <c r="W989" s="213">
        <v>989</v>
      </c>
      <c r="X989" s="214">
        <v>14</v>
      </c>
    </row>
    <row r="990" spans="1:24" ht="15" customHeight="1" x14ac:dyDescent="0.25">
      <c r="A990" s="97" t="s">
        <v>2240</v>
      </c>
      <c r="B990" s="98" t="s">
        <v>7015</v>
      </c>
      <c r="C990" s="97">
        <v>0</v>
      </c>
      <c r="D990" s="99" t="s">
        <v>219</v>
      </c>
      <c r="E990" s="99" t="s">
        <v>7016</v>
      </c>
      <c r="F990" s="99">
        <v>0.15</v>
      </c>
      <c r="G990" s="99" t="s">
        <v>7017</v>
      </c>
      <c r="H990" s="99" t="s">
        <v>7018</v>
      </c>
      <c r="I990" s="99" t="s">
        <v>7019</v>
      </c>
      <c r="J990" s="99" t="s">
        <v>7020</v>
      </c>
      <c r="K990" s="99" t="s">
        <v>510</v>
      </c>
      <c r="W990" s="213">
        <v>990</v>
      </c>
      <c r="X990" s="214">
        <v>14</v>
      </c>
    </row>
    <row r="991" spans="1:24" ht="14.45" customHeight="1" x14ac:dyDescent="0.25">
      <c r="A991" s="94" t="s">
        <v>2240</v>
      </c>
      <c r="B991" s="128" t="s">
        <v>7885</v>
      </c>
      <c r="C991" s="94">
        <v>0</v>
      </c>
      <c r="D991" s="96" t="s">
        <v>2421</v>
      </c>
      <c r="E991" s="96" t="s">
        <v>2422</v>
      </c>
      <c r="F991" s="96">
        <v>0.14499999999999999</v>
      </c>
      <c r="G991" s="96" t="s">
        <v>2423</v>
      </c>
      <c r="H991" s="96" t="s">
        <v>2424</v>
      </c>
      <c r="I991" s="96" t="s">
        <v>2425</v>
      </c>
      <c r="J991" s="96" t="s">
        <v>2426</v>
      </c>
      <c r="K991" s="96" t="s">
        <v>510</v>
      </c>
      <c r="W991" s="213">
        <v>991</v>
      </c>
      <c r="X991" s="214">
        <v>14</v>
      </c>
    </row>
    <row r="992" spans="1:24" x14ac:dyDescent="0.25">
      <c r="A992" s="97" t="s">
        <v>2240</v>
      </c>
      <c r="B992" s="98" t="s">
        <v>5443</v>
      </c>
      <c r="C992" s="97">
        <v>0</v>
      </c>
      <c r="D992" s="99" t="s">
        <v>5021</v>
      </c>
      <c r="E992" s="99" t="s">
        <v>5444</v>
      </c>
      <c r="F992" s="99">
        <v>4.9000000000000002E-2</v>
      </c>
      <c r="G992" s="99" t="s">
        <v>5445</v>
      </c>
      <c r="H992" s="99" t="s">
        <v>5446</v>
      </c>
      <c r="I992" s="99" t="s">
        <v>5447</v>
      </c>
      <c r="J992" s="99" t="s">
        <v>5448</v>
      </c>
      <c r="K992" s="99" t="s">
        <v>510</v>
      </c>
      <c r="W992" s="213">
        <v>992</v>
      </c>
      <c r="X992" s="214">
        <v>14</v>
      </c>
    </row>
    <row r="993" spans="1:24" x14ac:dyDescent="0.25">
      <c r="A993" s="94" t="s">
        <v>2240</v>
      </c>
      <c r="B993" s="95" t="s">
        <v>6708</v>
      </c>
      <c r="C993" s="94">
        <v>0</v>
      </c>
      <c r="D993" s="96" t="s">
        <v>219</v>
      </c>
      <c r="E993" s="96" t="s">
        <v>6709</v>
      </c>
      <c r="F993" s="96">
        <v>0.152</v>
      </c>
      <c r="G993" s="96" t="s">
        <v>6710</v>
      </c>
      <c r="H993" s="96" t="s">
        <v>6711</v>
      </c>
      <c r="I993" s="96" t="s">
        <v>6712</v>
      </c>
      <c r="J993" s="96" t="s">
        <v>6713</v>
      </c>
      <c r="K993" s="96" t="s">
        <v>510</v>
      </c>
      <c r="W993" s="213">
        <v>993</v>
      </c>
      <c r="X993" s="214">
        <v>14</v>
      </c>
    </row>
    <row r="994" spans="1:24" x14ac:dyDescent="0.25">
      <c r="A994" s="97" t="s">
        <v>2240</v>
      </c>
      <c r="B994" s="98" t="s">
        <v>4061</v>
      </c>
      <c r="C994" s="97">
        <v>0</v>
      </c>
      <c r="D994" s="99" t="s">
        <v>1016</v>
      </c>
      <c r="E994" s="99" t="s">
        <v>4062</v>
      </c>
      <c r="F994" s="99">
        <v>0.14499999999999999</v>
      </c>
      <c r="G994" s="99" t="s">
        <v>4063</v>
      </c>
      <c r="H994" s="99" t="s">
        <v>4064</v>
      </c>
      <c r="I994" s="99" t="s">
        <v>4065</v>
      </c>
      <c r="J994" s="99" t="s">
        <v>4066</v>
      </c>
      <c r="K994" s="99" t="s">
        <v>510</v>
      </c>
      <c r="W994" s="213">
        <v>994</v>
      </c>
      <c r="X994" s="214">
        <v>14</v>
      </c>
    </row>
    <row r="995" spans="1:24" x14ac:dyDescent="0.25">
      <c r="A995" s="94" t="s">
        <v>2240</v>
      </c>
      <c r="B995" s="95" t="s">
        <v>5100</v>
      </c>
      <c r="C995" s="94">
        <v>0</v>
      </c>
      <c r="D995" s="96" t="s">
        <v>4651</v>
      </c>
      <c r="E995" s="96" t="s">
        <v>5101</v>
      </c>
      <c r="F995" s="96">
        <v>0.14000000000000001</v>
      </c>
      <c r="G995" s="96" t="s">
        <v>5102</v>
      </c>
      <c r="H995" s="96" t="s">
        <v>5103</v>
      </c>
      <c r="I995" s="96" t="s">
        <v>5104</v>
      </c>
      <c r="J995" s="96" t="s">
        <v>5105</v>
      </c>
      <c r="K995" s="96" t="s">
        <v>510</v>
      </c>
      <c r="W995" s="213">
        <v>995</v>
      </c>
      <c r="X995" s="214">
        <v>14</v>
      </c>
    </row>
    <row r="996" spans="1:24" x14ac:dyDescent="0.25">
      <c r="A996" s="97" t="s">
        <v>2240</v>
      </c>
      <c r="B996" s="98" t="s">
        <v>6685</v>
      </c>
      <c r="C996" s="97">
        <v>0</v>
      </c>
      <c r="D996" s="99" t="s">
        <v>1154</v>
      </c>
      <c r="E996" s="99" t="s">
        <v>6686</v>
      </c>
      <c r="F996" s="99">
        <v>6.4000000000000001E-2</v>
      </c>
      <c r="G996" s="99" t="s">
        <v>6687</v>
      </c>
      <c r="H996" s="99" t="s">
        <v>6688</v>
      </c>
      <c r="I996" s="99" t="s">
        <v>6689</v>
      </c>
      <c r="J996" s="99" t="s">
        <v>6690</v>
      </c>
      <c r="K996" s="99" t="s">
        <v>510</v>
      </c>
      <c r="W996" s="213">
        <v>996</v>
      </c>
      <c r="X996" s="214">
        <v>14</v>
      </c>
    </row>
    <row r="997" spans="1:24" x14ac:dyDescent="0.25">
      <c r="A997" s="94" t="s">
        <v>2240</v>
      </c>
      <c r="B997" s="95" t="s">
        <v>5312</v>
      </c>
      <c r="C997" s="94">
        <v>0</v>
      </c>
      <c r="D997" s="96" t="s">
        <v>5215</v>
      </c>
      <c r="E997" s="96" t="s">
        <v>5313</v>
      </c>
      <c r="F997" s="96">
        <v>9.7000000000000003E-2</v>
      </c>
      <c r="G997" s="96" t="s">
        <v>5314</v>
      </c>
      <c r="H997" s="96" t="s">
        <v>5315</v>
      </c>
      <c r="I997" s="96" t="s">
        <v>5316</v>
      </c>
      <c r="J997" s="96" t="s">
        <v>5317</v>
      </c>
      <c r="K997" s="96" t="s">
        <v>510</v>
      </c>
      <c r="W997" s="213">
        <v>997</v>
      </c>
      <c r="X997" s="214">
        <v>14</v>
      </c>
    </row>
    <row r="998" spans="1:24" x14ac:dyDescent="0.25">
      <c r="A998" s="67" t="s">
        <v>1966</v>
      </c>
      <c r="B998" s="69" t="s">
        <v>3307</v>
      </c>
      <c r="C998" s="67">
        <v>0</v>
      </c>
      <c r="D998" s="68" t="s">
        <v>293</v>
      </c>
      <c r="E998" s="68" t="s">
        <v>3308</v>
      </c>
      <c r="F998" s="68">
        <v>0.371</v>
      </c>
      <c r="G998" s="68" t="s">
        <v>3309</v>
      </c>
      <c r="H998" s="68" t="s">
        <v>3310</v>
      </c>
      <c r="I998" s="68" t="s">
        <v>3311</v>
      </c>
      <c r="J998" s="68" t="s">
        <v>3312</v>
      </c>
      <c r="K998" s="68" t="s">
        <v>510</v>
      </c>
      <c r="W998" s="213">
        <v>998</v>
      </c>
      <c r="X998" s="214">
        <v>10</v>
      </c>
    </row>
    <row r="999" spans="1:24" x14ac:dyDescent="0.25">
      <c r="A999" s="71" t="s">
        <v>1966</v>
      </c>
      <c r="B999" s="73" t="s">
        <v>3950</v>
      </c>
      <c r="C999" s="71">
        <v>0</v>
      </c>
      <c r="D999" s="72" t="s">
        <v>365</v>
      </c>
      <c r="E999" s="72" t="s">
        <v>3951</v>
      </c>
      <c r="F999" s="72">
        <v>0.307</v>
      </c>
      <c r="G999" s="72" t="s">
        <v>3952</v>
      </c>
      <c r="H999" s="72" t="s">
        <v>3953</v>
      </c>
      <c r="I999" s="72" t="s">
        <v>3954</v>
      </c>
      <c r="J999" s="72" t="s">
        <v>3955</v>
      </c>
      <c r="K999" s="72" t="s">
        <v>510</v>
      </c>
      <c r="W999" s="213">
        <v>999</v>
      </c>
      <c r="X999" s="214">
        <v>10</v>
      </c>
    </row>
    <row r="1000" spans="1:24" ht="15" customHeight="1" x14ac:dyDescent="0.25">
      <c r="A1000" s="67" t="s">
        <v>1966</v>
      </c>
      <c r="B1000" s="69" t="s">
        <v>3956</v>
      </c>
      <c r="C1000" s="67">
        <v>0</v>
      </c>
      <c r="D1000" s="68" t="s">
        <v>129</v>
      </c>
      <c r="E1000" s="68" t="s">
        <v>3957</v>
      </c>
      <c r="F1000" s="68">
        <v>0.67900000000000005</v>
      </c>
      <c r="G1000" s="68" t="s">
        <v>3958</v>
      </c>
      <c r="H1000" s="68" t="s">
        <v>3959</v>
      </c>
      <c r="I1000" s="68" t="s">
        <v>2228</v>
      </c>
      <c r="J1000" s="68" t="s">
        <v>3960</v>
      </c>
      <c r="K1000" s="68" t="s">
        <v>510</v>
      </c>
      <c r="W1000" s="213">
        <v>1000</v>
      </c>
      <c r="X1000" s="214">
        <v>10</v>
      </c>
    </row>
    <row r="1001" spans="1:24" x14ac:dyDescent="0.25">
      <c r="A1001" s="94" t="s">
        <v>2240</v>
      </c>
      <c r="B1001" s="130" t="s">
        <v>7964</v>
      </c>
      <c r="C1001" s="94">
        <v>0</v>
      </c>
      <c r="D1001" s="96" t="s">
        <v>2266</v>
      </c>
      <c r="E1001" s="96" t="s">
        <v>2427</v>
      </c>
      <c r="F1001" s="96">
        <v>0.14399999999999999</v>
      </c>
      <c r="G1001" s="96" t="s">
        <v>2428</v>
      </c>
      <c r="H1001" s="96" t="s">
        <v>2429</v>
      </c>
      <c r="I1001" s="96" t="s">
        <v>2430</v>
      </c>
      <c r="J1001" s="96" t="s">
        <v>2431</v>
      </c>
      <c r="K1001" s="96" t="s">
        <v>510</v>
      </c>
      <c r="W1001" s="213">
        <v>1001</v>
      </c>
      <c r="X1001" s="214">
        <v>14</v>
      </c>
    </row>
    <row r="1002" spans="1:24" x14ac:dyDescent="0.25">
      <c r="A1002" s="97" t="s">
        <v>2240</v>
      </c>
      <c r="B1002" s="98" t="s">
        <v>6435</v>
      </c>
      <c r="C1002" s="97">
        <v>0</v>
      </c>
      <c r="D1002" s="99" t="s">
        <v>1375</v>
      </c>
      <c r="E1002" s="99" t="s">
        <v>6436</v>
      </c>
      <c r="F1002" s="99">
        <v>0.23100000000000001</v>
      </c>
      <c r="G1002" s="99" t="s">
        <v>5944</v>
      </c>
      <c r="H1002" s="99" t="s">
        <v>6437</v>
      </c>
      <c r="I1002" s="99" t="s">
        <v>6438</v>
      </c>
      <c r="J1002" s="99" t="s">
        <v>6439</v>
      </c>
      <c r="K1002" s="99" t="s">
        <v>510</v>
      </c>
      <c r="W1002" s="213">
        <v>1002</v>
      </c>
      <c r="X1002" s="214">
        <v>14</v>
      </c>
    </row>
    <row r="1003" spans="1:24" x14ac:dyDescent="0.25">
      <c r="A1003" s="94" t="s">
        <v>2240</v>
      </c>
      <c r="B1003" s="130" t="s">
        <v>7965</v>
      </c>
      <c r="C1003" s="94">
        <v>0</v>
      </c>
      <c r="D1003" s="96" t="s">
        <v>2031</v>
      </c>
      <c r="E1003" s="96" t="s">
        <v>2460</v>
      </c>
      <c r="F1003" s="96">
        <v>0.13200000000000001</v>
      </c>
      <c r="G1003" s="96" t="s">
        <v>2461</v>
      </c>
      <c r="H1003" s="96" t="s">
        <v>2462</v>
      </c>
      <c r="I1003" s="96" t="s">
        <v>2463</v>
      </c>
      <c r="J1003" s="96" t="s">
        <v>2464</v>
      </c>
      <c r="K1003" s="96" t="s">
        <v>510</v>
      </c>
      <c r="W1003" s="213">
        <v>1003</v>
      </c>
      <c r="X1003" s="214">
        <v>14</v>
      </c>
    </row>
    <row r="1004" spans="1:24" x14ac:dyDescent="0.25">
      <c r="A1004" s="97" t="s">
        <v>2240</v>
      </c>
      <c r="B1004" s="98" t="s">
        <v>5305</v>
      </c>
      <c r="C1004" s="97">
        <v>0</v>
      </c>
      <c r="D1004" s="99" t="s">
        <v>5306</v>
      </c>
      <c r="E1004" s="99" t="s">
        <v>5307</v>
      </c>
      <c r="F1004" s="99">
        <v>0.16500000000000001</v>
      </c>
      <c r="G1004" s="99" t="s">
        <v>5308</v>
      </c>
      <c r="H1004" s="99" t="s">
        <v>5309</v>
      </c>
      <c r="I1004" s="99" t="s">
        <v>5310</v>
      </c>
      <c r="J1004" s="99" t="s">
        <v>5311</v>
      </c>
      <c r="K1004" s="99" t="s">
        <v>510</v>
      </c>
      <c r="W1004" s="213">
        <v>1004</v>
      </c>
      <c r="X1004" s="214">
        <v>14</v>
      </c>
    </row>
    <row r="1005" spans="1:24" x14ac:dyDescent="0.25">
      <c r="A1005" s="94" t="s">
        <v>2240</v>
      </c>
      <c r="B1005" s="95" t="s">
        <v>5871</v>
      </c>
      <c r="C1005" s="94">
        <v>0</v>
      </c>
      <c r="D1005" s="96" t="s">
        <v>5497</v>
      </c>
      <c r="E1005" s="96" t="s">
        <v>5872</v>
      </c>
      <c r="F1005" s="96">
        <v>9.8000000000000004E-2</v>
      </c>
      <c r="G1005" s="96" t="s">
        <v>5873</v>
      </c>
      <c r="H1005" s="96" t="s">
        <v>5874</v>
      </c>
      <c r="I1005" s="96" t="s">
        <v>5875</v>
      </c>
      <c r="J1005" s="96" t="s">
        <v>5876</v>
      </c>
      <c r="K1005" s="96" t="s">
        <v>510</v>
      </c>
      <c r="W1005" s="213">
        <v>1005</v>
      </c>
      <c r="X1005" s="214">
        <v>14</v>
      </c>
    </row>
    <row r="1006" spans="1:24" x14ac:dyDescent="0.25">
      <c r="A1006" s="97" t="s">
        <v>2240</v>
      </c>
      <c r="B1006" s="98" t="s">
        <v>5906</v>
      </c>
      <c r="C1006" s="97">
        <v>0</v>
      </c>
      <c r="D1006" s="99" t="s">
        <v>384</v>
      </c>
      <c r="E1006" s="99" t="s">
        <v>5907</v>
      </c>
      <c r="F1006" s="99">
        <v>5.1999999999999998E-2</v>
      </c>
      <c r="G1006" s="99" t="s">
        <v>5908</v>
      </c>
      <c r="H1006" s="99" t="s">
        <v>5072</v>
      </c>
      <c r="I1006" s="99" t="s">
        <v>5909</v>
      </c>
      <c r="J1006" s="99" t="s">
        <v>5910</v>
      </c>
      <c r="K1006" s="99" t="s">
        <v>510</v>
      </c>
      <c r="W1006" s="213">
        <v>1006</v>
      </c>
      <c r="X1006" s="214">
        <v>14</v>
      </c>
    </row>
    <row r="1007" spans="1:24" x14ac:dyDescent="0.25">
      <c r="A1007" s="94" t="s">
        <v>2240</v>
      </c>
      <c r="B1007" s="95" t="s">
        <v>5341</v>
      </c>
      <c r="C1007" s="94">
        <v>0</v>
      </c>
      <c r="D1007" s="96" t="s">
        <v>1745</v>
      </c>
      <c r="E1007" s="96" t="s">
        <v>5342</v>
      </c>
      <c r="F1007" s="96">
        <v>0.10299999999999999</v>
      </c>
      <c r="G1007" s="96" t="s">
        <v>5343</v>
      </c>
      <c r="H1007" s="96" t="s">
        <v>5344</v>
      </c>
      <c r="I1007" s="96" t="s">
        <v>5345</v>
      </c>
      <c r="J1007" s="96" t="s">
        <v>5346</v>
      </c>
      <c r="K1007" s="96" t="s">
        <v>510</v>
      </c>
      <c r="W1007" s="213">
        <v>1007</v>
      </c>
      <c r="X1007" s="214">
        <v>14</v>
      </c>
    </row>
    <row r="1008" spans="1:24" x14ac:dyDescent="0.25">
      <c r="A1008" s="97" t="s">
        <v>2240</v>
      </c>
      <c r="B1008" s="98" t="s">
        <v>4842</v>
      </c>
      <c r="C1008" s="97">
        <v>0</v>
      </c>
      <c r="D1008" s="99" t="s">
        <v>4535</v>
      </c>
      <c r="E1008" s="99" t="s">
        <v>4837</v>
      </c>
      <c r="F1008" s="99">
        <v>0.111</v>
      </c>
      <c r="G1008" s="99" t="s">
        <v>4838</v>
      </c>
      <c r="H1008" s="99" t="s">
        <v>4839</v>
      </c>
      <c r="I1008" s="99" t="s">
        <v>4840</v>
      </c>
      <c r="J1008" s="99" t="s">
        <v>4841</v>
      </c>
      <c r="K1008" s="99" t="s">
        <v>510</v>
      </c>
      <c r="W1008" s="213">
        <v>1008</v>
      </c>
      <c r="X1008" s="214">
        <v>14</v>
      </c>
    </row>
    <row r="1009" spans="1:24" ht="14.45" customHeight="1" x14ac:dyDescent="0.25">
      <c r="A1009" s="94" t="s">
        <v>2240</v>
      </c>
      <c r="B1009" s="128" t="s">
        <v>8432</v>
      </c>
      <c r="C1009" s="94">
        <v>0</v>
      </c>
      <c r="D1009" s="96" t="s">
        <v>2432</v>
      </c>
      <c r="E1009" s="96" t="s">
        <v>2433</v>
      </c>
      <c r="F1009" s="96">
        <v>8.2000000000000003E-2</v>
      </c>
      <c r="G1009" s="96" t="s">
        <v>2434</v>
      </c>
      <c r="H1009" s="96" t="s">
        <v>2435</v>
      </c>
      <c r="I1009" s="96" t="s">
        <v>2436</v>
      </c>
      <c r="J1009" s="96" t="s">
        <v>2437</v>
      </c>
      <c r="K1009" s="96" t="s">
        <v>510</v>
      </c>
      <c r="W1009" s="213">
        <v>1009</v>
      </c>
      <c r="X1009" s="214">
        <v>14</v>
      </c>
    </row>
    <row r="1010" spans="1:24" x14ac:dyDescent="0.25">
      <c r="A1010" s="97" t="s">
        <v>2240</v>
      </c>
      <c r="B1010" s="98" t="s">
        <v>5843</v>
      </c>
      <c r="C1010" s="97">
        <v>0</v>
      </c>
      <c r="D1010" s="99" t="s">
        <v>431</v>
      </c>
      <c r="E1010" s="99" t="s">
        <v>5844</v>
      </c>
      <c r="F1010" s="99">
        <v>0.16200000000000001</v>
      </c>
      <c r="G1010" s="99" t="s">
        <v>5845</v>
      </c>
      <c r="H1010" s="99" t="s">
        <v>5846</v>
      </c>
      <c r="I1010" s="99" t="s">
        <v>5847</v>
      </c>
      <c r="J1010" s="99" t="s">
        <v>5848</v>
      </c>
      <c r="K1010" s="99" t="s">
        <v>510</v>
      </c>
      <c r="W1010" s="213">
        <v>1010</v>
      </c>
      <c r="X1010" s="214">
        <v>14</v>
      </c>
    </row>
    <row r="1011" spans="1:24" ht="14.45" customHeight="1" x14ac:dyDescent="0.25">
      <c r="A1011" s="94" t="s">
        <v>2240</v>
      </c>
      <c r="B1011" s="128" t="s">
        <v>2438</v>
      </c>
      <c r="C1011" s="94">
        <v>1</v>
      </c>
      <c r="D1011" s="96" t="s">
        <v>2439</v>
      </c>
      <c r="E1011" s="96" t="s">
        <v>2440</v>
      </c>
      <c r="F1011" s="96">
        <v>0.106</v>
      </c>
      <c r="G1011" s="96" t="s">
        <v>2441</v>
      </c>
      <c r="H1011" s="96" t="s">
        <v>2442</v>
      </c>
      <c r="I1011" s="96" t="s">
        <v>2443</v>
      </c>
      <c r="J1011" s="96" t="s">
        <v>2444</v>
      </c>
      <c r="K1011" s="96" t="s">
        <v>9401</v>
      </c>
      <c r="W1011" s="213">
        <v>1011</v>
      </c>
      <c r="X1011" s="214">
        <v>14</v>
      </c>
    </row>
    <row r="1012" spans="1:24" ht="14.45" customHeight="1" x14ac:dyDescent="0.25">
      <c r="A1012" s="99" t="s">
        <v>0</v>
      </c>
      <c r="B1012" s="97" t="s">
        <v>32</v>
      </c>
      <c r="C1012" s="129" t="s">
        <v>2445</v>
      </c>
      <c r="D1012" s="99" t="s">
        <v>2446</v>
      </c>
      <c r="E1012" s="99" t="s">
        <v>2447</v>
      </c>
      <c r="F1012" s="99">
        <v>0.01</v>
      </c>
      <c r="G1012" s="99" t="s">
        <v>510</v>
      </c>
      <c r="H1012" s="109"/>
      <c r="I1012" s="109"/>
      <c r="J1012" s="109"/>
      <c r="K1012" s="99" t="s">
        <v>510</v>
      </c>
      <c r="W1012" s="213">
        <v>1012</v>
      </c>
      <c r="X1012" s="214">
        <v>14</v>
      </c>
    </row>
    <row r="1013" spans="1:24" x14ac:dyDescent="0.25">
      <c r="A1013" s="94" t="s">
        <v>2240</v>
      </c>
      <c r="B1013" s="95" t="s">
        <v>6668</v>
      </c>
      <c r="C1013" s="94">
        <v>0</v>
      </c>
      <c r="D1013" s="96" t="s">
        <v>1974</v>
      </c>
      <c r="E1013" s="96" t="s">
        <v>6669</v>
      </c>
      <c r="F1013" s="96">
        <v>0.25</v>
      </c>
      <c r="G1013" s="96" t="s">
        <v>6670</v>
      </c>
      <c r="H1013" s="96" t="s">
        <v>6671</v>
      </c>
      <c r="I1013" s="96" t="s">
        <v>6672</v>
      </c>
      <c r="J1013" s="96" t="s">
        <v>6673</v>
      </c>
      <c r="K1013" s="96" t="s">
        <v>510</v>
      </c>
      <c r="W1013" s="213">
        <v>1013</v>
      </c>
      <c r="X1013" s="214">
        <v>14</v>
      </c>
    </row>
    <row r="1014" spans="1:24" x14ac:dyDescent="0.25">
      <c r="A1014" s="97" t="s">
        <v>2240</v>
      </c>
      <c r="B1014" s="98" t="s">
        <v>4387</v>
      </c>
      <c r="C1014" s="97">
        <v>0</v>
      </c>
      <c r="D1014" s="99" t="s">
        <v>2165</v>
      </c>
      <c r="E1014" s="99" t="s">
        <v>4388</v>
      </c>
      <c r="F1014" s="99">
        <v>0.17299999999999999</v>
      </c>
      <c r="G1014" s="99" t="s">
        <v>4389</v>
      </c>
      <c r="H1014" s="99" t="s">
        <v>4390</v>
      </c>
      <c r="I1014" s="99" t="s">
        <v>4391</v>
      </c>
      <c r="J1014" s="99" t="s">
        <v>4392</v>
      </c>
      <c r="K1014" s="99" t="s">
        <v>510</v>
      </c>
      <c r="W1014" s="213">
        <v>1014</v>
      </c>
      <c r="X1014" s="214">
        <v>14</v>
      </c>
    </row>
    <row r="1015" spans="1:24" x14ac:dyDescent="0.25">
      <c r="A1015" s="94" t="s">
        <v>2240</v>
      </c>
      <c r="B1015" s="95" t="s">
        <v>5235</v>
      </c>
      <c r="C1015" s="94">
        <v>0</v>
      </c>
      <c r="D1015" s="96" t="s">
        <v>3206</v>
      </c>
      <c r="E1015" s="96" t="s">
        <v>5236</v>
      </c>
      <c r="F1015" s="96">
        <v>0.16300000000000001</v>
      </c>
      <c r="G1015" s="96" t="s">
        <v>5237</v>
      </c>
      <c r="H1015" s="96" t="s">
        <v>5238</v>
      </c>
      <c r="I1015" s="96" t="s">
        <v>5239</v>
      </c>
      <c r="J1015" s="96" t="s">
        <v>5240</v>
      </c>
      <c r="K1015" s="96" t="s">
        <v>510</v>
      </c>
      <c r="W1015" s="213">
        <v>1015</v>
      </c>
      <c r="X1015" s="214">
        <v>14</v>
      </c>
    </row>
    <row r="1016" spans="1:24" x14ac:dyDescent="0.25">
      <c r="A1016" s="97" t="s">
        <v>2240</v>
      </c>
      <c r="B1016" s="98" t="s">
        <v>7264</v>
      </c>
      <c r="C1016" s="97">
        <v>0</v>
      </c>
      <c r="D1016" s="99" t="s">
        <v>1016</v>
      </c>
      <c r="E1016" s="99" t="s">
        <v>7265</v>
      </c>
      <c r="F1016" s="99">
        <v>8.5999999999999993E-2</v>
      </c>
      <c r="G1016" s="99" t="s">
        <v>6331</v>
      </c>
      <c r="H1016" s="99" t="s">
        <v>7266</v>
      </c>
      <c r="I1016" s="99" t="s">
        <v>7267</v>
      </c>
      <c r="J1016" s="99" t="s">
        <v>7268</v>
      </c>
      <c r="K1016" s="99" t="s">
        <v>510</v>
      </c>
      <c r="W1016" s="213">
        <v>1016</v>
      </c>
      <c r="X1016" s="214">
        <v>14</v>
      </c>
    </row>
    <row r="1017" spans="1:24" x14ac:dyDescent="0.25">
      <c r="A1017" s="94" t="s">
        <v>2240</v>
      </c>
      <c r="B1017" s="95" t="s">
        <v>6103</v>
      </c>
      <c r="C1017" s="94">
        <v>0</v>
      </c>
      <c r="D1017" s="96" t="s">
        <v>450</v>
      </c>
      <c r="E1017" s="96" t="s">
        <v>6104</v>
      </c>
      <c r="F1017" s="96">
        <v>0.104</v>
      </c>
      <c r="G1017" s="96" t="s">
        <v>6105</v>
      </c>
      <c r="H1017" s="96" t="s">
        <v>6106</v>
      </c>
      <c r="I1017" s="96" t="s">
        <v>6107</v>
      </c>
      <c r="J1017" s="96" t="s">
        <v>6108</v>
      </c>
      <c r="K1017" s="96" t="s">
        <v>510</v>
      </c>
      <c r="W1017" s="213">
        <v>1017</v>
      </c>
      <c r="X1017" s="214">
        <v>14</v>
      </c>
    </row>
    <row r="1018" spans="1:24" x14ac:dyDescent="0.25">
      <c r="A1018" s="97" t="s">
        <v>2240</v>
      </c>
      <c r="B1018" s="131" t="s">
        <v>7966</v>
      </c>
      <c r="C1018" s="97">
        <v>0</v>
      </c>
      <c r="D1018" s="99" t="s">
        <v>2355</v>
      </c>
      <c r="E1018" s="99" t="s">
        <v>2449</v>
      </c>
      <c r="F1018" s="99">
        <v>0.128</v>
      </c>
      <c r="G1018" s="99" t="s">
        <v>2452</v>
      </c>
      <c r="H1018" s="99" t="s">
        <v>2451</v>
      </c>
      <c r="I1018" s="99" t="s">
        <v>2450</v>
      </c>
      <c r="J1018" s="99" t="s">
        <v>2453</v>
      </c>
      <c r="K1018" s="99" t="s">
        <v>510</v>
      </c>
      <c r="W1018" s="213">
        <v>1018</v>
      </c>
      <c r="X1018" s="214">
        <v>14</v>
      </c>
    </row>
    <row r="1019" spans="1:24" x14ac:dyDescent="0.25">
      <c r="A1019" s="94" t="s">
        <v>2240</v>
      </c>
      <c r="B1019" s="130" t="s">
        <v>7924</v>
      </c>
      <c r="C1019" s="94">
        <v>0</v>
      </c>
      <c r="D1019" s="96" t="s">
        <v>2454</v>
      </c>
      <c r="E1019" s="96" t="s">
        <v>2455</v>
      </c>
      <c r="F1019" s="96">
        <v>0.23100000000000001</v>
      </c>
      <c r="G1019" s="96" t="s">
        <v>2456</v>
      </c>
      <c r="H1019" s="96" t="s">
        <v>2457</v>
      </c>
      <c r="I1019" s="96" t="s">
        <v>2458</v>
      </c>
      <c r="J1019" s="96" t="s">
        <v>2459</v>
      </c>
      <c r="K1019" s="96" t="s">
        <v>510</v>
      </c>
      <c r="W1019" s="213">
        <v>1019</v>
      </c>
      <c r="X1019" s="214">
        <v>14</v>
      </c>
    </row>
    <row r="1020" spans="1:24" x14ac:dyDescent="0.25">
      <c r="A1020" s="97" t="s">
        <v>2240</v>
      </c>
      <c r="B1020" s="98" t="s">
        <v>4843</v>
      </c>
      <c r="C1020" s="97">
        <v>0</v>
      </c>
      <c r="D1020" s="99" t="s">
        <v>4616</v>
      </c>
      <c r="E1020" s="99" t="s">
        <v>2455</v>
      </c>
      <c r="F1020" s="99">
        <v>0.14499999999999999</v>
      </c>
      <c r="G1020" s="99" t="s">
        <v>4844</v>
      </c>
      <c r="H1020" s="99" t="s">
        <v>2863</v>
      </c>
      <c r="I1020" s="99" t="s">
        <v>4845</v>
      </c>
      <c r="J1020" s="99" t="s">
        <v>4846</v>
      </c>
      <c r="K1020" s="99" t="s">
        <v>510</v>
      </c>
      <c r="W1020" s="213">
        <v>1020</v>
      </c>
      <c r="X1020" s="214">
        <v>14</v>
      </c>
    </row>
    <row r="1021" spans="1:24" x14ac:dyDescent="0.25">
      <c r="A1021" s="94" t="s">
        <v>2240</v>
      </c>
      <c r="B1021" s="95" t="s">
        <v>4997</v>
      </c>
      <c r="C1021" s="94">
        <v>0</v>
      </c>
      <c r="D1021" s="96" t="s">
        <v>4609</v>
      </c>
      <c r="E1021" s="96" t="s">
        <v>4998</v>
      </c>
      <c r="F1021" s="96">
        <v>8.1000000000000003E-2</v>
      </c>
      <c r="G1021" s="96" t="s">
        <v>4999</v>
      </c>
      <c r="H1021" s="96" t="s">
        <v>5000</v>
      </c>
      <c r="I1021" s="96" t="s">
        <v>5001</v>
      </c>
      <c r="J1021" s="96" t="s">
        <v>3510</v>
      </c>
      <c r="K1021" s="96" t="s">
        <v>510</v>
      </c>
      <c r="W1021" s="213">
        <v>1021</v>
      </c>
      <c r="X1021" s="214">
        <v>14</v>
      </c>
    </row>
    <row r="1022" spans="1:24" ht="14.45" customHeight="1" x14ac:dyDescent="0.25">
      <c r="A1022" s="97" t="s">
        <v>2240</v>
      </c>
      <c r="B1022" s="129" t="s">
        <v>8429</v>
      </c>
      <c r="C1022" s="97">
        <v>1</v>
      </c>
      <c r="D1022" s="99" t="s">
        <v>2465</v>
      </c>
      <c r="E1022" s="99" t="s">
        <v>2466</v>
      </c>
      <c r="F1022" s="99">
        <v>0.14099999999999999</v>
      </c>
      <c r="G1022" s="99" t="s">
        <v>2467</v>
      </c>
      <c r="H1022" s="99" t="s">
        <v>2468</v>
      </c>
      <c r="I1022" s="99" t="s">
        <v>2469</v>
      </c>
      <c r="J1022" s="99" t="s">
        <v>2470</v>
      </c>
      <c r="K1022" s="99" t="s">
        <v>510</v>
      </c>
      <c r="W1022" s="213">
        <v>1022</v>
      </c>
      <c r="X1022" s="214">
        <v>14</v>
      </c>
    </row>
    <row r="1023" spans="1:24" ht="14.45" customHeight="1" x14ac:dyDescent="0.25">
      <c r="A1023" s="96" t="s">
        <v>0</v>
      </c>
      <c r="B1023" s="94" t="s">
        <v>32</v>
      </c>
      <c r="C1023" s="128" t="s">
        <v>8430</v>
      </c>
      <c r="D1023" s="96" t="s">
        <v>2471</v>
      </c>
      <c r="E1023" s="96" t="s">
        <v>2472</v>
      </c>
      <c r="F1023" s="96">
        <v>0.18</v>
      </c>
      <c r="G1023" s="96" t="s">
        <v>510</v>
      </c>
      <c r="H1023" s="110"/>
      <c r="I1023" s="110"/>
      <c r="J1023" s="110"/>
      <c r="K1023" s="96" t="s">
        <v>510</v>
      </c>
      <c r="W1023" s="213">
        <v>1023</v>
      </c>
      <c r="X1023" s="214">
        <v>14</v>
      </c>
    </row>
    <row r="1024" spans="1:24" x14ac:dyDescent="0.25">
      <c r="A1024" s="97" t="s">
        <v>2240</v>
      </c>
      <c r="B1024" s="98" t="s">
        <v>4494</v>
      </c>
      <c r="C1024" s="97">
        <v>0</v>
      </c>
      <c r="D1024" s="99" t="s">
        <v>4265</v>
      </c>
      <c r="E1024" s="99" t="s">
        <v>4495</v>
      </c>
      <c r="F1024" s="99">
        <v>0.161</v>
      </c>
      <c r="G1024" s="99" t="s">
        <v>4496</v>
      </c>
      <c r="H1024" s="99" t="s">
        <v>1012</v>
      </c>
      <c r="I1024" s="99" t="s">
        <v>4497</v>
      </c>
      <c r="J1024" s="99" t="s">
        <v>4498</v>
      </c>
      <c r="K1024" s="99" t="s">
        <v>510</v>
      </c>
      <c r="W1024" s="213">
        <v>1024</v>
      </c>
      <c r="X1024" s="214">
        <v>14</v>
      </c>
    </row>
    <row r="1025" spans="1:24" x14ac:dyDescent="0.25">
      <c r="A1025" s="94" t="s">
        <v>2240</v>
      </c>
      <c r="B1025" s="95" t="s">
        <v>5877</v>
      </c>
      <c r="C1025" s="94">
        <v>0</v>
      </c>
      <c r="D1025" s="96" t="s">
        <v>2094</v>
      </c>
      <c r="E1025" s="96" t="s">
        <v>5878</v>
      </c>
      <c r="F1025" s="96">
        <v>0.104</v>
      </c>
      <c r="G1025" s="96" t="s">
        <v>5879</v>
      </c>
      <c r="H1025" s="96" t="s">
        <v>5880</v>
      </c>
      <c r="I1025" s="96" t="s">
        <v>5881</v>
      </c>
      <c r="J1025" s="96" t="s">
        <v>5882</v>
      </c>
      <c r="K1025" s="96" t="s">
        <v>510</v>
      </c>
      <c r="W1025" s="213">
        <v>1025</v>
      </c>
      <c r="X1025" s="214">
        <v>14</v>
      </c>
    </row>
    <row r="1026" spans="1:24" x14ac:dyDescent="0.25">
      <c r="A1026" s="97" t="s">
        <v>2240</v>
      </c>
      <c r="B1026" s="98" t="s">
        <v>6564</v>
      </c>
      <c r="C1026" s="97">
        <v>0</v>
      </c>
      <c r="D1026" s="99" t="s">
        <v>1146</v>
      </c>
      <c r="E1026" s="99" t="s">
        <v>6565</v>
      </c>
      <c r="F1026" s="99">
        <v>0.24199999999999999</v>
      </c>
      <c r="G1026" s="99" t="s">
        <v>6566</v>
      </c>
      <c r="H1026" s="99" t="s">
        <v>6567</v>
      </c>
      <c r="I1026" s="99" t="s">
        <v>6568</v>
      </c>
      <c r="J1026" s="99" t="s">
        <v>6569</v>
      </c>
      <c r="K1026" s="99" t="s">
        <v>510</v>
      </c>
      <c r="W1026" s="213">
        <v>1026</v>
      </c>
      <c r="X1026" s="214">
        <v>14</v>
      </c>
    </row>
    <row r="1027" spans="1:24" x14ac:dyDescent="0.25">
      <c r="A1027" s="94" t="s">
        <v>2240</v>
      </c>
      <c r="B1027" s="95" t="s">
        <v>5190</v>
      </c>
      <c r="C1027" s="94">
        <v>0</v>
      </c>
      <c r="D1027" s="96" t="s">
        <v>4694</v>
      </c>
      <c r="E1027" s="96" t="s">
        <v>5191</v>
      </c>
      <c r="F1027" s="96">
        <v>7.6999999999999999E-2</v>
      </c>
      <c r="G1027" s="96" t="s">
        <v>5192</v>
      </c>
      <c r="H1027" s="96" t="s">
        <v>5193</v>
      </c>
      <c r="I1027" s="96" t="s">
        <v>5194</v>
      </c>
      <c r="J1027" s="96" t="s">
        <v>5195</v>
      </c>
      <c r="K1027" s="96" t="s">
        <v>510</v>
      </c>
      <c r="W1027" s="213">
        <v>1027</v>
      </c>
      <c r="X1027" s="214">
        <v>14</v>
      </c>
    </row>
    <row r="1028" spans="1:24" ht="14.45" customHeight="1" x14ac:dyDescent="0.25">
      <c r="A1028" s="97" t="s">
        <v>2240</v>
      </c>
      <c r="B1028" s="99" t="s">
        <v>7461</v>
      </c>
      <c r="C1028" s="97">
        <v>0</v>
      </c>
      <c r="D1028" s="99" t="s">
        <v>4651</v>
      </c>
      <c r="E1028" s="99" t="s">
        <v>7462</v>
      </c>
      <c r="F1028" s="99">
        <v>0.01</v>
      </c>
      <c r="G1028" s="99" t="s">
        <v>7463</v>
      </c>
      <c r="H1028" s="99" t="s">
        <v>7464</v>
      </c>
      <c r="I1028" s="99" t="s">
        <v>7465</v>
      </c>
      <c r="J1028" s="99" t="s">
        <v>7466</v>
      </c>
      <c r="K1028" s="99" t="s">
        <v>510</v>
      </c>
      <c r="W1028" s="213">
        <v>1028</v>
      </c>
      <c r="X1028" s="214">
        <v>14</v>
      </c>
    </row>
    <row r="1029" spans="1:24" x14ac:dyDescent="0.25">
      <c r="A1029" s="94" t="s">
        <v>2240</v>
      </c>
      <c r="B1029" s="95" t="s">
        <v>5386</v>
      </c>
      <c r="C1029" s="94">
        <v>0</v>
      </c>
      <c r="D1029" s="96" t="s">
        <v>5215</v>
      </c>
      <c r="E1029" s="96" t="s">
        <v>5387</v>
      </c>
      <c r="F1029" s="96">
        <v>0.115</v>
      </c>
      <c r="G1029" s="96" t="s">
        <v>5388</v>
      </c>
      <c r="H1029" s="96" t="s">
        <v>5389</v>
      </c>
      <c r="I1029" s="96" t="s">
        <v>5390</v>
      </c>
      <c r="J1029" s="96" t="s">
        <v>4255</v>
      </c>
      <c r="K1029" s="96" t="s">
        <v>510</v>
      </c>
      <c r="W1029" s="213">
        <v>1029</v>
      </c>
      <c r="X1029" s="214">
        <v>14</v>
      </c>
    </row>
    <row r="1030" spans="1:24" x14ac:dyDescent="0.25">
      <c r="A1030" s="97" t="s">
        <v>2240</v>
      </c>
      <c r="B1030" s="98" t="s">
        <v>6154</v>
      </c>
      <c r="C1030" s="97">
        <v>0</v>
      </c>
      <c r="D1030" s="99" t="s">
        <v>2351</v>
      </c>
      <c r="E1030" s="99" t="s">
        <v>5387</v>
      </c>
      <c r="F1030" s="99">
        <v>2.9000000000000001E-2</v>
      </c>
      <c r="G1030" s="99" t="s">
        <v>6155</v>
      </c>
      <c r="H1030" s="99" t="s">
        <v>6156</v>
      </c>
      <c r="I1030" s="99" t="s">
        <v>6157</v>
      </c>
      <c r="J1030" s="99" t="s">
        <v>6158</v>
      </c>
      <c r="K1030" s="99" t="s">
        <v>510</v>
      </c>
      <c r="W1030" s="213">
        <v>1030</v>
      </c>
      <c r="X1030" s="214">
        <v>14</v>
      </c>
    </row>
    <row r="1031" spans="1:24" x14ac:dyDescent="0.25">
      <c r="A1031" s="94" t="s">
        <v>2240</v>
      </c>
      <c r="B1031" s="95" t="s">
        <v>4312</v>
      </c>
      <c r="C1031" s="94">
        <v>0</v>
      </c>
      <c r="D1031" s="96" t="s">
        <v>4313</v>
      </c>
      <c r="E1031" s="96" t="s">
        <v>4314</v>
      </c>
      <c r="F1031" s="96">
        <v>0.13100000000000001</v>
      </c>
      <c r="G1031" s="96" t="s">
        <v>4315</v>
      </c>
      <c r="H1031" s="96" t="s">
        <v>4316</v>
      </c>
      <c r="I1031" s="96" t="s">
        <v>4317</v>
      </c>
      <c r="J1031" s="96" t="s">
        <v>4318</v>
      </c>
      <c r="K1031" s="96" t="s">
        <v>510</v>
      </c>
      <c r="W1031" s="213">
        <v>1031</v>
      </c>
      <c r="X1031" s="214">
        <v>14</v>
      </c>
    </row>
    <row r="1032" spans="1:24" x14ac:dyDescent="0.25">
      <c r="A1032" s="97" t="s">
        <v>2240</v>
      </c>
      <c r="B1032" s="98" t="s">
        <v>4991</v>
      </c>
      <c r="C1032" s="97">
        <v>0</v>
      </c>
      <c r="D1032" s="99" t="s">
        <v>4535</v>
      </c>
      <c r="E1032" s="99" t="s">
        <v>4992</v>
      </c>
      <c r="F1032" s="99">
        <v>4.9000000000000002E-2</v>
      </c>
      <c r="G1032" s="99" t="s">
        <v>4993</v>
      </c>
      <c r="H1032" s="99" t="s">
        <v>4994</v>
      </c>
      <c r="I1032" s="99" t="s">
        <v>4995</v>
      </c>
      <c r="J1032" s="99" t="s">
        <v>4996</v>
      </c>
      <c r="K1032" s="99" t="s">
        <v>510</v>
      </c>
      <c r="W1032" s="213">
        <v>1032</v>
      </c>
      <c r="X1032" s="214">
        <v>14</v>
      </c>
    </row>
    <row r="1033" spans="1:24" x14ac:dyDescent="0.25">
      <c r="A1033" s="94" t="s">
        <v>2240</v>
      </c>
      <c r="B1033" s="95" t="s">
        <v>5172</v>
      </c>
      <c r="C1033" s="94">
        <v>0</v>
      </c>
      <c r="D1033" s="96" t="s">
        <v>4258</v>
      </c>
      <c r="E1033" s="96" t="s">
        <v>5173</v>
      </c>
      <c r="F1033" s="96">
        <v>0.11</v>
      </c>
      <c r="G1033" s="96" t="s">
        <v>5174</v>
      </c>
      <c r="H1033" s="96" t="s">
        <v>5175</v>
      </c>
      <c r="I1033" s="96" t="s">
        <v>5176</v>
      </c>
      <c r="J1033" s="96" t="s">
        <v>5177</v>
      </c>
      <c r="K1033" s="96" t="s">
        <v>510</v>
      </c>
      <c r="W1033" s="213">
        <v>1033</v>
      </c>
      <c r="X1033" s="214">
        <v>14</v>
      </c>
    </row>
    <row r="1034" spans="1:24" x14ac:dyDescent="0.25">
      <c r="A1034" s="97" t="s">
        <v>2240</v>
      </c>
      <c r="B1034" s="98" t="s">
        <v>4376</v>
      </c>
      <c r="C1034" s="97">
        <v>0</v>
      </c>
      <c r="D1034" s="99" t="s">
        <v>4377</v>
      </c>
      <c r="E1034" s="99" t="s">
        <v>4378</v>
      </c>
      <c r="F1034" s="99">
        <v>0.16900000000000001</v>
      </c>
      <c r="G1034" s="99" t="s">
        <v>4379</v>
      </c>
      <c r="H1034" s="99" t="s">
        <v>4380</v>
      </c>
      <c r="I1034" s="99" t="s">
        <v>4381</v>
      </c>
      <c r="J1034" s="99" t="s">
        <v>2806</v>
      </c>
      <c r="K1034" s="99" t="s">
        <v>510</v>
      </c>
      <c r="W1034" s="213">
        <v>1034</v>
      </c>
      <c r="X1034" s="214">
        <v>14</v>
      </c>
    </row>
    <row r="1035" spans="1:24" x14ac:dyDescent="0.25">
      <c r="A1035" s="94" t="s">
        <v>2240</v>
      </c>
      <c r="B1035" s="95" t="s">
        <v>7358</v>
      </c>
      <c r="C1035" s="94">
        <v>0</v>
      </c>
      <c r="D1035" s="96" t="s">
        <v>261</v>
      </c>
      <c r="E1035" s="96" t="s">
        <v>7359</v>
      </c>
      <c r="F1035" s="96">
        <v>0.15</v>
      </c>
      <c r="G1035" s="96" t="s">
        <v>7360</v>
      </c>
      <c r="H1035" s="96" t="s">
        <v>7361</v>
      </c>
      <c r="I1035" s="96" t="s">
        <v>7362</v>
      </c>
      <c r="J1035" s="96" t="s">
        <v>7363</v>
      </c>
      <c r="K1035" s="96" t="s">
        <v>510</v>
      </c>
      <c r="W1035" s="213">
        <v>1035</v>
      </c>
      <c r="X1035" s="214">
        <v>14</v>
      </c>
    </row>
    <row r="1036" spans="1:24" x14ac:dyDescent="0.25">
      <c r="A1036" s="97" t="s">
        <v>2240</v>
      </c>
      <c r="B1036" s="98" t="s">
        <v>7003</v>
      </c>
      <c r="C1036" s="97">
        <v>0</v>
      </c>
      <c r="D1036" s="99" t="s">
        <v>1318</v>
      </c>
      <c r="E1036" s="99" t="s">
        <v>7004</v>
      </c>
      <c r="F1036" s="99">
        <v>0.20499999999999999</v>
      </c>
      <c r="G1036" s="99" t="s">
        <v>7005</v>
      </c>
      <c r="H1036" s="99" t="s">
        <v>7006</v>
      </c>
      <c r="I1036" s="99" t="s">
        <v>7007</v>
      </c>
      <c r="J1036" s="99" t="s">
        <v>7008</v>
      </c>
      <c r="K1036" s="99" t="s">
        <v>510</v>
      </c>
      <c r="W1036" s="213">
        <v>1036</v>
      </c>
      <c r="X1036" s="214">
        <v>14</v>
      </c>
    </row>
    <row r="1037" spans="1:24" x14ac:dyDescent="0.25">
      <c r="A1037" s="71" t="s">
        <v>1966</v>
      </c>
      <c r="B1037" s="73" t="s">
        <v>3961</v>
      </c>
      <c r="C1037" s="71">
        <v>0</v>
      </c>
      <c r="D1037" s="72" t="s">
        <v>99</v>
      </c>
      <c r="E1037" s="72" t="s">
        <v>3962</v>
      </c>
      <c r="F1037" s="72">
        <v>0.40100000000000002</v>
      </c>
      <c r="G1037" s="72" t="s">
        <v>3963</v>
      </c>
      <c r="H1037" s="72" t="s">
        <v>3964</v>
      </c>
      <c r="I1037" s="72" t="s">
        <v>3965</v>
      </c>
      <c r="J1037" s="72" t="s">
        <v>3966</v>
      </c>
      <c r="K1037" s="72" t="s">
        <v>510</v>
      </c>
      <c r="W1037" s="213">
        <v>1037</v>
      </c>
      <c r="X1037" s="214">
        <v>10</v>
      </c>
    </row>
    <row r="1038" spans="1:24" x14ac:dyDescent="0.25">
      <c r="A1038" s="97" t="s">
        <v>2240</v>
      </c>
      <c r="B1038" s="98" t="s">
        <v>4675</v>
      </c>
      <c r="C1038" s="97">
        <v>0</v>
      </c>
      <c r="D1038" s="99" t="s">
        <v>4339</v>
      </c>
      <c r="E1038" s="99" t="s">
        <v>4676</v>
      </c>
      <c r="F1038" s="99">
        <v>0.17499999999999999</v>
      </c>
      <c r="G1038" s="99" t="s">
        <v>4677</v>
      </c>
      <c r="H1038" s="99" t="s">
        <v>4678</v>
      </c>
      <c r="I1038" s="99" t="s">
        <v>4679</v>
      </c>
      <c r="J1038" s="99" t="s">
        <v>4680</v>
      </c>
      <c r="K1038" s="99" t="s">
        <v>510</v>
      </c>
      <c r="W1038" s="213">
        <v>1038</v>
      </c>
      <c r="X1038" s="214">
        <v>14</v>
      </c>
    </row>
    <row r="1039" spans="1:24" x14ac:dyDescent="0.25">
      <c r="A1039" s="94" t="s">
        <v>2240</v>
      </c>
      <c r="B1039" s="128" t="s">
        <v>2473</v>
      </c>
      <c r="C1039" s="94">
        <v>0</v>
      </c>
      <c r="D1039" s="96" t="s">
        <v>2474</v>
      </c>
      <c r="E1039" s="96" t="s">
        <v>2475</v>
      </c>
      <c r="F1039" s="96">
        <v>5.6000000000000001E-2</v>
      </c>
      <c r="G1039" s="96" t="s">
        <v>2476</v>
      </c>
      <c r="H1039" s="96" t="s">
        <v>2477</v>
      </c>
      <c r="I1039" s="96" t="s">
        <v>2478</v>
      </c>
      <c r="J1039" s="96" t="s">
        <v>2479</v>
      </c>
      <c r="K1039" s="96" t="s">
        <v>510</v>
      </c>
      <c r="W1039" s="213">
        <v>1039</v>
      </c>
      <c r="X1039" s="214">
        <v>14</v>
      </c>
    </row>
    <row r="1040" spans="1:24" x14ac:dyDescent="0.25">
      <c r="A1040" s="97" t="s">
        <v>2240</v>
      </c>
      <c r="B1040" s="98" t="s">
        <v>7290</v>
      </c>
      <c r="C1040" s="97">
        <v>0</v>
      </c>
      <c r="D1040" s="99" t="s">
        <v>293</v>
      </c>
      <c r="E1040" s="99" t="s">
        <v>7291</v>
      </c>
      <c r="F1040" s="99">
        <v>7.5999999999999998E-2</v>
      </c>
      <c r="G1040" s="99" t="s">
        <v>7292</v>
      </c>
      <c r="H1040" s="99" t="s">
        <v>7293</v>
      </c>
      <c r="I1040" s="99" t="s">
        <v>7294</v>
      </c>
      <c r="J1040" s="99" t="s">
        <v>7295</v>
      </c>
      <c r="K1040" s="99" t="s">
        <v>510</v>
      </c>
      <c r="W1040" s="213">
        <v>1040</v>
      </c>
      <c r="X1040" s="214">
        <v>14</v>
      </c>
    </row>
    <row r="1041" spans="1:24" x14ac:dyDescent="0.25">
      <c r="A1041" s="94" t="s">
        <v>2240</v>
      </c>
      <c r="B1041" s="95" t="s">
        <v>6702</v>
      </c>
      <c r="C1041" s="94">
        <v>0</v>
      </c>
      <c r="D1041" s="96" t="s">
        <v>3161</v>
      </c>
      <c r="E1041" s="96" t="s">
        <v>6703</v>
      </c>
      <c r="F1041" s="96">
        <v>0.123</v>
      </c>
      <c r="G1041" s="96" t="s">
        <v>6704</v>
      </c>
      <c r="H1041" s="96" t="s">
        <v>6705</v>
      </c>
      <c r="I1041" s="96" t="s">
        <v>6706</v>
      </c>
      <c r="J1041" s="96" t="s">
        <v>6707</v>
      </c>
      <c r="K1041" s="96" t="s">
        <v>510</v>
      </c>
      <c r="W1041" s="213">
        <v>1041</v>
      </c>
      <c r="X1041" s="214">
        <v>14</v>
      </c>
    </row>
    <row r="1042" spans="1:24" x14ac:dyDescent="0.25">
      <c r="A1042" s="97" t="s">
        <v>2240</v>
      </c>
      <c r="B1042" s="131" t="s">
        <v>8026</v>
      </c>
      <c r="C1042" s="97">
        <v>1</v>
      </c>
      <c r="D1042" s="99" t="s">
        <v>1974</v>
      </c>
      <c r="E1042" s="99" t="s">
        <v>7116</v>
      </c>
      <c r="F1042" s="99">
        <v>3.6999999999999998E-2</v>
      </c>
      <c r="G1042" s="99" t="s">
        <v>7117</v>
      </c>
      <c r="H1042" s="99" t="s">
        <v>7118</v>
      </c>
      <c r="I1042" s="99" t="s">
        <v>7119</v>
      </c>
      <c r="J1042" s="99" t="s">
        <v>7120</v>
      </c>
      <c r="K1042" s="99" t="s">
        <v>9555</v>
      </c>
      <c r="W1042" s="213">
        <v>1042</v>
      </c>
      <c r="X1042" s="214">
        <v>14</v>
      </c>
    </row>
    <row r="1043" spans="1:24" ht="14.45" customHeight="1" x14ac:dyDescent="0.25">
      <c r="A1043" s="96" t="s">
        <v>0</v>
      </c>
      <c r="B1043" s="94" t="s">
        <v>32</v>
      </c>
      <c r="C1043" s="130" t="s">
        <v>7121</v>
      </c>
      <c r="D1043" s="96" t="s">
        <v>247</v>
      </c>
      <c r="E1043" s="96" t="s">
        <v>7122</v>
      </c>
      <c r="F1043" s="96">
        <v>0.55600000000000005</v>
      </c>
      <c r="G1043" s="96" t="s">
        <v>510</v>
      </c>
      <c r="H1043" s="96"/>
      <c r="I1043" s="96"/>
      <c r="J1043" s="96"/>
      <c r="K1043" s="96" t="s">
        <v>510</v>
      </c>
      <c r="W1043" s="213">
        <v>1043</v>
      </c>
      <c r="X1043" s="214">
        <v>14</v>
      </c>
    </row>
    <row r="1044" spans="1:24" x14ac:dyDescent="0.25">
      <c r="A1044" s="97" t="s">
        <v>2240</v>
      </c>
      <c r="B1044" s="98" t="s">
        <v>6440</v>
      </c>
      <c r="C1044" s="97">
        <v>0</v>
      </c>
      <c r="D1044" s="99" t="s">
        <v>450</v>
      </c>
      <c r="E1044" s="99" t="s">
        <v>6441</v>
      </c>
      <c r="F1044" s="99">
        <v>1.4E-2</v>
      </c>
      <c r="G1044" s="99" t="s">
        <v>6442</v>
      </c>
      <c r="H1044" s="99" t="s">
        <v>6443</v>
      </c>
      <c r="I1044" s="99" t="s">
        <v>3086</v>
      </c>
      <c r="J1044" s="99" t="s">
        <v>5630</v>
      </c>
      <c r="K1044" s="99" t="s">
        <v>510</v>
      </c>
      <c r="W1044" s="213">
        <v>1044</v>
      </c>
      <c r="X1044" s="214">
        <v>14</v>
      </c>
    </row>
    <row r="1045" spans="1:24" x14ac:dyDescent="0.25">
      <c r="A1045" s="94" t="s">
        <v>2240</v>
      </c>
      <c r="B1045" s="130" t="s">
        <v>7967</v>
      </c>
      <c r="C1045" s="94">
        <v>0</v>
      </c>
      <c r="D1045" s="96" t="s">
        <v>2541</v>
      </c>
      <c r="E1045" s="96" t="s">
        <v>2481</v>
      </c>
      <c r="F1045" s="96">
        <v>0.13500000000000001</v>
      </c>
      <c r="G1045" s="96" t="s">
        <v>2482</v>
      </c>
      <c r="H1045" s="96" t="s">
        <v>2483</v>
      </c>
      <c r="I1045" s="96" t="s">
        <v>2484</v>
      </c>
      <c r="J1045" s="96" t="s">
        <v>2485</v>
      </c>
      <c r="K1045" s="96" t="s">
        <v>510</v>
      </c>
      <c r="W1045" s="213">
        <v>1045</v>
      </c>
      <c r="X1045" s="214">
        <v>14</v>
      </c>
    </row>
    <row r="1046" spans="1:24" x14ac:dyDescent="0.25">
      <c r="A1046" s="97" t="s">
        <v>2240</v>
      </c>
      <c r="B1046" s="98" t="s">
        <v>4410</v>
      </c>
      <c r="C1046" s="97">
        <v>0</v>
      </c>
      <c r="D1046" s="99" t="s">
        <v>4377</v>
      </c>
      <c r="E1046" s="99" t="s">
        <v>4411</v>
      </c>
      <c r="F1046" s="99">
        <v>0.115</v>
      </c>
      <c r="G1046" s="99" t="s">
        <v>4412</v>
      </c>
      <c r="H1046" s="99" t="s">
        <v>4413</v>
      </c>
      <c r="I1046" s="99" t="s">
        <v>4414</v>
      </c>
      <c r="J1046" s="99" t="s">
        <v>4415</v>
      </c>
      <c r="K1046" s="99" t="s">
        <v>510</v>
      </c>
      <c r="W1046" s="213">
        <v>1046</v>
      </c>
      <c r="X1046" s="214">
        <v>14</v>
      </c>
    </row>
    <row r="1047" spans="1:24" x14ac:dyDescent="0.25">
      <c r="A1047" s="94" t="s">
        <v>2240</v>
      </c>
      <c r="B1047" s="95" t="s">
        <v>4488</v>
      </c>
      <c r="C1047" s="94">
        <v>0</v>
      </c>
      <c r="D1047" s="96" t="s">
        <v>2655</v>
      </c>
      <c r="E1047" s="96" t="s">
        <v>4489</v>
      </c>
      <c r="F1047" s="96">
        <v>4.5999999999999999E-2</v>
      </c>
      <c r="G1047" s="96" t="s">
        <v>4490</v>
      </c>
      <c r="H1047" s="96" t="s">
        <v>4491</v>
      </c>
      <c r="I1047" s="96" t="s">
        <v>4492</v>
      </c>
      <c r="J1047" s="96" t="s">
        <v>4493</v>
      </c>
      <c r="K1047" s="96" t="s">
        <v>510</v>
      </c>
      <c r="W1047" s="213">
        <v>1047</v>
      </c>
      <c r="X1047" s="214">
        <v>14</v>
      </c>
    </row>
    <row r="1048" spans="1:24" x14ac:dyDescent="0.25">
      <c r="A1048" s="97" t="s">
        <v>2240</v>
      </c>
      <c r="B1048" s="98" t="s">
        <v>5403</v>
      </c>
      <c r="C1048" s="97">
        <v>0</v>
      </c>
      <c r="D1048" s="99" t="s">
        <v>5161</v>
      </c>
      <c r="E1048" s="99" t="s">
        <v>5404</v>
      </c>
      <c r="F1048" s="99">
        <v>5.6000000000000001E-2</v>
      </c>
      <c r="G1048" s="99" t="s">
        <v>5405</v>
      </c>
      <c r="H1048" s="99" t="s">
        <v>4665</v>
      </c>
      <c r="I1048" s="99" t="s">
        <v>5406</v>
      </c>
      <c r="J1048" s="99" t="s">
        <v>5407</v>
      </c>
      <c r="K1048" s="99" t="s">
        <v>510</v>
      </c>
      <c r="W1048" s="213">
        <v>1048</v>
      </c>
      <c r="X1048" s="214">
        <v>14</v>
      </c>
    </row>
    <row r="1049" spans="1:24" x14ac:dyDescent="0.25">
      <c r="A1049" s="94" t="s">
        <v>2240</v>
      </c>
      <c r="B1049" s="95" t="s">
        <v>4789</v>
      </c>
      <c r="C1049" s="94">
        <v>0</v>
      </c>
      <c r="D1049" s="96" t="s">
        <v>991</v>
      </c>
      <c r="E1049" s="96" t="s">
        <v>4790</v>
      </c>
      <c r="F1049" s="96">
        <v>0.17100000000000001</v>
      </c>
      <c r="G1049" s="96" t="s">
        <v>4791</v>
      </c>
      <c r="H1049" s="96" t="s">
        <v>4792</v>
      </c>
      <c r="I1049" s="96" t="s">
        <v>4793</v>
      </c>
      <c r="J1049" s="96" t="s">
        <v>4794</v>
      </c>
      <c r="K1049" s="96" t="s">
        <v>510</v>
      </c>
      <c r="W1049" s="213">
        <v>1049</v>
      </c>
      <c r="X1049" s="214">
        <v>14</v>
      </c>
    </row>
    <row r="1050" spans="1:24" x14ac:dyDescent="0.25">
      <c r="A1050" s="97" t="s">
        <v>2240</v>
      </c>
      <c r="B1050" s="131" t="s">
        <v>7968</v>
      </c>
      <c r="C1050" s="97">
        <v>0</v>
      </c>
      <c r="D1050" s="99" t="s">
        <v>2848</v>
      </c>
      <c r="E1050" s="99" t="s">
        <v>2491</v>
      </c>
      <c r="F1050" s="99">
        <v>0.157</v>
      </c>
      <c r="G1050" s="99" t="s">
        <v>2492</v>
      </c>
      <c r="H1050" s="99" t="s">
        <v>2493</v>
      </c>
      <c r="I1050" s="99" t="s">
        <v>2494</v>
      </c>
      <c r="J1050" s="99" t="s">
        <v>2495</v>
      </c>
      <c r="K1050" s="99" t="s">
        <v>510</v>
      </c>
      <c r="W1050" s="213">
        <v>1050</v>
      </c>
      <c r="X1050" s="214">
        <v>14</v>
      </c>
    </row>
    <row r="1051" spans="1:24" x14ac:dyDescent="0.25">
      <c r="A1051" s="94" t="s">
        <v>2240</v>
      </c>
      <c r="B1051" s="95" t="s">
        <v>6898</v>
      </c>
      <c r="C1051" s="94">
        <v>0</v>
      </c>
      <c r="D1051" s="96" t="s">
        <v>502</v>
      </c>
      <c r="E1051" s="96" t="s">
        <v>6899</v>
      </c>
      <c r="F1051" s="96">
        <v>5.7000000000000002E-2</v>
      </c>
      <c r="G1051" s="96" t="s">
        <v>6900</v>
      </c>
      <c r="H1051" s="96" t="s">
        <v>6901</v>
      </c>
      <c r="I1051" s="96" t="s">
        <v>6902</v>
      </c>
      <c r="J1051" s="96" t="s">
        <v>6903</v>
      </c>
      <c r="K1051" s="96" t="s">
        <v>510</v>
      </c>
      <c r="W1051" s="213">
        <v>1051</v>
      </c>
      <c r="X1051" s="214">
        <v>14</v>
      </c>
    </row>
    <row r="1052" spans="1:24" x14ac:dyDescent="0.25">
      <c r="A1052" s="97" t="s">
        <v>2240</v>
      </c>
      <c r="B1052" s="98" t="s">
        <v>6093</v>
      </c>
      <c r="C1052" s="97">
        <v>0</v>
      </c>
      <c r="D1052" s="99" t="s">
        <v>3250</v>
      </c>
      <c r="E1052" s="99" t="s">
        <v>6094</v>
      </c>
      <c r="F1052" s="99">
        <v>0.111</v>
      </c>
      <c r="G1052" s="99" t="s">
        <v>6095</v>
      </c>
      <c r="H1052" s="99" t="s">
        <v>4788</v>
      </c>
      <c r="I1052" s="99" t="s">
        <v>6096</v>
      </c>
      <c r="J1052" s="99" t="s">
        <v>1889</v>
      </c>
      <c r="K1052" s="99" t="s">
        <v>510</v>
      </c>
      <c r="W1052" s="213">
        <v>1052</v>
      </c>
      <c r="X1052" s="214">
        <v>14</v>
      </c>
    </row>
    <row r="1053" spans="1:24" x14ac:dyDescent="0.25">
      <c r="A1053" s="94" t="s">
        <v>2240</v>
      </c>
      <c r="B1053" s="95" t="s">
        <v>6674</v>
      </c>
      <c r="C1053" s="94">
        <v>0</v>
      </c>
      <c r="D1053" s="96" t="s">
        <v>3161</v>
      </c>
      <c r="E1053" s="96" t="s">
        <v>6675</v>
      </c>
      <c r="F1053" s="96">
        <v>6.9000000000000006E-2</v>
      </c>
      <c r="G1053" s="96" t="s">
        <v>228</v>
      </c>
      <c r="H1053" s="96" t="s">
        <v>6676</v>
      </c>
      <c r="I1053" s="96" t="s">
        <v>6677</v>
      </c>
      <c r="J1053" s="96" t="s">
        <v>6678</v>
      </c>
      <c r="K1053" s="96" t="s">
        <v>510</v>
      </c>
      <c r="W1053" s="213">
        <v>1053</v>
      </c>
      <c r="X1053" s="214">
        <v>14</v>
      </c>
    </row>
    <row r="1054" spans="1:24" x14ac:dyDescent="0.25">
      <c r="A1054" s="97" t="s">
        <v>2240</v>
      </c>
      <c r="B1054" s="98" t="s">
        <v>6895</v>
      </c>
      <c r="C1054" s="97">
        <v>0</v>
      </c>
      <c r="D1054" s="99" t="s">
        <v>3054</v>
      </c>
      <c r="E1054" s="99" t="s">
        <v>6675</v>
      </c>
      <c r="F1054" s="99">
        <v>0.1</v>
      </c>
      <c r="G1054" s="99" t="s">
        <v>5914</v>
      </c>
      <c r="H1054" s="99" t="s">
        <v>6896</v>
      </c>
      <c r="I1054" s="99" t="s">
        <v>5595</v>
      </c>
      <c r="J1054" s="99" t="s">
        <v>6897</v>
      </c>
      <c r="K1054" s="99" t="s">
        <v>510</v>
      </c>
      <c r="W1054" s="213">
        <v>1054</v>
      </c>
      <c r="X1054" s="214">
        <v>14</v>
      </c>
    </row>
    <row r="1055" spans="1:24" x14ac:dyDescent="0.25">
      <c r="A1055" s="94" t="s">
        <v>2240</v>
      </c>
      <c r="B1055" s="95" t="s">
        <v>7226</v>
      </c>
      <c r="C1055" s="94">
        <v>0</v>
      </c>
      <c r="D1055" s="96" t="s">
        <v>293</v>
      </c>
      <c r="E1055" s="96" t="s">
        <v>6675</v>
      </c>
      <c r="F1055" s="96">
        <v>7.5999999999999998E-2</v>
      </c>
      <c r="G1055" s="96" t="s">
        <v>7227</v>
      </c>
      <c r="H1055" s="96" t="s">
        <v>7228</v>
      </c>
      <c r="I1055" s="96" t="s">
        <v>7229</v>
      </c>
      <c r="J1055" s="96" t="s">
        <v>7230</v>
      </c>
      <c r="K1055" s="96" t="s">
        <v>510</v>
      </c>
      <c r="W1055" s="213">
        <v>1055</v>
      </c>
      <c r="X1055" s="214">
        <v>14</v>
      </c>
    </row>
    <row r="1056" spans="1:24" x14ac:dyDescent="0.25">
      <c r="A1056" s="97" t="s">
        <v>2240</v>
      </c>
      <c r="B1056" s="131" t="s">
        <v>7969</v>
      </c>
      <c r="C1056" s="97">
        <v>0</v>
      </c>
      <c r="D1056" s="99" t="s">
        <v>2480</v>
      </c>
      <c r="E1056" s="99" t="s">
        <v>2486</v>
      </c>
      <c r="F1056" s="99">
        <v>0.14499999999999999</v>
      </c>
      <c r="G1056" s="99" t="s">
        <v>2487</v>
      </c>
      <c r="H1056" s="99" t="s">
        <v>2488</v>
      </c>
      <c r="I1056" s="99" t="s">
        <v>2489</v>
      </c>
      <c r="J1056" s="99" t="s">
        <v>2490</v>
      </c>
      <c r="K1056" s="99" t="s">
        <v>510</v>
      </c>
      <c r="W1056" s="213">
        <v>1056</v>
      </c>
      <c r="X1056" s="214">
        <v>14</v>
      </c>
    </row>
    <row r="1057" spans="1:24" x14ac:dyDescent="0.25">
      <c r="A1057" s="94" t="s">
        <v>2240</v>
      </c>
      <c r="B1057" s="130" t="s">
        <v>7970</v>
      </c>
      <c r="C1057" s="94">
        <v>0</v>
      </c>
      <c r="D1057" s="96" t="s">
        <v>2641</v>
      </c>
      <c r="E1057" s="96" t="s">
        <v>2496</v>
      </c>
      <c r="F1057" s="96">
        <v>0.11700000000000001</v>
      </c>
      <c r="G1057" s="96" t="s">
        <v>2497</v>
      </c>
      <c r="H1057" s="96" t="s">
        <v>2498</v>
      </c>
      <c r="I1057" s="96" t="s">
        <v>2499</v>
      </c>
      <c r="J1057" s="96" t="s">
        <v>2500</v>
      </c>
      <c r="K1057" s="96" t="s">
        <v>510</v>
      </c>
      <c r="W1057" s="213">
        <v>1057</v>
      </c>
      <c r="X1057" s="214">
        <v>14</v>
      </c>
    </row>
    <row r="1058" spans="1:24" x14ac:dyDescent="0.25">
      <c r="A1058" s="97" t="s">
        <v>2240</v>
      </c>
      <c r="B1058" s="98" t="s">
        <v>4951</v>
      </c>
      <c r="C1058" s="97">
        <v>0</v>
      </c>
      <c r="D1058" s="99" t="s">
        <v>4609</v>
      </c>
      <c r="E1058" s="99" t="s">
        <v>4952</v>
      </c>
      <c r="F1058" s="99">
        <v>6.2E-2</v>
      </c>
      <c r="G1058" s="99" t="s">
        <v>2682</v>
      </c>
      <c r="H1058" s="99" t="s">
        <v>4953</v>
      </c>
      <c r="I1058" s="99" t="s">
        <v>4954</v>
      </c>
      <c r="J1058" s="99" t="s">
        <v>4955</v>
      </c>
      <c r="K1058" s="99" t="s">
        <v>510</v>
      </c>
      <c r="W1058" s="213">
        <v>1058</v>
      </c>
      <c r="X1058" s="214">
        <v>14</v>
      </c>
    </row>
    <row r="1059" spans="1:24" ht="15" customHeight="1" x14ac:dyDescent="0.25">
      <c r="A1059" s="94" t="s">
        <v>2240</v>
      </c>
      <c r="B1059" s="95" t="s">
        <v>6109</v>
      </c>
      <c r="C1059" s="94">
        <v>0</v>
      </c>
      <c r="D1059" s="96" t="s">
        <v>3250</v>
      </c>
      <c r="E1059" s="96" t="s">
        <v>6110</v>
      </c>
      <c r="F1059" s="96">
        <v>3.3000000000000002E-2</v>
      </c>
      <c r="G1059" s="96" t="s">
        <v>6111</v>
      </c>
      <c r="H1059" s="96" t="s">
        <v>6112</v>
      </c>
      <c r="I1059" s="96" t="s">
        <v>6113</v>
      </c>
      <c r="J1059" s="96" t="s">
        <v>6114</v>
      </c>
      <c r="K1059" s="96" t="s">
        <v>510</v>
      </c>
      <c r="W1059" s="213">
        <v>1059</v>
      </c>
      <c r="X1059" s="214">
        <v>14</v>
      </c>
    </row>
    <row r="1060" spans="1:24" x14ac:dyDescent="0.25">
      <c r="A1060" s="97" t="s">
        <v>2240</v>
      </c>
      <c r="B1060" s="98" t="s">
        <v>6201</v>
      </c>
      <c r="C1060" s="97">
        <v>0</v>
      </c>
      <c r="D1060" s="99" t="s">
        <v>2094</v>
      </c>
      <c r="E1060" s="99" t="s">
        <v>6110</v>
      </c>
      <c r="F1060" s="99">
        <v>0.106</v>
      </c>
      <c r="G1060" s="99" t="s">
        <v>6202</v>
      </c>
      <c r="H1060" s="99" t="s">
        <v>6203</v>
      </c>
      <c r="I1060" s="99" t="s">
        <v>6204</v>
      </c>
      <c r="J1060" s="99" t="s">
        <v>6205</v>
      </c>
      <c r="K1060" s="99" t="s">
        <v>510</v>
      </c>
      <c r="W1060" s="213">
        <v>1060</v>
      </c>
      <c r="X1060" s="214">
        <v>14</v>
      </c>
    </row>
    <row r="1061" spans="1:24" x14ac:dyDescent="0.25">
      <c r="A1061" s="94" t="s">
        <v>2240</v>
      </c>
      <c r="B1061" s="95" t="s">
        <v>6379</v>
      </c>
      <c r="C1061" s="94">
        <v>0</v>
      </c>
      <c r="D1061" s="96" t="s">
        <v>1848</v>
      </c>
      <c r="E1061" s="96" t="s">
        <v>6380</v>
      </c>
      <c r="F1061" s="96">
        <v>0.106</v>
      </c>
      <c r="G1061" s="96" t="s">
        <v>6381</v>
      </c>
      <c r="H1061" s="96" t="s">
        <v>6382</v>
      </c>
      <c r="I1061" s="96" t="s">
        <v>6383</v>
      </c>
      <c r="J1061" s="96" t="s">
        <v>6384</v>
      </c>
      <c r="K1061" s="96" t="s">
        <v>510</v>
      </c>
      <c r="W1061" s="213">
        <v>1061</v>
      </c>
      <c r="X1061" s="214">
        <v>14</v>
      </c>
    </row>
    <row r="1062" spans="1:24" x14ac:dyDescent="0.25">
      <c r="A1062" s="97" t="s">
        <v>2240</v>
      </c>
      <c r="B1062" s="98" t="s">
        <v>4370</v>
      </c>
      <c r="C1062" s="97">
        <v>0</v>
      </c>
      <c r="D1062" s="99" t="s">
        <v>4377</v>
      </c>
      <c r="E1062" s="99" t="s">
        <v>4371</v>
      </c>
      <c r="F1062" s="99">
        <v>0.151</v>
      </c>
      <c r="G1062" s="99" t="s">
        <v>4372</v>
      </c>
      <c r="H1062" s="99" t="s">
        <v>4373</v>
      </c>
      <c r="I1062" s="99" t="s">
        <v>4374</v>
      </c>
      <c r="J1062" s="99" t="s">
        <v>4375</v>
      </c>
      <c r="K1062" s="99" t="s">
        <v>510</v>
      </c>
      <c r="W1062" s="213">
        <v>1062</v>
      </c>
      <c r="X1062" s="214">
        <v>14</v>
      </c>
    </row>
    <row r="1063" spans="1:24" x14ac:dyDescent="0.25">
      <c r="A1063" s="94" t="s">
        <v>2240</v>
      </c>
      <c r="B1063" s="95" t="s">
        <v>4364</v>
      </c>
      <c r="C1063" s="94">
        <v>0</v>
      </c>
      <c r="D1063" s="96" t="s">
        <v>2692</v>
      </c>
      <c r="E1063" s="96" t="s">
        <v>4365</v>
      </c>
      <c r="F1063" s="96">
        <v>0.09</v>
      </c>
      <c r="G1063" s="96" t="s">
        <v>4366</v>
      </c>
      <c r="H1063" s="96" t="s">
        <v>4367</v>
      </c>
      <c r="I1063" s="96" t="s">
        <v>4368</v>
      </c>
      <c r="J1063" s="96" t="s">
        <v>4369</v>
      </c>
      <c r="K1063" s="96" t="s">
        <v>510</v>
      </c>
      <c r="W1063" s="213">
        <v>1063</v>
      </c>
      <c r="X1063" s="214">
        <v>14</v>
      </c>
    </row>
    <row r="1064" spans="1:24" x14ac:dyDescent="0.25">
      <c r="A1064" s="97" t="s">
        <v>2240</v>
      </c>
      <c r="B1064" s="98" t="s">
        <v>4511</v>
      </c>
      <c r="C1064" s="97">
        <v>0</v>
      </c>
      <c r="D1064" s="99" t="s">
        <v>4339</v>
      </c>
      <c r="E1064" s="99" t="s">
        <v>4512</v>
      </c>
      <c r="F1064" s="99">
        <v>0.182</v>
      </c>
      <c r="G1064" s="99" t="s">
        <v>4513</v>
      </c>
      <c r="H1064" s="99" t="s">
        <v>4514</v>
      </c>
      <c r="I1064" s="99" t="s">
        <v>4515</v>
      </c>
      <c r="J1064" s="99" t="s">
        <v>4516</v>
      </c>
      <c r="K1064" s="99" t="s">
        <v>510</v>
      </c>
      <c r="W1064" s="213">
        <v>1064</v>
      </c>
      <c r="X1064" s="214">
        <v>14</v>
      </c>
    </row>
    <row r="1065" spans="1:24" ht="14.45" customHeight="1" x14ac:dyDescent="0.25">
      <c r="A1065" s="112" t="s">
        <v>2522</v>
      </c>
      <c r="B1065" s="107" t="s">
        <v>2511</v>
      </c>
      <c r="C1065" s="106">
        <v>2</v>
      </c>
      <c r="D1065" s="105" t="s">
        <v>2512</v>
      </c>
      <c r="E1065" s="105" t="s">
        <v>2513</v>
      </c>
      <c r="F1065" s="105">
        <v>0.19600000000000001</v>
      </c>
      <c r="G1065" s="105" t="s">
        <v>2514</v>
      </c>
      <c r="H1065" s="105" t="s">
        <v>2515</v>
      </c>
      <c r="I1065" s="105" t="s">
        <v>2516</v>
      </c>
      <c r="J1065" s="105" t="s">
        <v>2517</v>
      </c>
      <c r="K1065" s="105" t="s">
        <v>9556</v>
      </c>
      <c r="W1065" s="213">
        <v>1065</v>
      </c>
      <c r="X1065" s="214">
        <v>13</v>
      </c>
    </row>
    <row r="1066" spans="1:24" ht="14.45" customHeight="1" x14ac:dyDescent="0.25">
      <c r="A1066" s="104" t="s">
        <v>0</v>
      </c>
      <c r="B1066" s="103" t="s">
        <v>32</v>
      </c>
      <c r="C1066" s="102" t="s">
        <v>2518</v>
      </c>
      <c r="D1066" s="104" t="s">
        <v>404</v>
      </c>
      <c r="E1066" s="104" t="s">
        <v>2519</v>
      </c>
      <c r="F1066" s="104">
        <v>0.249</v>
      </c>
      <c r="G1066" s="104" t="s">
        <v>510</v>
      </c>
      <c r="H1066" s="111"/>
      <c r="I1066" s="111"/>
      <c r="J1066" s="111"/>
      <c r="K1066" s="104" t="s">
        <v>9557</v>
      </c>
      <c r="W1066" s="213">
        <v>1066</v>
      </c>
      <c r="X1066" s="214">
        <v>13</v>
      </c>
    </row>
    <row r="1067" spans="1:24" ht="14.45" customHeight="1" x14ac:dyDescent="0.25">
      <c r="A1067" s="105" t="s">
        <v>0</v>
      </c>
      <c r="B1067" s="106" t="s">
        <v>32</v>
      </c>
      <c r="C1067" s="107" t="s">
        <v>2520</v>
      </c>
      <c r="D1067" s="105" t="s">
        <v>991</v>
      </c>
      <c r="E1067" s="105" t="s">
        <v>2521</v>
      </c>
      <c r="F1067" s="105">
        <v>5.0999999999999997E-2</v>
      </c>
      <c r="G1067" s="105" t="s">
        <v>510</v>
      </c>
      <c r="H1067" s="108"/>
      <c r="I1067" s="108"/>
      <c r="J1067" s="108"/>
      <c r="K1067" s="105" t="s">
        <v>9558</v>
      </c>
      <c r="W1067" s="213">
        <v>1067</v>
      </c>
      <c r="X1067" s="214">
        <v>13</v>
      </c>
    </row>
    <row r="1068" spans="1:24" x14ac:dyDescent="0.25">
      <c r="A1068" s="97" t="s">
        <v>2240</v>
      </c>
      <c r="B1068" s="98" t="s">
        <v>5027</v>
      </c>
      <c r="C1068" s="97">
        <v>0</v>
      </c>
      <c r="D1068" s="99" t="s">
        <v>4711</v>
      </c>
      <c r="E1068" s="99" t="s">
        <v>2513</v>
      </c>
      <c r="F1068" s="99">
        <v>0.122</v>
      </c>
      <c r="G1068" s="99" t="s">
        <v>5028</v>
      </c>
      <c r="H1068" s="99" t="s">
        <v>5029</v>
      </c>
      <c r="I1068" s="99" t="s">
        <v>5030</v>
      </c>
      <c r="J1068" s="99" t="s">
        <v>5031</v>
      </c>
      <c r="K1068" s="99" t="s">
        <v>9555</v>
      </c>
      <c r="W1068" s="213">
        <v>1068</v>
      </c>
      <c r="X1068" s="214">
        <v>14</v>
      </c>
    </row>
    <row r="1069" spans="1:24" x14ac:dyDescent="0.25">
      <c r="A1069" s="94" t="s">
        <v>2240</v>
      </c>
      <c r="B1069" s="95" t="s">
        <v>6449</v>
      </c>
      <c r="C1069" s="94">
        <v>0</v>
      </c>
      <c r="D1069" s="96" t="s">
        <v>5409</v>
      </c>
      <c r="E1069" s="96" t="s">
        <v>6450</v>
      </c>
      <c r="F1069" s="96">
        <v>0.13600000000000001</v>
      </c>
      <c r="G1069" s="96" t="s">
        <v>6451</v>
      </c>
      <c r="H1069" s="96" t="s">
        <v>6452</v>
      </c>
      <c r="I1069" s="96" t="s">
        <v>6453</v>
      </c>
      <c r="J1069" s="96" t="s">
        <v>6454</v>
      </c>
      <c r="K1069" s="96" t="s">
        <v>510</v>
      </c>
      <c r="W1069" s="213">
        <v>1069</v>
      </c>
      <c r="X1069" s="214">
        <v>14</v>
      </c>
    </row>
    <row r="1070" spans="1:24" x14ac:dyDescent="0.25">
      <c r="A1070" s="67" t="s">
        <v>1966</v>
      </c>
      <c r="B1070" s="69" t="s">
        <v>3748</v>
      </c>
      <c r="C1070" s="67">
        <v>0</v>
      </c>
      <c r="D1070" s="68" t="s">
        <v>495</v>
      </c>
      <c r="E1070" s="68" t="s">
        <v>3749</v>
      </c>
      <c r="F1070" s="68">
        <v>0.438</v>
      </c>
      <c r="G1070" s="68" t="s">
        <v>3750</v>
      </c>
      <c r="H1070" s="68" t="s">
        <v>3751</v>
      </c>
      <c r="I1070" s="68" t="s">
        <v>3752</v>
      </c>
      <c r="J1070" s="68" t="s">
        <v>3753</v>
      </c>
      <c r="K1070" s="68" t="s">
        <v>510</v>
      </c>
      <c r="W1070" s="213">
        <v>1070</v>
      </c>
      <c r="X1070" s="214">
        <v>10</v>
      </c>
    </row>
    <row r="1071" spans="1:24" x14ac:dyDescent="0.25">
      <c r="A1071" s="94" t="s">
        <v>2240</v>
      </c>
      <c r="B1071" s="95" t="s">
        <v>4345</v>
      </c>
      <c r="C1071" s="94">
        <v>0</v>
      </c>
      <c r="D1071" s="96" t="s">
        <v>4346</v>
      </c>
      <c r="E1071" s="96" t="s">
        <v>4347</v>
      </c>
      <c r="F1071" s="96">
        <v>0.13200000000000001</v>
      </c>
      <c r="G1071" s="96" t="s">
        <v>4348</v>
      </c>
      <c r="H1071" s="96" t="s">
        <v>4349</v>
      </c>
      <c r="I1071" s="96" t="s">
        <v>4350</v>
      </c>
      <c r="J1071" s="96" t="s">
        <v>4351</v>
      </c>
      <c r="K1071" s="96" t="s">
        <v>510</v>
      </c>
      <c r="W1071" s="213">
        <v>1071</v>
      </c>
      <c r="X1071" s="214">
        <v>14</v>
      </c>
    </row>
    <row r="1072" spans="1:24" x14ac:dyDescent="0.25">
      <c r="A1072" s="97" t="s">
        <v>2240</v>
      </c>
      <c r="B1072" s="98" t="s">
        <v>4646</v>
      </c>
      <c r="C1072" s="97">
        <v>0</v>
      </c>
      <c r="D1072" s="99" t="s">
        <v>4462</v>
      </c>
      <c r="E1072" s="99" t="s">
        <v>4347</v>
      </c>
      <c r="F1072" s="99">
        <v>0.14499999999999999</v>
      </c>
      <c r="G1072" s="99" t="s">
        <v>3597</v>
      </c>
      <c r="H1072" s="99" t="s">
        <v>4647</v>
      </c>
      <c r="I1072" s="99" t="s">
        <v>4648</v>
      </c>
      <c r="J1072" s="99" t="s">
        <v>4649</v>
      </c>
      <c r="K1072" s="99" t="s">
        <v>510</v>
      </c>
      <c r="W1072" s="213">
        <v>1072</v>
      </c>
      <c r="X1072" s="214">
        <v>14</v>
      </c>
    </row>
    <row r="1073" spans="1:24" x14ac:dyDescent="0.25">
      <c r="A1073" s="94" t="s">
        <v>2240</v>
      </c>
      <c r="B1073" s="130" t="s">
        <v>8025</v>
      </c>
      <c r="C1073" s="94">
        <v>1</v>
      </c>
      <c r="D1073" s="96" t="s">
        <v>3406</v>
      </c>
      <c r="E1073" s="96" t="s">
        <v>4347</v>
      </c>
      <c r="F1073" s="96">
        <v>7.6999999999999999E-2</v>
      </c>
      <c r="G1073" s="96" t="s">
        <v>5598</v>
      </c>
      <c r="H1073" s="96" t="s">
        <v>5599</v>
      </c>
      <c r="I1073" s="96" t="s">
        <v>5600</v>
      </c>
      <c r="J1073" s="96" t="s">
        <v>5601</v>
      </c>
      <c r="K1073" s="96" t="s">
        <v>510</v>
      </c>
      <c r="W1073" s="213">
        <v>1073</v>
      </c>
      <c r="X1073" s="214">
        <v>14</v>
      </c>
    </row>
    <row r="1074" spans="1:24" x14ac:dyDescent="0.25">
      <c r="A1074" s="99" t="s">
        <v>0</v>
      </c>
      <c r="B1074" s="97" t="s">
        <v>32</v>
      </c>
      <c r="C1074" s="131" t="s">
        <v>5602</v>
      </c>
      <c r="D1074" s="99" t="s">
        <v>659</v>
      </c>
      <c r="E1074" s="99" t="s">
        <v>5603</v>
      </c>
      <c r="F1074" s="99" t="s">
        <v>510</v>
      </c>
      <c r="G1074" s="99" t="s">
        <v>510</v>
      </c>
      <c r="H1074" s="99"/>
      <c r="I1074" s="99"/>
      <c r="J1074" s="99"/>
      <c r="K1074" s="99" t="s">
        <v>510</v>
      </c>
      <c r="W1074" s="213">
        <v>1074</v>
      </c>
      <c r="X1074" s="214">
        <v>14</v>
      </c>
    </row>
    <row r="1075" spans="1:24" x14ac:dyDescent="0.25">
      <c r="A1075" s="94" t="s">
        <v>2240</v>
      </c>
      <c r="B1075" s="95" t="s">
        <v>4482</v>
      </c>
      <c r="C1075" s="94">
        <v>0</v>
      </c>
      <c r="D1075" s="96" t="s">
        <v>4346</v>
      </c>
      <c r="E1075" s="96" t="s">
        <v>4483</v>
      </c>
      <c r="F1075" s="96">
        <v>0.27500000000000002</v>
      </c>
      <c r="G1075" s="96" t="s">
        <v>4484</v>
      </c>
      <c r="H1075" s="96" t="s">
        <v>4485</v>
      </c>
      <c r="I1075" s="96" t="s">
        <v>4486</v>
      </c>
      <c r="J1075" s="96" t="s">
        <v>4487</v>
      </c>
      <c r="K1075" s="96" t="s">
        <v>510</v>
      </c>
      <c r="W1075" s="213">
        <v>1075</v>
      </c>
      <c r="X1075" s="214">
        <v>14</v>
      </c>
    </row>
    <row r="1076" spans="1:24" ht="15" customHeight="1" x14ac:dyDescent="0.25">
      <c r="A1076" s="97" t="s">
        <v>2240</v>
      </c>
      <c r="B1076" s="131" t="s">
        <v>7971</v>
      </c>
      <c r="C1076" s="97">
        <v>0</v>
      </c>
      <c r="D1076" s="99" t="s">
        <v>7910</v>
      </c>
      <c r="E1076" s="99" t="s">
        <v>2501</v>
      </c>
      <c r="F1076" s="99">
        <v>0.13100000000000001</v>
      </c>
      <c r="G1076" s="99" t="s">
        <v>2502</v>
      </c>
      <c r="H1076" s="99" t="s">
        <v>2503</v>
      </c>
      <c r="I1076" s="99" t="s">
        <v>2504</v>
      </c>
      <c r="J1076" s="99" t="s">
        <v>2505</v>
      </c>
      <c r="K1076" s="99" t="s">
        <v>510</v>
      </c>
      <c r="W1076" s="213">
        <v>1076</v>
      </c>
      <c r="X1076" s="214">
        <v>14</v>
      </c>
    </row>
    <row r="1077" spans="1:24" x14ac:dyDescent="0.25">
      <c r="A1077" s="94" t="s">
        <v>2240</v>
      </c>
      <c r="B1077" s="130" t="s">
        <v>7891</v>
      </c>
      <c r="C1077" s="94">
        <v>0</v>
      </c>
      <c r="D1077" s="96" t="s">
        <v>2523</v>
      </c>
      <c r="E1077" s="96" t="s">
        <v>2524</v>
      </c>
      <c r="F1077" s="96">
        <v>0.15</v>
      </c>
      <c r="G1077" s="96" t="s">
        <v>2525</v>
      </c>
      <c r="H1077" s="96" t="s">
        <v>2526</v>
      </c>
      <c r="I1077" s="96" t="s">
        <v>2527</v>
      </c>
      <c r="J1077" s="96" t="s">
        <v>2528</v>
      </c>
      <c r="K1077" s="96" t="s">
        <v>510</v>
      </c>
      <c r="W1077" s="213">
        <v>1077</v>
      </c>
      <c r="X1077" s="214">
        <v>14</v>
      </c>
    </row>
    <row r="1078" spans="1:24" x14ac:dyDescent="0.25">
      <c r="A1078" s="97" t="s">
        <v>2240</v>
      </c>
      <c r="B1078" s="98" t="s">
        <v>5369</v>
      </c>
      <c r="C1078" s="97">
        <v>0</v>
      </c>
      <c r="D1078" s="99" t="s">
        <v>5215</v>
      </c>
      <c r="E1078" s="99" t="s">
        <v>5370</v>
      </c>
      <c r="F1078" s="99">
        <v>6.0000000000000001E-3</v>
      </c>
      <c r="G1078" s="99" t="s">
        <v>5371</v>
      </c>
      <c r="H1078" s="99" t="s">
        <v>5372</v>
      </c>
      <c r="I1078" s="99" t="s">
        <v>5373</v>
      </c>
      <c r="J1078" s="99" t="s">
        <v>5374</v>
      </c>
      <c r="K1078" s="99" t="s">
        <v>510</v>
      </c>
      <c r="W1078" s="213">
        <v>1078</v>
      </c>
      <c r="X1078" s="214">
        <v>14</v>
      </c>
    </row>
    <row r="1079" spans="1:24" x14ac:dyDescent="0.25">
      <c r="A1079" s="94" t="s">
        <v>2240</v>
      </c>
      <c r="B1079" s="95" t="s">
        <v>7031</v>
      </c>
      <c r="C1079" s="94">
        <v>0</v>
      </c>
      <c r="D1079" s="96" t="s">
        <v>5924</v>
      </c>
      <c r="E1079" s="96" t="s">
        <v>5370</v>
      </c>
      <c r="F1079" s="96">
        <v>7.2999999999999995E-2</v>
      </c>
      <c r="G1079" s="96" t="s">
        <v>5719</v>
      </c>
      <c r="H1079" s="96" t="s">
        <v>7032</v>
      </c>
      <c r="I1079" s="96" t="s">
        <v>7033</v>
      </c>
      <c r="J1079" s="96" t="s">
        <v>5707</v>
      </c>
      <c r="K1079" s="96" t="s">
        <v>510</v>
      </c>
      <c r="W1079" s="213">
        <v>1079</v>
      </c>
      <c r="X1079" s="214">
        <v>14</v>
      </c>
    </row>
    <row r="1080" spans="1:24" x14ac:dyDescent="0.25">
      <c r="A1080" s="97" t="s">
        <v>2240</v>
      </c>
      <c r="B1080" s="98" t="s">
        <v>5667</v>
      </c>
      <c r="C1080" s="97">
        <v>0</v>
      </c>
      <c r="D1080" s="99" t="s">
        <v>4252</v>
      </c>
      <c r="E1080" s="99" t="s">
        <v>5668</v>
      </c>
      <c r="F1080" s="99">
        <v>5.0999999999999997E-2</v>
      </c>
      <c r="G1080" s="99" t="s">
        <v>5669</v>
      </c>
      <c r="H1080" s="99" t="s">
        <v>5670</v>
      </c>
      <c r="I1080" s="99" t="s">
        <v>5671</v>
      </c>
      <c r="J1080" s="99" t="s">
        <v>5664</v>
      </c>
      <c r="K1080" s="99" t="s">
        <v>510</v>
      </c>
      <c r="W1080" s="213">
        <v>1080</v>
      </c>
      <c r="X1080" s="214">
        <v>14</v>
      </c>
    </row>
    <row r="1081" spans="1:24" x14ac:dyDescent="0.25">
      <c r="A1081" s="94" t="s">
        <v>2240</v>
      </c>
      <c r="B1081" s="95" t="s">
        <v>7258</v>
      </c>
      <c r="C1081" s="94">
        <v>0</v>
      </c>
      <c r="D1081" s="96" t="s">
        <v>3206</v>
      </c>
      <c r="E1081" s="96" t="s">
        <v>7259</v>
      </c>
      <c r="F1081" s="96">
        <v>7.3999999999999996E-2</v>
      </c>
      <c r="G1081" s="96" t="s">
        <v>7260</v>
      </c>
      <c r="H1081" s="96" t="s">
        <v>7261</v>
      </c>
      <c r="I1081" s="96" t="s">
        <v>7262</v>
      </c>
      <c r="J1081" s="96" t="s">
        <v>7263</v>
      </c>
      <c r="K1081" s="96" t="s">
        <v>510</v>
      </c>
      <c r="W1081" s="213">
        <v>1081</v>
      </c>
      <c r="X1081" s="214">
        <v>14</v>
      </c>
    </row>
    <row r="1082" spans="1:24" x14ac:dyDescent="0.25">
      <c r="A1082" s="97" t="s">
        <v>2240</v>
      </c>
      <c r="B1082" s="98" t="s">
        <v>8422</v>
      </c>
      <c r="C1082" s="97">
        <v>0</v>
      </c>
      <c r="D1082" s="99" t="s">
        <v>2529</v>
      </c>
      <c r="E1082" s="99" t="s">
        <v>2530</v>
      </c>
      <c r="F1082" s="99">
        <v>0.41</v>
      </c>
      <c r="G1082" s="99" t="s">
        <v>2531</v>
      </c>
      <c r="H1082" s="99" t="s">
        <v>2532</v>
      </c>
      <c r="I1082" s="99" t="s">
        <v>2533</v>
      </c>
      <c r="J1082" s="99" t="s">
        <v>2534</v>
      </c>
      <c r="K1082" s="99" t="s">
        <v>510</v>
      </c>
      <c r="W1082" s="213">
        <v>1082</v>
      </c>
      <c r="X1082" s="214">
        <v>14</v>
      </c>
    </row>
    <row r="1083" spans="1:24" x14ac:dyDescent="0.25">
      <c r="A1083" s="94" t="s">
        <v>2240</v>
      </c>
      <c r="B1083" s="95" t="s">
        <v>6714</v>
      </c>
      <c r="C1083" s="94">
        <v>0</v>
      </c>
      <c r="D1083" s="96" t="s">
        <v>1974</v>
      </c>
      <c r="E1083" s="96" t="s">
        <v>6715</v>
      </c>
      <c r="F1083" s="96">
        <v>0.11600000000000001</v>
      </c>
      <c r="G1083" s="96" t="s">
        <v>6716</v>
      </c>
      <c r="H1083" s="96" t="s">
        <v>6717</v>
      </c>
      <c r="I1083" s="96" t="s">
        <v>6718</v>
      </c>
      <c r="J1083" s="96" t="s">
        <v>6719</v>
      </c>
      <c r="K1083" s="96" t="s">
        <v>510</v>
      </c>
      <c r="W1083" s="213">
        <v>1083</v>
      </c>
      <c r="X1083" s="214">
        <v>14</v>
      </c>
    </row>
    <row r="1084" spans="1:24" x14ac:dyDescent="0.25">
      <c r="A1084" s="67" t="s">
        <v>1966</v>
      </c>
      <c r="B1084" s="69" t="s">
        <v>3313</v>
      </c>
      <c r="C1084" s="67">
        <v>0</v>
      </c>
      <c r="D1084" s="68" t="s">
        <v>172</v>
      </c>
      <c r="E1084" s="68" t="s">
        <v>3314</v>
      </c>
      <c r="F1084" s="68">
        <v>0.311</v>
      </c>
      <c r="G1084" s="68" t="s">
        <v>3315</v>
      </c>
      <c r="H1084" s="68" t="s">
        <v>3316</v>
      </c>
      <c r="I1084" s="68" t="s">
        <v>3317</v>
      </c>
      <c r="J1084" s="68" t="s">
        <v>3318</v>
      </c>
      <c r="K1084" s="68" t="s">
        <v>510</v>
      </c>
      <c r="W1084" s="213">
        <v>1084</v>
      </c>
      <c r="X1084" s="214">
        <v>10</v>
      </c>
    </row>
    <row r="1085" spans="1:24" x14ac:dyDescent="0.25">
      <c r="A1085" s="94" t="s">
        <v>2240</v>
      </c>
      <c r="B1085" s="95" t="s">
        <v>5641</v>
      </c>
      <c r="C1085" s="94">
        <v>0</v>
      </c>
      <c r="D1085" s="96" t="s">
        <v>4566</v>
      </c>
      <c r="E1085" s="96" t="s">
        <v>3314</v>
      </c>
      <c r="F1085" s="96">
        <v>7.0000000000000007E-2</v>
      </c>
      <c r="G1085" s="96" t="s">
        <v>2688</v>
      </c>
      <c r="H1085" s="96" t="s">
        <v>4375</v>
      </c>
      <c r="I1085" s="96" t="s">
        <v>5642</v>
      </c>
      <c r="J1085" s="96" t="s">
        <v>5643</v>
      </c>
      <c r="K1085" s="96" t="s">
        <v>510</v>
      </c>
      <c r="W1085" s="213">
        <v>1085</v>
      </c>
      <c r="X1085" s="214">
        <v>14</v>
      </c>
    </row>
    <row r="1086" spans="1:24" ht="15" customHeight="1" x14ac:dyDescent="0.25">
      <c r="A1086" s="97" t="s">
        <v>2240</v>
      </c>
      <c r="B1086" s="98" t="s">
        <v>5832</v>
      </c>
      <c r="C1086" s="97">
        <v>0</v>
      </c>
      <c r="D1086" s="99" t="s">
        <v>3250</v>
      </c>
      <c r="E1086" s="99" t="s">
        <v>3314</v>
      </c>
      <c r="F1086" s="99">
        <v>0.123</v>
      </c>
      <c r="G1086" s="99" t="s">
        <v>5833</v>
      </c>
      <c r="H1086" s="99" t="s">
        <v>5834</v>
      </c>
      <c r="I1086" s="99" t="s">
        <v>5835</v>
      </c>
      <c r="J1086" s="99" t="s">
        <v>5836</v>
      </c>
      <c r="K1086" s="99" t="s">
        <v>510</v>
      </c>
      <c r="W1086" s="213">
        <v>1086</v>
      </c>
      <c r="X1086" s="214">
        <v>14</v>
      </c>
    </row>
    <row r="1087" spans="1:24" x14ac:dyDescent="0.25">
      <c r="A1087" s="94" t="s">
        <v>2240</v>
      </c>
      <c r="B1087" s="130" t="s">
        <v>7972</v>
      </c>
      <c r="C1087" s="94">
        <v>0</v>
      </c>
      <c r="D1087" s="96" t="s">
        <v>2541</v>
      </c>
      <c r="E1087" s="96" t="s">
        <v>2506</v>
      </c>
      <c r="F1087" s="96">
        <v>0.159</v>
      </c>
      <c r="G1087" s="96" t="s">
        <v>2507</v>
      </c>
      <c r="H1087" s="96" t="s">
        <v>2508</v>
      </c>
      <c r="I1087" s="96" t="s">
        <v>2509</v>
      </c>
      <c r="J1087" s="96" t="s">
        <v>2510</v>
      </c>
      <c r="K1087" s="96" t="s">
        <v>510</v>
      </c>
      <c r="W1087" s="213">
        <v>1087</v>
      </c>
      <c r="X1087" s="214">
        <v>14</v>
      </c>
    </row>
    <row r="1088" spans="1:24" x14ac:dyDescent="0.25">
      <c r="A1088" s="97" t="s">
        <v>2240</v>
      </c>
      <c r="B1088" s="131" t="s">
        <v>7973</v>
      </c>
      <c r="C1088" s="97">
        <v>0</v>
      </c>
      <c r="D1088" s="99" t="s">
        <v>7945</v>
      </c>
      <c r="E1088" s="99" t="s">
        <v>2536</v>
      </c>
      <c r="F1088" s="99">
        <v>0.152</v>
      </c>
      <c r="G1088" s="99" t="s">
        <v>2537</v>
      </c>
      <c r="H1088" s="99" t="s">
        <v>2538</v>
      </c>
      <c r="I1088" s="99" t="s">
        <v>2539</v>
      </c>
      <c r="J1088" s="99" t="s">
        <v>2540</v>
      </c>
      <c r="K1088" s="99" t="s">
        <v>510</v>
      </c>
      <c r="W1088" s="213">
        <v>1088</v>
      </c>
      <c r="X1088" s="214">
        <v>14</v>
      </c>
    </row>
    <row r="1089" spans="1:24" x14ac:dyDescent="0.25">
      <c r="A1089" s="94" t="s">
        <v>2240</v>
      </c>
      <c r="B1089" s="95" t="s">
        <v>7274</v>
      </c>
      <c r="C1089" s="94">
        <v>0</v>
      </c>
      <c r="D1089" s="96" t="s">
        <v>198</v>
      </c>
      <c r="E1089" s="96" t="s">
        <v>7275</v>
      </c>
      <c r="F1089" s="96">
        <v>0.13500000000000001</v>
      </c>
      <c r="G1089" s="96" t="s">
        <v>7276</v>
      </c>
      <c r="H1089" s="96" t="s">
        <v>7277</v>
      </c>
      <c r="I1089" s="96" t="s">
        <v>7278</v>
      </c>
      <c r="J1089" s="96" t="s">
        <v>6927</v>
      </c>
      <c r="K1089" s="96" t="s">
        <v>510</v>
      </c>
      <c r="W1089" s="213">
        <v>1089</v>
      </c>
      <c r="X1089" s="214">
        <v>14</v>
      </c>
    </row>
    <row r="1090" spans="1:24" x14ac:dyDescent="0.25">
      <c r="A1090" s="97" t="s">
        <v>2240</v>
      </c>
      <c r="B1090" s="98" t="s">
        <v>6653</v>
      </c>
      <c r="C1090" s="97">
        <v>0</v>
      </c>
      <c r="D1090" s="99" t="s">
        <v>2471</v>
      </c>
      <c r="E1090" s="99" t="s">
        <v>6654</v>
      </c>
      <c r="F1090" s="99">
        <v>0.14000000000000001</v>
      </c>
      <c r="G1090" s="99" t="s">
        <v>6655</v>
      </c>
      <c r="H1090" s="99" t="s">
        <v>6656</v>
      </c>
      <c r="I1090" s="99" t="s">
        <v>6657</v>
      </c>
      <c r="J1090" s="99" t="s">
        <v>6658</v>
      </c>
      <c r="K1090" s="99" t="s">
        <v>510</v>
      </c>
      <c r="W1090" s="213">
        <v>1090</v>
      </c>
      <c r="X1090" s="214">
        <v>14</v>
      </c>
    </row>
    <row r="1091" spans="1:24" ht="15" customHeight="1" x14ac:dyDescent="0.25">
      <c r="A1091" s="94" t="s">
        <v>2240</v>
      </c>
      <c r="B1091" s="95" t="s">
        <v>6846</v>
      </c>
      <c r="C1091" s="94">
        <v>0</v>
      </c>
      <c r="D1091" s="96" t="s">
        <v>319</v>
      </c>
      <c r="E1091" s="96" t="s">
        <v>6847</v>
      </c>
      <c r="F1091" s="96">
        <v>0.191</v>
      </c>
      <c r="G1091" s="96" t="s">
        <v>6848</v>
      </c>
      <c r="H1091" s="96" t="s">
        <v>6849</v>
      </c>
      <c r="I1091" s="96" t="s">
        <v>6850</v>
      </c>
      <c r="J1091" s="96" t="s">
        <v>6851</v>
      </c>
      <c r="K1091" s="96" t="s">
        <v>510</v>
      </c>
      <c r="W1091" s="213">
        <v>1091</v>
      </c>
      <c r="X1091" s="214">
        <v>14</v>
      </c>
    </row>
    <row r="1092" spans="1:24" x14ac:dyDescent="0.25">
      <c r="A1092" s="97" t="s">
        <v>2240</v>
      </c>
      <c r="B1092" s="131" t="s">
        <v>7974</v>
      </c>
      <c r="C1092" s="97">
        <v>0</v>
      </c>
      <c r="D1092" s="99" t="s">
        <v>7946</v>
      </c>
      <c r="E1092" s="99" t="s">
        <v>2542</v>
      </c>
      <c r="F1092" s="99">
        <v>2.5999999999999999E-2</v>
      </c>
      <c r="G1092" s="99" t="s">
        <v>2543</v>
      </c>
      <c r="H1092" s="99" t="s">
        <v>2544</v>
      </c>
      <c r="I1092" s="99" t="s">
        <v>2545</v>
      </c>
      <c r="J1092" s="99" t="s">
        <v>2546</v>
      </c>
      <c r="K1092" s="99" t="s">
        <v>510</v>
      </c>
      <c r="W1092" s="213">
        <v>1092</v>
      </c>
      <c r="X1092" s="214">
        <v>14</v>
      </c>
    </row>
    <row r="1093" spans="1:24" x14ac:dyDescent="0.25">
      <c r="A1093" s="94" t="s">
        <v>2240</v>
      </c>
      <c r="B1093" s="95" t="s">
        <v>5734</v>
      </c>
      <c r="C1093" s="94">
        <v>0</v>
      </c>
      <c r="D1093" s="96" t="s">
        <v>1016</v>
      </c>
      <c r="E1093" s="96" t="s">
        <v>5735</v>
      </c>
      <c r="F1093" s="96">
        <v>0.122</v>
      </c>
      <c r="G1093" s="96" t="s">
        <v>5736</v>
      </c>
      <c r="H1093" s="96" t="s">
        <v>5737</v>
      </c>
      <c r="I1093" s="96" t="s">
        <v>5738</v>
      </c>
      <c r="J1093" s="96" t="s">
        <v>5739</v>
      </c>
      <c r="K1093" s="96" t="s">
        <v>510</v>
      </c>
      <c r="W1093" s="213">
        <v>1093</v>
      </c>
      <c r="X1093" s="214">
        <v>14</v>
      </c>
    </row>
    <row r="1094" spans="1:24" x14ac:dyDescent="0.25">
      <c r="A1094" s="97" t="s">
        <v>2240</v>
      </c>
      <c r="B1094" s="131" t="s">
        <v>7975</v>
      </c>
      <c r="C1094" s="97">
        <v>0</v>
      </c>
      <c r="D1094" s="99" t="s">
        <v>2480</v>
      </c>
      <c r="E1094" s="99" t="s">
        <v>2548</v>
      </c>
      <c r="F1094" s="99">
        <v>0.253</v>
      </c>
      <c r="G1094" s="99" t="s">
        <v>2549</v>
      </c>
      <c r="H1094" s="99" t="s">
        <v>2550</v>
      </c>
      <c r="I1094" s="99" t="s">
        <v>2551</v>
      </c>
      <c r="J1094" s="99" t="s">
        <v>2552</v>
      </c>
      <c r="K1094" s="99" t="s">
        <v>510</v>
      </c>
      <c r="W1094" s="213">
        <v>1094</v>
      </c>
      <c r="X1094" s="214">
        <v>14</v>
      </c>
    </row>
    <row r="1095" spans="1:24" x14ac:dyDescent="0.25">
      <c r="A1095" s="94" t="s">
        <v>2240</v>
      </c>
      <c r="B1095" s="95" t="s">
        <v>5421</v>
      </c>
      <c r="C1095" s="94">
        <v>0</v>
      </c>
      <c r="D1095" s="96" t="s">
        <v>5215</v>
      </c>
      <c r="E1095" s="96" t="s">
        <v>5422</v>
      </c>
      <c r="F1095" s="96">
        <v>8.9999999999999993E-3</v>
      </c>
      <c r="G1095" s="96" t="s">
        <v>5423</v>
      </c>
      <c r="H1095" s="96" t="s">
        <v>2552</v>
      </c>
      <c r="I1095" s="96" t="s">
        <v>5424</v>
      </c>
      <c r="J1095" s="96" t="s">
        <v>5425</v>
      </c>
      <c r="K1095" s="96" t="s">
        <v>510</v>
      </c>
      <c r="W1095" s="213">
        <v>1095</v>
      </c>
      <c r="X1095" s="214">
        <v>14</v>
      </c>
    </row>
    <row r="1096" spans="1:24" ht="14.45" customHeight="1" x14ac:dyDescent="0.25">
      <c r="A1096" s="97" t="s">
        <v>2240</v>
      </c>
      <c r="B1096" s="99" t="s">
        <v>7475</v>
      </c>
      <c r="C1096" s="97">
        <v>1</v>
      </c>
      <c r="D1096" s="99" t="s">
        <v>274</v>
      </c>
      <c r="E1096" s="99" t="s">
        <v>7476</v>
      </c>
      <c r="F1096" s="99">
        <v>8.5999999999999993E-2</v>
      </c>
      <c r="G1096" s="99" t="s">
        <v>7477</v>
      </c>
      <c r="H1096" s="99" t="s">
        <v>7478</v>
      </c>
      <c r="I1096" s="99" t="s">
        <v>7479</v>
      </c>
      <c r="J1096" s="99" t="s">
        <v>7480</v>
      </c>
      <c r="K1096" s="99" t="s">
        <v>9559</v>
      </c>
      <c r="W1096" s="213">
        <v>1096</v>
      </c>
      <c r="X1096" s="214">
        <v>14</v>
      </c>
    </row>
    <row r="1097" spans="1:24" ht="14.45" customHeight="1" x14ac:dyDescent="0.25">
      <c r="A1097" s="96" t="s">
        <v>0</v>
      </c>
      <c r="B1097" s="94" t="s">
        <v>32</v>
      </c>
      <c r="C1097" s="96" t="s">
        <v>7481</v>
      </c>
      <c r="D1097" s="96" t="s">
        <v>469</v>
      </c>
      <c r="E1097" s="96" t="s">
        <v>7482</v>
      </c>
      <c r="F1097" s="96">
        <v>0.47</v>
      </c>
      <c r="G1097" s="96" t="s">
        <v>510</v>
      </c>
      <c r="H1097" s="96"/>
      <c r="I1097" s="96"/>
      <c r="J1097" s="96"/>
      <c r="K1097" s="96" t="s">
        <v>510</v>
      </c>
      <c r="W1097" s="213">
        <v>1097</v>
      </c>
      <c r="X1097" s="214">
        <v>14</v>
      </c>
    </row>
    <row r="1098" spans="1:24" x14ac:dyDescent="0.25">
      <c r="A1098" s="97" t="s">
        <v>2240</v>
      </c>
      <c r="B1098" s="98" t="s">
        <v>6841</v>
      </c>
      <c r="C1098" s="97">
        <v>0</v>
      </c>
      <c r="D1098" s="99" t="s">
        <v>3294</v>
      </c>
      <c r="E1098" s="99" t="s">
        <v>6842</v>
      </c>
      <c r="F1098" s="99">
        <v>0.219</v>
      </c>
      <c r="G1098" s="99" t="s">
        <v>6843</v>
      </c>
      <c r="H1098" s="99" t="s">
        <v>5892</v>
      </c>
      <c r="I1098" s="99" t="s">
        <v>6844</v>
      </c>
      <c r="J1098" s="99" t="s">
        <v>6845</v>
      </c>
      <c r="K1098" s="99" t="s">
        <v>510</v>
      </c>
      <c r="W1098" s="213">
        <v>1098</v>
      </c>
      <c r="X1098" s="214">
        <v>14</v>
      </c>
    </row>
    <row r="1099" spans="1:24" x14ac:dyDescent="0.25">
      <c r="A1099" s="94" t="s">
        <v>2240</v>
      </c>
      <c r="B1099" s="95" t="s">
        <v>7330</v>
      </c>
      <c r="C1099" s="94">
        <v>0</v>
      </c>
      <c r="D1099" s="96" t="s">
        <v>1375</v>
      </c>
      <c r="E1099" s="96" t="s">
        <v>7331</v>
      </c>
      <c r="F1099" s="96">
        <v>0.20899999999999999</v>
      </c>
      <c r="G1099" s="96" t="s">
        <v>504</v>
      </c>
      <c r="H1099" s="96" t="s">
        <v>7332</v>
      </c>
      <c r="I1099" s="96" t="s">
        <v>7333</v>
      </c>
      <c r="J1099" s="96" t="s">
        <v>7334</v>
      </c>
      <c r="K1099" s="96" t="s">
        <v>510</v>
      </c>
      <c r="W1099" s="213">
        <v>1099</v>
      </c>
      <c r="X1099" s="214">
        <v>14</v>
      </c>
    </row>
    <row r="1100" spans="1:24" x14ac:dyDescent="0.25">
      <c r="A1100" s="97" t="s">
        <v>2240</v>
      </c>
      <c r="B1100" s="98" t="s">
        <v>7067</v>
      </c>
      <c r="C1100" s="97">
        <v>0</v>
      </c>
      <c r="D1100" s="99" t="s">
        <v>1848</v>
      </c>
      <c r="E1100" s="99" t="s">
        <v>7068</v>
      </c>
      <c r="F1100" s="99">
        <v>0.21299999999999999</v>
      </c>
      <c r="G1100" s="99" t="s">
        <v>5736</v>
      </c>
      <c r="H1100" s="99" t="s">
        <v>7069</v>
      </c>
      <c r="I1100" s="99" t="s">
        <v>6472</v>
      </c>
      <c r="J1100" s="99" t="s">
        <v>2634</v>
      </c>
      <c r="K1100" s="99" t="s">
        <v>510</v>
      </c>
      <c r="W1100" s="213">
        <v>1100</v>
      </c>
      <c r="X1100" s="214">
        <v>14</v>
      </c>
    </row>
    <row r="1101" spans="1:24" ht="15" customHeight="1" x14ac:dyDescent="0.25">
      <c r="A1101" s="94" t="s">
        <v>2240</v>
      </c>
      <c r="B1101" s="95" t="s">
        <v>4528</v>
      </c>
      <c r="C1101" s="94">
        <v>0</v>
      </c>
      <c r="D1101" s="96" t="s">
        <v>4449</v>
      </c>
      <c r="E1101" s="96" t="s">
        <v>4529</v>
      </c>
      <c r="F1101" s="96">
        <v>0.14199999999999999</v>
      </c>
      <c r="G1101" s="96" t="s">
        <v>4530</v>
      </c>
      <c r="H1101" s="96" t="s">
        <v>4531</v>
      </c>
      <c r="I1101" s="96" t="s">
        <v>4532</v>
      </c>
      <c r="J1101" s="96" t="s">
        <v>4533</v>
      </c>
      <c r="K1101" s="96" t="s">
        <v>510</v>
      </c>
      <c r="W1101" s="213">
        <v>1101</v>
      </c>
      <c r="X1101" s="214">
        <v>14</v>
      </c>
    </row>
    <row r="1102" spans="1:24" x14ac:dyDescent="0.25">
      <c r="A1102" s="97" t="s">
        <v>2240</v>
      </c>
      <c r="B1102" s="98" t="s">
        <v>6761</v>
      </c>
      <c r="C1102" s="97">
        <v>0</v>
      </c>
      <c r="D1102" s="99" t="s">
        <v>652</v>
      </c>
      <c r="E1102" s="99" t="s">
        <v>6762</v>
      </c>
      <c r="F1102" s="99">
        <v>5.0999999999999997E-2</v>
      </c>
      <c r="G1102" s="99" t="s">
        <v>6763</v>
      </c>
      <c r="H1102" s="99" t="s">
        <v>5115</v>
      </c>
      <c r="I1102" s="99" t="s">
        <v>6764</v>
      </c>
      <c r="J1102" s="99" t="s">
        <v>3074</v>
      </c>
      <c r="K1102" s="99" t="s">
        <v>510</v>
      </c>
      <c r="W1102" s="213">
        <v>1102</v>
      </c>
      <c r="X1102" s="214">
        <v>14</v>
      </c>
    </row>
    <row r="1103" spans="1:24" x14ac:dyDescent="0.25">
      <c r="A1103" s="71" t="s">
        <v>1966</v>
      </c>
      <c r="B1103" s="73" t="s">
        <v>3967</v>
      </c>
      <c r="C1103" s="71">
        <v>0</v>
      </c>
      <c r="D1103" s="72" t="s">
        <v>99</v>
      </c>
      <c r="E1103" s="72" t="s">
        <v>3968</v>
      </c>
      <c r="F1103" s="72">
        <v>0.42199999999999999</v>
      </c>
      <c r="G1103" s="72" t="s">
        <v>3969</v>
      </c>
      <c r="H1103" s="72" t="s">
        <v>3970</v>
      </c>
      <c r="I1103" s="72" t="s">
        <v>3971</v>
      </c>
      <c r="J1103" s="72" t="s">
        <v>3972</v>
      </c>
      <c r="K1103" s="72" t="s">
        <v>510</v>
      </c>
      <c r="W1103" s="213">
        <v>1103</v>
      </c>
      <c r="X1103" s="214">
        <v>10</v>
      </c>
    </row>
    <row r="1104" spans="1:24" x14ac:dyDescent="0.25">
      <c r="A1104" s="97" t="s">
        <v>2240</v>
      </c>
      <c r="B1104" s="98" t="s">
        <v>5708</v>
      </c>
      <c r="C1104" s="97">
        <v>0</v>
      </c>
      <c r="D1104" s="99" t="s">
        <v>1409</v>
      </c>
      <c r="E1104" s="99" t="s">
        <v>5709</v>
      </c>
      <c r="F1104" s="99">
        <v>6.3E-2</v>
      </c>
      <c r="G1104" s="99" t="s">
        <v>5710</v>
      </c>
      <c r="H1104" s="99" t="s">
        <v>5711</v>
      </c>
      <c r="I1104" s="99" t="s">
        <v>5712</v>
      </c>
      <c r="J1104" s="99" t="s">
        <v>5713</v>
      </c>
      <c r="K1104" s="99" t="s">
        <v>510</v>
      </c>
      <c r="W1104" s="213">
        <v>1104</v>
      </c>
      <c r="X1104" s="214">
        <v>14</v>
      </c>
    </row>
    <row r="1105" spans="1:24" x14ac:dyDescent="0.25">
      <c r="A1105" s="94" t="s">
        <v>2240</v>
      </c>
      <c r="B1105" s="95" t="s">
        <v>6951</v>
      </c>
      <c r="C1105" s="94">
        <v>0</v>
      </c>
      <c r="D1105" s="96" t="s">
        <v>219</v>
      </c>
      <c r="E1105" s="96" t="s">
        <v>6952</v>
      </c>
      <c r="F1105" s="96">
        <v>0.13500000000000001</v>
      </c>
      <c r="G1105" s="96" t="s">
        <v>6953</v>
      </c>
      <c r="H1105" s="96" t="s">
        <v>6954</v>
      </c>
      <c r="I1105" s="96" t="s">
        <v>6955</v>
      </c>
      <c r="J1105" s="96" t="s">
        <v>6956</v>
      </c>
      <c r="K1105" s="96" t="s">
        <v>510</v>
      </c>
      <c r="W1105" s="213">
        <v>1105</v>
      </c>
      <c r="X1105" s="214">
        <v>14</v>
      </c>
    </row>
    <row r="1106" spans="1:24" x14ac:dyDescent="0.25">
      <c r="A1106" s="97" t="s">
        <v>2240</v>
      </c>
      <c r="B1106" s="98" t="s">
        <v>6054</v>
      </c>
      <c r="C1106" s="97">
        <v>0</v>
      </c>
      <c r="D1106" s="99" t="s">
        <v>2094</v>
      </c>
      <c r="E1106" s="99" t="s">
        <v>6055</v>
      </c>
      <c r="F1106" s="99">
        <v>0.105</v>
      </c>
      <c r="G1106" s="99" t="s">
        <v>3338</v>
      </c>
      <c r="H1106" s="99" t="s">
        <v>6056</v>
      </c>
      <c r="I1106" s="99" t="s">
        <v>6057</v>
      </c>
      <c r="J1106" s="99" t="s">
        <v>6058</v>
      </c>
      <c r="K1106" s="99" t="s">
        <v>510</v>
      </c>
      <c r="W1106" s="213">
        <v>1106</v>
      </c>
      <c r="X1106" s="214">
        <v>14</v>
      </c>
    </row>
    <row r="1107" spans="1:24" ht="14.45" customHeight="1" x14ac:dyDescent="0.25">
      <c r="A1107" s="112" t="s">
        <v>2553</v>
      </c>
      <c r="B1107" s="107" t="s">
        <v>2554</v>
      </c>
      <c r="C1107" s="106">
        <v>1</v>
      </c>
      <c r="D1107" s="105" t="s">
        <v>2555</v>
      </c>
      <c r="E1107" s="105" t="s">
        <v>2556</v>
      </c>
      <c r="F1107" s="105">
        <v>4.1000000000000002E-2</v>
      </c>
      <c r="G1107" s="105" t="s">
        <v>2557</v>
      </c>
      <c r="H1107" s="105" t="s">
        <v>2558</v>
      </c>
      <c r="I1107" s="105" t="s">
        <v>2559</v>
      </c>
      <c r="J1107" s="105" t="s">
        <v>2560</v>
      </c>
      <c r="K1107" s="105" t="s">
        <v>9560</v>
      </c>
      <c r="W1107" s="213">
        <v>1107</v>
      </c>
      <c r="X1107" s="214">
        <v>13</v>
      </c>
    </row>
    <row r="1108" spans="1:24" ht="14.45" customHeight="1" x14ac:dyDescent="0.25">
      <c r="A1108" s="104" t="s">
        <v>0</v>
      </c>
      <c r="B1108" s="103" t="s">
        <v>32</v>
      </c>
      <c r="C1108" s="102" t="s">
        <v>2561</v>
      </c>
      <c r="D1108" s="104" t="s">
        <v>165</v>
      </c>
      <c r="E1108" s="104" t="s">
        <v>2562</v>
      </c>
      <c r="F1108" s="104">
        <v>5.6000000000000001E-2</v>
      </c>
      <c r="G1108" s="104" t="s">
        <v>2563</v>
      </c>
      <c r="H1108" s="111"/>
      <c r="I1108" s="111"/>
      <c r="J1108" s="111"/>
      <c r="K1108" s="104" t="s">
        <v>510</v>
      </c>
      <c r="W1108" s="213">
        <v>1108</v>
      </c>
      <c r="X1108" s="214">
        <v>13</v>
      </c>
    </row>
    <row r="1109" spans="1:24" x14ac:dyDescent="0.25">
      <c r="A1109" s="94" t="s">
        <v>2240</v>
      </c>
      <c r="B1109" s="130" t="s">
        <v>7976</v>
      </c>
      <c r="C1109" s="94">
        <v>0</v>
      </c>
      <c r="D1109" s="96" t="s">
        <v>2668</v>
      </c>
      <c r="E1109" s="96" t="s">
        <v>2574</v>
      </c>
      <c r="F1109" s="96">
        <v>7.3999999999999996E-2</v>
      </c>
      <c r="G1109" s="96" t="s">
        <v>2575</v>
      </c>
      <c r="H1109" s="96" t="s">
        <v>2576</v>
      </c>
      <c r="I1109" s="96" t="s">
        <v>2577</v>
      </c>
      <c r="J1109" s="96" t="s">
        <v>2578</v>
      </c>
      <c r="K1109" s="96" t="s">
        <v>510</v>
      </c>
      <c r="W1109" s="213">
        <v>1109</v>
      </c>
      <c r="X1109" s="214">
        <v>14</v>
      </c>
    </row>
    <row r="1110" spans="1:24" x14ac:dyDescent="0.25">
      <c r="A1110" s="97" t="s">
        <v>2240</v>
      </c>
      <c r="B1110" s="131" t="s">
        <v>8024</v>
      </c>
      <c r="C1110" s="97">
        <v>1</v>
      </c>
      <c r="D1110" s="99" t="s">
        <v>502</v>
      </c>
      <c r="E1110" s="99" t="s">
        <v>7109</v>
      </c>
      <c r="F1110" s="99">
        <v>8.4000000000000005E-2</v>
      </c>
      <c r="G1110" s="99" t="s">
        <v>7110</v>
      </c>
      <c r="H1110" s="99" t="s">
        <v>7111</v>
      </c>
      <c r="I1110" s="99" t="s">
        <v>7112</v>
      </c>
      <c r="J1110" s="99" t="s">
        <v>7113</v>
      </c>
      <c r="K1110" s="99" t="s">
        <v>9561</v>
      </c>
      <c r="W1110" s="213">
        <v>1110</v>
      </c>
      <c r="X1110" s="214">
        <v>14</v>
      </c>
    </row>
    <row r="1111" spans="1:24" ht="14.45" customHeight="1" x14ac:dyDescent="0.25">
      <c r="A1111" s="96" t="s">
        <v>0</v>
      </c>
      <c r="B1111" s="94" t="s">
        <v>32</v>
      </c>
      <c r="C1111" s="130" t="s">
        <v>7114</v>
      </c>
      <c r="D1111" s="96" t="s">
        <v>482</v>
      </c>
      <c r="E1111" s="96" t="s">
        <v>7115</v>
      </c>
      <c r="F1111" s="96">
        <v>0.41799999999999998</v>
      </c>
      <c r="G1111" s="96" t="s">
        <v>510</v>
      </c>
      <c r="H1111" s="96"/>
      <c r="I1111" s="96"/>
      <c r="J1111" s="96"/>
      <c r="K1111" s="96" t="s">
        <v>510</v>
      </c>
      <c r="W1111" s="213">
        <v>1111</v>
      </c>
      <c r="X1111" s="214">
        <v>14</v>
      </c>
    </row>
    <row r="1112" spans="1:24" ht="14.45" customHeight="1" x14ac:dyDescent="0.25">
      <c r="A1112" s="97" t="s">
        <v>2240</v>
      </c>
      <c r="B1112" s="99" t="s">
        <v>7487</v>
      </c>
      <c r="C1112" s="97">
        <v>1</v>
      </c>
      <c r="D1112" s="99" t="s">
        <v>99</v>
      </c>
      <c r="E1112" s="99" t="s">
        <v>7488</v>
      </c>
      <c r="F1112" s="99">
        <v>0.113</v>
      </c>
      <c r="G1112" s="99" t="s">
        <v>7489</v>
      </c>
      <c r="H1112" s="99" t="s">
        <v>7490</v>
      </c>
      <c r="I1112" s="99" t="s">
        <v>7491</v>
      </c>
      <c r="J1112" s="99" t="s">
        <v>7492</v>
      </c>
      <c r="K1112" s="99" t="s">
        <v>9543</v>
      </c>
      <c r="W1112" s="213">
        <v>1112</v>
      </c>
      <c r="X1112" s="214">
        <v>14</v>
      </c>
    </row>
    <row r="1113" spans="1:24" ht="14.45" customHeight="1" x14ac:dyDescent="0.25">
      <c r="A1113" s="96" t="s">
        <v>0</v>
      </c>
      <c r="B1113" s="94" t="s">
        <v>32</v>
      </c>
      <c r="C1113" s="96" t="s">
        <v>7493</v>
      </c>
      <c r="D1113" s="96" t="s">
        <v>365</v>
      </c>
      <c r="E1113" s="96" t="s">
        <v>7494</v>
      </c>
      <c r="F1113" s="96">
        <v>0.56299999999999994</v>
      </c>
      <c r="G1113" s="96" t="s">
        <v>510</v>
      </c>
      <c r="H1113" s="96"/>
      <c r="I1113" s="96"/>
      <c r="J1113" s="96"/>
      <c r="K1113" s="96" t="s">
        <v>510</v>
      </c>
      <c r="W1113" s="213">
        <v>1113</v>
      </c>
      <c r="X1113" s="214">
        <v>14</v>
      </c>
    </row>
    <row r="1114" spans="1:24" x14ac:dyDescent="0.25">
      <c r="A1114" s="97" t="s">
        <v>2240</v>
      </c>
      <c r="B1114" s="131" t="s">
        <v>7977</v>
      </c>
      <c r="C1114" s="97">
        <v>0</v>
      </c>
      <c r="D1114" s="99" t="s">
        <v>2826</v>
      </c>
      <c r="E1114" s="99" t="s">
        <v>2570</v>
      </c>
      <c r="F1114" s="99">
        <v>0.13700000000000001</v>
      </c>
      <c r="G1114" s="99" t="s">
        <v>2571</v>
      </c>
      <c r="H1114" s="99" t="s">
        <v>473</v>
      </c>
      <c r="I1114" s="99" t="s">
        <v>2572</v>
      </c>
      <c r="J1114" s="99" t="s">
        <v>2573</v>
      </c>
      <c r="K1114" s="99" t="s">
        <v>510</v>
      </c>
      <c r="W1114" s="213">
        <v>1114</v>
      </c>
      <c r="X1114" s="214">
        <v>14</v>
      </c>
    </row>
    <row r="1115" spans="1:24" x14ac:dyDescent="0.25">
      <c r="A1115" s="94" t="s">
        <v>2240</v>
      </c>
      <c r="B1115" s="95" t="s">
        <v>7324</v>
      </c>
      <c r="C1115" s="94">
        <v>0</v>
      </c>
      <c r="D1115" s="96" t="s">
        <v>261</v>
      </c>
      <c r="E1115" s="96" t="s">
        <v>7325</v>
      </c>
      <c r="F1115" s="96">
        <v>0.11799999999999999</v>
      </c>
      <c r="G1115" s="96" t="s">
        <v>7326</v>
      </c>
      <c r="H1115" s="96" t="s">
        <v>7327</v>
      </c>
      <c r="I1115" s="96" t="s">
        <v>7328</v>
      </c>
      <c r="J1115" s="96" t="s">
        <v>7329</v>
      </c>
      <c r="K1115" s="96" t="s">
        <v>510</v>
      </c>
      <c r="W1115" s="213">
        <v>1115</v>
      </c>
      <c r="X1115" s="214">
        <v>14</v>
      </c>
    </row>
    <row r="1116" spans="1:24" x14ac:dyDescent="0.25">
      <c r="A1116" s="97" t="s">
        <v>2240</v>
      </c>
      <c r="B1116" s="98" t="s">
        <v>8423</v>
      </c>
      <c r="C1116" s="97">
        <v>0</v>
      </c>
      <c r="D1116" s="99" t="s">
        <v>2564</v>
      </c>
      <c r="E1116" s="99" t="s">
        <v>2565</v>
      </c>
      <c r="F1116" s="99">
        <v>0.14499999999999999</v>
      </c>
      <c r="G1116" s="99" t="s">
        <v>2566</v>
      </c>
      <c r="H1116" s="99" t="s">
        <v>2567</v>
      </c>
      <c r="I1116" s="99" t="s">
        <v>2568</v>
      </c>
      <c r="J1116" s="99" t="s">
        <v>2569</v>
      </c>
      <c r="K1116" s="99" t="s">
        <v>510</v>
      </c>
      <c r="W1116" s="213">
        <v>1116</v>
      </c>
      <c r="X1116" s="214">
        <v>14</v>
      </c>
    </row>
    <row r="1117" spans="1:24" x14ac:dyDescent="0.25">
      <c r="A1117" s="94" t="s">
        <v>2240</v>
      </c>
      <c r="B1117" s="95" t="s">
        <v>5408</v>
      </c>
      <c r="C1117" s="94">
        <v>0</v>
      </c>
      <c r="D1117" s="96" t="s">
        <v>5409</v>
      </c>
      <c r="E1117" s="96" t="s">
        <v>5410</v>
      </c>
      <c r="F1117" s="96">
        <v>0.17599999999999999</v>
      </c>
      <c r="G1117" s="96" t="s">
        <v>5411</v>
      </c>
      <c r="H1117" s="96" t="s">
        <v>5412</v>
      </c>
      <c r="I1117" s="96" t="s">
        <v>5413</v>
      </c>
      <c r="J1117" s="96" t="s">
        <v>5414</v>
      </c>
      <c r="K1117" s="96" t="s">
        <v>510</v>
      </c>
      <c r="W1117" s="213">
        <v>1117</v>
      </c>
      <c r="X1117" s="214">
        <v>14</v>
      </c>
    </row>
    <row r="1118" spans="1:24" x14ac:dyDescent="0.25">
      <c r="A1118" s="97" t="s">
        <v>2240</v>
      </c>
      <c r="B1118" s="98" t="s">
        <v>5644</v>
      </c>
      <c r="C1118" s="97">
        <v>0</v>
      </c>
      <c r="D1118" s="99" t="s">
        <v>4252</v>
      </c>
      <c r="E1118" s="99" t="s">
        <v>5645</v>
      </c>
      <c r="F1118" s="99">
        <v>0.14099999999999999</v>
      </c>
      <c r="G1118" s="99" t="s">
        <v>5646</v>
      </c>
      <c r="H1118" s="99" t="s">
        <v>5647</v>
      </c>
      <c r="I1118" s="99" t="s">
        <v>5648</v>
      </c>
      <c r="J1118" s="99" t="s">
        <v>5649</v>
      </c>
      <c r="K1118" s="99" t="s">
        <v>510</v>
      </c>
      <c r="W1118" s="213">
        <v>1118</v>
      </c>
      <c r="X1118" s="214">
        <v>14</v>
      </c>
    </row>
    <row r="1119" spans="1:24" x14ac:dyDescent="0.25">
      <c r="A1119" s="94" t="s">
        <v>2240</v>
      </c>
      <c r="B1119" s="95" t="s">
        <v>6600</v>
      </c>
      <c r="C1119" s="94">
        <v>0</v>
      </c>
      <c r="D1119" s="96" t="s">
        <v>293</v>
      </c>
      <c r="E1119" s="96" t="s">
        <v>6601</v>
      </c>
      <c r="F1119" s="96">
        <v>0.22600000000000001</v>
      </c>
      <c r="G1119" s="96" t="s">
        <v>3027</v>
      </c>
      <c r="H1119" s="96" t="s">
        <v>6602</v>
      </c>
      <c r="I1119" s="96" t="s">
        <v>6603</v>
      </c>
      <c r="J1119" s="96" t="s">
        <v>6604</v>
      </c>
      <c r="K1119" s="96" t="s">
        <v>510</v>
      </c>
      <c r="W1119" s="213">
        <v>1119</v>
      </c>
      <c r="X1119" s="214">
        <v>14</v>
      </c>
    </row>
    <row r="1120" spans="1:24" x14ac:dyDescent="0.25">
      <c r="A1120" s="97" t="s">
        <v>2240</v>
      </c>
      <c r="B1120" s="98" t="s">
        <v>6973</v>
      </c>
      <c r="C1120" s="97">
        <v>0</v>
      </c>
      <c r="D1120" s="99" t="s">
        <v>3206</v>
      </c>
      <c r="E1120" s="99" t="s">
        <v>6974</v>
      </c>
      <c r="F1120" s="99">
        <v>0.127</v>
      </c>
      <c r="G1120" s="99" t="s">
        <v>6975</v>
      </c>
      <c r="H1120" s="99" t="s">
        <v>6976</v>
      </c>
      <c r="I1120" s="99" t="s">
        <v>6977</v>
      </c>
      <c r="J1120" s="99" t="s">
        <v>6978</v>
      </c>
      <c r="K1120" s="99" t="s">
        <v>510</v>
      </c>
      <c r="W1120" s="213">
        <v>1120</v>
      </c>
      <c r="X1120" s="214">
        <v>14</v>
      </c>
    </row>
    <row r="1121" spans="1:24" ht="14.45" customHeight="1" x14ac:dyDescent="0.25">
      <c r="A1121" s="94" t="s">
        <v>2240</v>
      </c>
      <c r="B1121" s="128" t="s">
        <v>7467</v>
      </c>
      <c r="C1121" s="94">
        <v>1</v>
      </c>
      <c r="D1121" s="96" t="s">
        <v>3415</v>
      </c>
      <c r="E1121" s="96" t="s">
        <v>7468</v>
      </c>
      <c r="F1121" s="96">
        <v>3.2000000000000001E-2</v>
      </c>
      <c r="G1121" s="96" t="s">
        <v>7469</v>
      </c>
      <c r="H1121" s="96" t="s">
        <v>7470</v>
      </c>
      <c r="I1121" s="96" t="s">
        <v>7471</v>
      </c>
      <c r="J1121" s="96" t="s">
        <v>7472</v>
      </c>
      <c r="K1121" s="96" t="s">
        <v>9380</v>
      </c>
      <c r="W1121" s="213">
        <v>1121</v>
      </c>
      <c r="X1121" s="214">
        <v>14</v>
      </c>
    </row>
    <row r="1122" spans="1:24" ht="14.45" customHeight="1" x14ac:dyDescent="0.25">
      <c r="A1122" s="99" t="s">
        <v>0</v>
      </c>
      <c r="B1122" s="97" t="s">
        <v>32</v>
      </c>
      <c r="C1122" s="129" t="s">
        <v>7473</v>
      </c>
      <c r="D1122" s="99" t="s">
        <v>423</v>
      </c>
      <c r="E1122" s="99" t="s">
        <v>7474</v>
      </c>
      <c r="F1122" s="99">
        <v>0.249</v>
      </c>
      <c r="G1122" s="99" t="s">
        <v>510</v>
      </c>
      <c r="H1122" s="99"/>
      <c r="I1122" s="99"/>
      <c r="J1122" s="99"/>
      <c r="K1122" s="99" t="s">
        <v>510</v>
      </c>
      <c r="W1122" s="213">
        <v>1122</v>
      </c>
      <c r="X1122" s="214">
        <v>14</v>
      </c>
    </row>
    <row r="1123" spans="1:24" x14ac:dyDescent="0.25">
      <c r="A1123" s="94" t="s">
        <v>2240</v>
      </c>
      <c r="B1123" s="95" t="s">
        <v>7313</v>
      </c>
      <c r="C1123" s="94">
        <v>0</v>
      </c>
      <c r="D1123" s="96" t="s">
        <v>198</v>
      </c>
      <c r="E1123" s="96" t="s">
        <v>7314</v>
      </c>
      <c r="F1123" s="96">
        <v>0.113</v>
      </c>
      <c r="G1123" s="96" t="s">
        <v>7315</v>
      </c>
      <c r="H1123" s="96" t="s">
        <v>7316</v>
      </c>
      <c r="I1123" s="96" t="s">
        <v>7317</v>
      </c>
      <c r="J1123" s="96" t="s">
        <v>7318</v>
      </c>
      <c r="K1123" s="96" t="s">
        <v>510</v>
      </c>
      <c r="W1123" s="213">
        <v>1123</v>
      </c>
      <c r="X1123" s="214">
        <v>14</v>
      </c>
    </row>
    <row r="1124" spans="1:24" x14ac:dyDescent="0.25">
      <c r="A1124" s="97" t="s">
        <v>2240</v>
      </c>
      <c r="B1124" s="98" t="s">
        <v>6189</v>
      </c>
      <c r="C1124" s="97">
        <v>0</v>
      </c>
      <c r="D1124" s="99" t="s">
        <v>4252</v>
      </c>
      <c r="E1124" s="99" t="s">
        <v>6190</v>
      </c>
      <c r="F1124" s="99">
        <v>0.58099999999999996</v>
      </c>
      <c r="G1124" s="99" t="s">
        <v>6191</v>
      </c>
      <c r="H1124" s="99" t="s">
        <v>6192</v>
      </c>
      <c r="I1124" s="99" t="s">
        <v>6193</v>
      </c>
      <c r="J1124" s="99" t="s">
        <v>6194</v>
      </c>
      <c r="K1124" s="99" t="s">
        <v>510</v>
      </c>
      <c r="W1124" s="213">
        <v>1124</v>
      </c>
      <c r="X1124" s="214">
        <v>14</v>
      </c>
    </row>
    <row r="1125" spans="1:24" x14ac:dyDescent="0.25">
      <c r="A1125" s="94" t="s">
        <v>2240</v>
      </c>
      <c r="B1125" s="95" t="s">
        <v>6765</v>
      </c>
      <c r="C1125" s="94">
        <v>0</v>
      </c>
      <c r="D1125" s="96" t="s">
        <v>5797</v>
      </c>
      <c r="E1125" s="96" t="s">
        <v>6766</v>
      </c>
      <c r="F1125" s="96">
        <v>8.6999999999999994E-2</v>
      </c>
      <c r="G1125" s="96" t="s">
        <v>6767</v>
      </c>
      <c r="H1125" s="96" t="s">
        <v>6768</v>
      </c>
      <c r="I1125" s="96" t="s">
        <v>6769</v>
      </c>
      <c r="J1125" s="96" t="s">
        <v>6770</v>
      </c>
      <c r="K1125" s="96" t="s">
        <v>510</v>
      </c>
      <c r="W1125" s="213">
        <v>1125</v>
      </c>
      <c r="X1125" s="214">
        <v>14</v>
      </c>
    </row>
    <row r="1126" spans="1:24" x14ac:dyDescent="0.25">
      <c r="A1126" s="97" t="s">
        <v>2240</v>
      </c>
      <c r="B1126" s="98" t="s">
        <v>4628</v>
      </c>
      <c r="C1126" s="97">
        <v>0</v>
      </c>
      <c r="D1126" s="99" t="s">
        <v>3301</v>
      </c>
      <c r="E1126" s="99" t="s">
        <v>4629</v>
      </c>
      <c r="F1126" s="99">
        <v>0.17599999999999999</v>
      </c>
      <c r="G1126" s="99" t="s">
        <v>4630</v>
      </c>
      <c r="H1126" s="99" t="s">
        <v>4631</v>
      </c>
      <c r="I1126" s="99" t="s">
        <v>4632</v>
      </c>
      <c r="J1126" s="99" t="s">
        <v>4633</v>
      </c>
      <c r="K1126" s="99" t="s">
        <v>510</v>
      </c>
      <c r="W1126" s="213">
        <v>1126</v>
      </c>
      <c r="X1126" s="214">
        <v>14</v>
      </c>
    </row>
    <row r="1127" spans="1:24" x14ac:dyDescent="0.25">
      <c r="A1127" s="94" t="s">
        <v>2240</v>
      </c>
      <c r="B1127" s="95" t="s">
        <v>5203</v>
      </c>
      <c r="C1127" s="94">
        <v>0</v>
      </c>
      <c r="D1127" s="96" t="s">
        <v>5161</v>
      </c>
      <c r="E1127" s="96" t="s">
        <v>5204</v>
      </c>
      <c r="F1127" s="96">
        <v>5.5E-2</v>
      </c>
      <c r="G1127" s="96" t="s">
        <v>5205</v>
      </c>
      <c r="H1127" s="96" t="s">
        <v>5206</v>
      </c>
      <c r="I1127" s="96" t="s">
        <v>5207</v>
      </c>
      <c r="J1127" s="96" t="s">
        <v>5208</v>
      </c>
      <c r="K1127" s="96" t="s">
        <v>510</v>
      </c>
      <c r="W1127" s="213">
        <v>1127</v>
      </c>
      <c r="X1127" s="214">
        <v>14</v>
      </c>
    </row>
    <row r="1128" spans="1:24" x14ac:dyDescent="0.25">
      <c r="A1128" s="97" t="s">
        <v>2240</v>
      </c>
      <c r="B1128" s="98" t="s">
        <v>6131</v>
      </c>
      <c r="C1128" s="97">
        <v>0</v>
      </c>
      <c r="D1128" s="99" t="s">
        <v>4025</v>
      </c>
      <c r="E1128" s="99" t="s">
        <v>6132</v>
      </c>
      <c r="F1128" s="99">
        <v>3.5000000000000003E-2</v>
      </c>
      <c r="G1128" s="99" t="s">
        <v>6133</v>
      </c>
      <c r="H1128" s="99" t="s">
        <v>1750</v>
      </c>
      <c r="I1128" s="99" t="s">
        <v>6134</v>
      </c>
      <c r="J1128" s="99" t="s">
        <v>6135</v>
      </c>
      <c r="K1128" s="99" t="s">
        <v>510</v>
      </c>
      <c r="W1128" s="213">
        <v>1128</v>
      </c>
      <c r="X1128" s="214">
        <v>14</v>
      </c>
    </row>
    <row r="1129" spans="1:24" x14ac:dyDescent="0.25">
      <c r="A1129" s="94" t="s">
        <v>2240</v>
      </c>
      <c r="B1129" s="95" t="s">
        <v>5690</v>
      </c>
      <c r="C1129" s="94">
        <v>0</v>
      </c>
      <c r="D1129" s="96" t="s">
        <v>2094</v>
      </c>
      <c r="E1129" s="96" t="s">
        <v>5691</v>
      </c>
      <c r="F1129" s="96">
        <v>0.15</v>
      </c>
      <c r="G1129" s="96" t="s">
        <v>5692</v>
      </c>
      <c r="H1129" s="96" t="s">
        <v>5693</v>
      </c>
      <c r="I1129" s="96" t="s">
        <v>5694</v>
      </c>
      <c r="J1129" s="96" t="s">
        <v>5695</v>
      </c>
      <c r="K1129" s="96" t="s">
        <v>510</v>
      </c>
      <c r="W1129" s="213">
        <v>1129</v>
      </c>
      <c r="X1129" s="214">
        <v>14</v>
      </c>
    </row>
    <row r="1130" spans="1:24" x14ac:dyDescent="0.25">
      <c r="A1130" s="97" t="s">
        <v>2240</v>
      </c>
      <c r="B1130" s="98" t="s">
        <v>5953</v>
      </c>
      <c r="C1130" s="97">
        <v>0</v>
      </c>
      <c r="D1130" s="99" t="s">
        <v>4687</v>
      </c>
      <c r="E1130" s="99" t="s">
        <v>5954</v>
      </c>
      <c r="F1130" s="99">
        <v>8.7999999999999995E-2</v>
      </c>
      <c r="G1130" s="99" t="s">
        <v>5955</v>
      </c>
      <c r="H1130" s="99" t="s">
        <v>5956</v>
      </c>
      <c r="I1130" s="99" t="s">
        <v>5957</v>
      </c>
      <c r="J1130" s="99" t="s">
        <v>5958</v>
      </c>
      <c r="K1130" s="99" t="s">
        <v>510</v>
      </c>
      <c r="W1130" s="213">
        <v>1130</v>
      </c>
      <c r="X1130" s="214">
        <v>14</v>
      </c>
    </row>
    <row r="1131" spans="1:24" x14ac:dyDescent="0.25">
      <c r="A1131" s="94" t="s">
        <v>2240</v>
      </c>
      <c r="B1131" s="95" t="s">
        <v>5008</v>
      </c>
      <c r="C1131" s="94">
        <v>0</v>
      </c>
      <c r="D1131" s="96" t="s">
        <v>4572</v>
      </c>
      <c r="E1131" s="96" t="s">
        <v>5009</v>
      </c>
      <c r="F1131" s="96">
        <v>0.20699999999999999</v>
      </c>
      <c r="G1131" s="96" t="s">
        <v>5010</v>
      </c>
      <c r="H1131" s="96" t="s">
        <v>5011</v>
      </c>
      <c r="I1131" s="96" t="s">
        <v>5012</v>
      </c>
      <c r="J1131" s="96" t="s">
        <v>5013</v>
      </c>
      <c r="K1131" s="96" t="s">
        <v>510</v>
      </c>
      <c r="W1131" s="213">
        <v>1131</v>
      </c>
      <c r="X1131" s="214">
        <v>14</v>
      </c>
    </row>
    <row r="1132" spans="1:24" ht="14.45" customHeight="1" x14ac:dyDescent="0.25">
      <c r="A1132" s="97" t="s">
        <v>2240</v>
      </c>
      <c r="B1132" s="129" t="s">
        <v>2579</v>
      </c>
      <c r="C1132" s="97">
        <v>0</v>
      </c>
      <c r="D1132" s="99" t="s">
        <v>365</v>
      </c>
      <c r="E1132" s="99" t="s">
        <v>2580</v>
      </c>
      <c r="F1132" s="99">
        <v>7.0999999999999994E-2</v>
      </c>
      <c r="G1132" s="99" t="s">
        <v>2581</v>
      </c>
      <c r="H1132" s="99" t="s">
        <v>2582</v>
      </c>
      <c r="I1132" s="99" t="s">
        <v>2583</v>
      </c>
      <c r="J1132" s="99" t="s">
        <v>2584</v>
      </c>
      <c r="K1132" s="99" t="s">
        <v>510</v>
      </c>
      <c r="W1132" s="213">
        <v>1132</v>
      </c>
      <c r="X1132" s="214">
        <v>14</v>
      </c>
    </row>
    <row r="1133" spans="1:24" x14ac:dyDescent="0.25">
      <c r="A1133" s="94" t="s">
        <v>2240</v>
      </c>
      <c r="B1133" s="95" t="s">
        <v>6784</v>
      </c>
      <c r="C1133" s="94">
        <v>0</v>
      </c>
      <c r="D1133" s="96" t="s">
        <v>2351</v>
      </c>
      <c r="E1133" s="96" t="s">
        <v>5438</v>
      </c>
      <c r="F1133" s="96">
        <v>0.182</v>
      </c>
      <c r="G1133" s="96" t="s">
        <v>5439</v>
      </c>
      <c r="H1133" s="96" t="s">
        <v>5440</v>
      </c>
      <c r="I1133" s="96" t="s">
        <v>5441</v>
      </c>
      <c r="J1133" s="96" t="s">
        <v>5442</v>
      </c>
      <c r="K1133" s="96" t="s">
        <v>510</v>
      </c>
      <c r="W1133" s="213">
        <v>1133</v>
      </c>
      <c r="X1133" s="214">
        <v>14</v>
      </c>
    </row>
    <row r="1134" spans="1:24" x14ac:dyDescent="0.25">
      <c r="A1134" s="97" t="s">
        <v>2240</v>
      </c>
      <c r="B1134" s="131" t="s">
        <v>7978</v>
      </c>
      <c r="C1134" s="97">
        <v>0</v>
      </c>
      <c r="D1134" s="99" t="s">
        <v>2158</v>
      </c>
      <c r="E1134" s="99" t="s">
        <v>2585</v>
      </c>
      <c r="F1134" s="99">
        <v>0.17699999999999999</v>
      </c>
      <c r="G1134" s="99" t="s">
        <v>2586</v>
      </c>
      <c r="H1134" s="99" t="s">
        <v>2587</v>
      </c>
      <c r="I1134" s="99" t="s">
        <v>2588</v>
      </c>
      <c r="J1134" s="99" t="s">
        <v>2589</v>
      </c>
      <c r="K1134" s="99" t="s">
        <v>510</v>
      </c>
      <c r="W1134" s="213">
        <v>1134</v>
      </c>
      <c r="X1134" s="214">
        <v>14</v>
      </c>
    </row>
    <row r="1135" spans="1:24" x14ac:dyDescent="0.25">
      <c r="A1135" s="94" t="s">
        <v>2240</v>
      </c>
      <c r="B1135" s="95" t="s">
        <v>6889</v>
      </c>
      <c r="C1135" s="94">
        <v>0</v>
      </c>
      <c r="D1135" s="96" t="s">
        <v>219</v>
      </c>
      <c r="E1135" s="96" t="s">
        <v>6890</v>
      </c>
      <c r="F1135" s="96">
        <v>1.7000000000000001E-2</v>
      </c>
      <c r="G1135" s="96" t="s">
        <v>6891</v>
      </c>
      <c r="H1135" s="96" t="s">
        <v>6892</v>
      </c>
      <c r="I1135" s="96" t="s">
        <v>6893</v>
      </c>
      <c r="J1135" s="96" t="s">
        <v>6894</v>
      </c>
      <c r="K1135" s="96" t="s">
        <v>510</v>
      </c>
      <c r="W1135" s="213">
        <v>1135</v>
      </c>
      <c r="X1135" s="214">
        <v>14</v>
      </c>
    </row>
    <row r="1136" spans="1:24" x14ac:dyDescent="0.25">
      <c r="A1136" s="97" t="s">
        <v>2240</v>
      </c>
      <c r="B1136" s="98" t="s">
        <v>4338</v>
      </c>
      <c r="C1136" s="97">
        <v>0</v>
      </c>
      <c r="D1136" s="99" t="s">
        <v>4339</v>
      </c>
      <c r="E1136" s="99" t="s">
        <v>4340</v>
      </c>
      <c r="F1136" s="99">
        <v>0.187</v>
      </c>
      <c r="G1136" s="99" t="s">
        <v>4341</v>
      </c>
      <c r="H1136" s="99" t="s">
        <v>4342</v>
      </c>
      <c r="I1136" s="99" t="s">
        <v>4343</v>
      </c>
      <c r="J1136" s="99" t="s">
        <v>4344</v>
      </c>
      <c r="K1136" s="99" t="s">
        <v>510</v>
      </c>
      <c r="W1136" s="213">
        <v>1136</v>
      </c>
      <c r="X1136" s="214">
        <v>14</v>
      </c>
    </row>
    <row r="1137" spans="1:24" x14ac:dyDescent="0.25">
      <c r="A1137" s="94" t="s">
        <v>2240</v>
      </c>
      <c r="B1137" s="95" t="s">
        <v>5318</v>
      </c>
      <c r="C1137" s="94">
        <v>0</v>
      </c>
      <c r="D1137" s="96" t="s">
        <v>384</v>
      </c>
      <c r="E1137" s="96" t="s">
        <v>4340</v>
      </c>
      <c r="F1137" s="96">
        <v>0.155</v>
      </c>
      <c r="G1137" s="96" t="s">
        <v>5319</v>
      </c>
      <c r="H1137" s="96" t="s">
        <v>5320</v>
      </c>
      <c r="I1137" s="96" t="s">
        <v>5321</v>
      </c>
      <c r="J1137" s="96" t="s">
        <v>5322</v>
      </c>
      <c r="K1137" s="96" t="s">
        <v>510</v>
      </c>
      <c r="W1137" s="213">
        <v>1137</v>
      </c>
      <c r="X1137" s="214">
        <v>14</v>
      </c>
    </row>
    <row r="1138" spans="1:24" x14ac:dyDescent="0.25">
      <c r="A1138" s="97" t="s">
        <v>2240</v>
      </c>
      <c r="B1138" s="98" t="s">
        <v>7105</v>
      </c>
      <c r="C1138" s="97">
        <v>0</v>
      </c>
      <c r="D1138" s="99" t="s">
        <v>2094</v>
      </c>
      <c r="E1138" s="99" t="s">
        <v>7106</v>
      </c>
      <c r="F1138" s="99">
        <v>7.5999999999999998E-2</v>
      </c>
      <c r="G1138" s="99" t="s">
        <v>986</v>
      </c>
      <c r="H1138" s="99" t="s">
        <v>7107</v>
      </c>
      <c r="I1138" s="99" t="s">
        <v>7108</v>
      </c>
      <c r="J1138" s="99" t="s">
        <v>4626</v>
      </c>
      <c r="K1138" s="99" t="s">
        <v>510</v>
      </c>
      <c r="W1138" s="213">
        <v>1138</v>
      </c>
      <c r="X1138" s="214">
        <v>14</v>
      </c>
    </row>
    <row r="1139" spans="1:24" x14ac:dyDescent="0.25">
      <c r="A1139" s="94" t="s">
        <v>2240</v>
      </c>
      <c r="B1139" s="95" t="s">
        <v>5901</v>
      </c>
      <c r="C1139" s="94">
        <v>0</v>
      </c>
      <c r="D1139" s="96" t="s">
        <v>2094</v>
      </c>
      <c r="E1139" s="96" t="s">
        <v>5902</v>
      </c>
      <c r="F1139" s="96">
        <v>0.151</v>
      </c>
      <c r="G1139" s="96" t="s">
        <v>5903</v>
      </c>
      <c r="H1139" s="96" t="s">
        <v>1892</v>
      </c>
      <c r="I1139" s="96" t="s">
        <v>5904</v>
      </c>
      <c r="J1139" s="96" t="s">
        <v>5905</v>
      </c>
      <c r="K1139" s="96" t="s">
        <v>510</v>
      </c>
      <c r="W1139" s="213">
        <v>1139</v>
      </c>
      <c r="X1139" s="214">
        <v>14</v>
      </c>
    </row>
    <row r="1140" spans="1:24" x14ac:dyDescent="0.25">
      <c r="A1140" s="97" t="s">
        <v>2240</v>
      </c>
      <c r="B1140" s="98" t="s">
        <v>6957</v>
      </c>
      <c r="C1140" s="97">
        <v>1</v>
      </c>
      <c r="D1140" s="99" t="s">
        <v>115</v>
      </c>
      <c r="E1140" s="99" t="s">
        <v>6958</v>
      </c>
      <c r="F1140" s="99">
        <v>0.193</v>
      </c>
      <c r="G1140" s="99" t="s">
        <v>6959</v>
      </c>
      <c r="H1140" s="99" t="s">
        <v>6960</v>
      </c>
      <c r="I1140" s="99" t="s">
        <v>6961</v>
      </c>
      <c r="J1140" s="99" t="s">
        <v>6962</v>
      </c>
      <c r="K1140" s="99" t="s">
        <v>510</v>
      </c>
      <c r="W1140" s="213">
        <v>1140</v>
      </c>
      <c r="X1140" s="214">
        <v>14</v>
      </c>
    </row>
    <row r="1141" spans="1:24" ht="14.45" customHeight="1" x14ac:dyDescent="0.25">
      <c r="A1141" s="96" t="s">
        <v>0</v>
      </c>
      <c r="B1141" s="94" t="s">
        <v>32</v>
      </c>
      <c r="C1141" s="95" t="s">
        <v>8027</v>
      </c>
      <c r="D1141" s="96" t="s">
        <v>274</v>
      </c>
      <c r="E1141" s="96" t="s">
        <v>8028</v>
      </c>
      <c r="F1141" s="96" t="s">
        <v>510</v>
      </c>
      <c r="G1141" s="96" t="s">
        <v>510</v>
      </c>
      <c r="H1141" s="96"/>
      <c r="I1141" s="96"/>
      <c r="J1141" s="96"/>
      <c r="K1141" s="96" t="s">
        <v>510</v>
      </c>
      <c r="W1141" s="213">
        <v>1141</v>
      </c>
      <c r="X1141" s="214">
        <v>14</v>
      </c>
    </row>
    <row r="1142" spans="1:24" x14ac:dyDescent="0.25">
      <c r="A1142" s="97" t="s">
        <v>2240</v>
      </c>
      <c r="B1142" s="98" t="s">
        <v>6339</v>
      </c>
      <c r="C1142" s="97">
        <v>0</v>
      </c>
      <c r="D1142" s="99" t="s">
        <v>2094</v>
      </c>
      <c r="E1142" s="99" t="s">
        <v>6340</v>
      </c>
      <c r="F1142" s="99">
        <v>8.8999999999999996E-2</v>
      </c>
      <c r="G1142" s="99" t="s">
        <v>6341</v>
      </c>
      <c r="H1142" s="99" t="s">
        <v>6342</v>
      </c>
      <c r="I1142" s="99" t="s">
        <v>6343</v>
      </c>
      <c r="J1142" s="99" t="s">
        <v>6344</v>
      </c>
      <c r="K1142" s="99" t="s">
        <v>510</v>
      </c>
      <c r="W1142" s="213">
        <v>1142</v>
      </c>
      <c r="X1142" s="214">
        <v>14</v>
      </c>
    </row>
    <row r="1143" spans="1:24" x14ac:dyDescent="0.25">
      <c r="A1143" s="94" t="s">
        <v>2240</v>
      </c>
      <c r="B1143" s="95" t="s">
        <v>4442</v>
      </c>
      <c r="C1143" s="94">
        <v>0</v>
      </c>
      <c r="D1143" s="96" t="s">
        <v>2446</v>
      </c>
      <c r="E1143" s="96" t="s">
        <v>4443</v>
      </c>
      <c r="F1143" s="96">
        <v>4.5999999999999999E-2</v>
      </c>
      <c r="G1143" s="96" t="s">
        <v>4444</v>
      </c>
      <c r="H1143" s="96" t="s">
        <v>4445</v>
      </c>
      <c r="I1143" s="96" t="s">
        <v>4446</v>
      </c>
      <c r="J1143" s="96" t="s">
        <v>4447</v>
      </c>
      <c r="K1143" s="96" t="s">
        <v>510</v>
      </c>
      <c r="W1143" s="213">
        <v>1143</v>
      </c>
      <c r="X1143" s="214">
        <v>14</v>
      </c>
    </row>
    <row r="1144" spans="1:24" x14ac:dyDescent="0.25">
      <c r="A1144" s="97" t="s">
        <v>2240</v>
      </c>
      <c r="B1144" s="98" t="s">
        <v>6922</v>
      </c>
      <c r="C1144" s="97">
        <v>0</v>
      </c>
      <c r="D1144" s="99" t="s">
        <v>1848</v>
      </c>
      <c r="E1144" s="99" t="s">
        <v>6923</v>
      </c>
      <c r="F1144" s="99">
        <v>0.124</v>
      </c>
      <c r="G1144" s="99" t="s">
        <v>6924</v>
      </c>
      <c r="H1144" s="99" t="s">
        <v>6925</v>
      </c>
      <c r="I1144" s="99" t="s">
        <v>6926</v>
      </c>
      <c r="J1144" s="99" t="s">
        <v>6927</v>
      </c>
      <c r="K1144" s="99" t="s">
        <v>510</v>
      </c>
      <c r="W1144" s="213">
        <v>1144</v>
      </c>
      <c r="X1144" s="214">
        <v>14</v>
      </c>
    </row>
    <row r="1145" spans="1:24" x14ac:dyDescent="0.25">
      <c r="A1145" s="94" t="s">
        <v>2240</v>
      </c>
      <c r="B1145" s="95" t="s">
        <v>6195</v>
      </c>
      <c r="C1145" s="94">
        <v>0</v>
      </c>
      <c r="D1145" s="96" t="s">
        <v>3301</v>
      </c>
      <c r="E1145" s="96" t="s">
        <v>6196</v>
      </c>
      <c r="F1145" s="96">
        <v>0.108</v>
      </c>
      <c r="G1145" s="96" t="s">
        <v>6197</v>
      </c>
      <c r="H1145" s="96" t="s">
        <v>6198</v>
      </c>
      <c r="I1145" s="96" t="s">
        <v>6199</v>
      </c>
      <c r="J1145" s="96" t="s">
        <v>6200</v>
      </c>
      <c r="K1145" s="96" t="s">
        <v>510</v>
      </c>
      <c r="W1145" s="213">
        <v>1145</v>
      </c>
      <c r="X1145" s="214">
        <v>14</v>
      </c>
    </row>
    <row r="1146" spans="1:24" ht="14.45" customHeight="1" x14ac:dyDescent="0.25">
      <c r="A1146" s="97" t="s">
        <v>2240</v>
      </c>
      <c r="B1146" s="129" t="s">
        <v>3396</v>
      </c>
      <c r="C1146" s="97">
        <v>1</v>
      </c>
      <c r="D1146" s="99" t="s">
        <v>1745</v>
      </c>
      <c r="E1146" s="99" t="s">
        <v>3397</v>
      </c>
      <c r="F1146" s="99">
        <v>1.7000000000000001E-2</v>
      </c>
      <c r="G1146" s="99" t="s">
        <v>3398</v>
      </c>
      <c r="H1146" s="99" t="s">
        <v>3399</v>
      </c>
      <c r="I1146" s="99" t="s">
        <v>3400</v>
      </c>
      <c r="J1146" s="99" t="s">
        <v>3401</v>
      </c>
      <c r="K1146" s="99" t="s">
        <v>9562</v>
      </c>
      <c r="W1146" s="213">
        <v>1146</v>
      </c>
      <c r="X1146" s="214">
        <v>14</v>
      </c>
    </row>
    <row r="1147" spans="1:24" ht="14.45" customHeight="1" x14ac:dyDescent="0.25">
      <c r="A1147" s="96" t="s">
        <v>0</v>
      </c>
      <c r="B1147" s="94" t="s">
        <v>32</v>
      </c>
      <c r="C1147" s="128" t="s">
        <v>3402</v>
      </c>
      <c r="D1147" s="96" t="s">
        <v>3403</v>
      </c>
      <c r="E1147" s="96" t="s">
        <v>3404</v>
      </c>
      <c r="F1147" s="96">
        <v>0.02</v>
      </c>
      <c r="G1147" s="96" t="s">
        <v>510</v>
      </c>
      <c r="H1147" s="96"/>
      <c r="I1147" s="96"/>
      <c r="J1147" s="96"/>
      <c r="K1147" s="96" t="s">
        <v>510</v>
      </c>
      <c r="W1147" s="213">
        <v>1147</v>
      </c>
      <c r="X1147" s="214">
        <v>14</v>
      </c>
    </row>
    <row r="1148" spans="1:24" x14ac:dyDescent="0.25">
      <c r="A1148" s="97" t="s">
        <v>2240</v>
      </c>
      <c r="B1148" s="98" t="s">
        <v>4307</v>
      </c>
      <c r="C1148" s="97">
        <v>0</v>
      </c>
      <c r="D1148" s="99" t="s">
        <v>4276</v>
      </c>
      <c r="E1148" s="99" t="s">
        <v>4308</v>
      </c>
      <c r="F1148" s="99">
        <v>0.17399999999999999</v>
      </c>
      <c r="G1148" s="99" t="s">
        <v>4309</v>
      </c>
      <c r="H1148" s="99" t="s">
        <v>4310</v>
      </c>
      <c r="I1148" s="99" t="s">
        <v>4311</v>
      </c>
      <c r="J1148" s="99" t="s">
        <v>4310</v>
      </c>
      <c r="K1148" s="99" t="s">
        <v>510</v>
      </c>
      <c r="W1148" s="213">
        <v>1148</v>
      </c>
      <c r="X1148" s="214">
        <v>14</v>
      </c>
    </row>
    <row r="1149" spans="1:24" x14ac:dyDescent="0.25">
      <c r="A1149" s="94" t="s">
        <v>2240</v>
      </c>
      <c r="B1149" s="95" t="s">
        <v>5672</v>
      </c>
      <c r="C1149" s="94">
        <v>0</v>
      </c>
      <c r="D1149" s="96" t="s">
        <v>4252</v>
      </c>
      <c r="E1149" s="96" t="s">
        <v>5673</v>
      </c>
      <c r="F1149" s="96">
        <v>0.17399999999999999</v>
      </c>
      <c r="G1149" s="96" t="s">
        <v>5674</v>
      </c>
      <c r="H1149" s="96" t="s">
        <v>5675</v>
      </c>
      <c r="I1149" s="96" t="s">
        <v>5676</v>
      </c>
      <c r="J1149" s="96" t="s">
        <v>5677</v>
      </c>
      <c r="K1149" s="96" t="s">
        <v>510</v>
      </c>
      <c r="W1149" s="213">
        <v>1149</v>
      </c>
      <c r="X1149" s="214">
        <v>14</v>
      </c>
    </row>
    <row r="1150" spans="1:24" x14ac:dyDescent="0.25">
      <c r="A1150" s="97" t="s">
        <v>2240</v>
      </c>
      <c r="B1150" s="131" t="s">
        <v>8023</v>
      </c>
      <c r="C1150" s="97">
        <v>1</v>
      </c>
      <c r="D1150" s="99" t="s">
        <v>4694</v>
      </c>
      <c r="E1150" s="99" t="s">
        <v>4776</v>
      </c>
      <c r="F1150" s="99">
        <v>0.84599999999999997</v>
      </c>
      <c r="G1150" s="99" t="s">
        <v>4777</v>
      </c>
      <c r="H1150" s="99" t="s">
        <v>4778</v>
      </c>
      <c r="I1150" s="99" t="s">
        <v>4779</v>
      </c>
      <c r="J1150" s="99" t="s">
        <v>4780</v>
      </c>
      <c r="K1150" s="99" t="s">
        <v>510</v>
      </c>
      <c r="W1150" s="213">
        <v>1150</v>
      </c>
      <c r="X1150" s="214">
        <v>14</v>
      </c>
    </row>
    <row r="1151" spans="1:24" x14ac:dyDescent="0.25">
      <c r="A1151" s="96" t="s">
        <v>0</v>
      </c>
      <c r="B1151" s="94" t="s">
        <v>32</v>
      </c>
      <c r="C1151" s="130" t="s">
        <v>4781</v>
      </c>
      <c r="D1151" s="96" t="s">
        <v>674</v>
      </c>
      <c r="E1151" s="96" t="s">
        <v>4782</v>
      </c>
      <c r="F1151" s="96" t="s">
        <v>510</v>
      </c>
      <c r="G1151" s="96" t="s">
        <v>510</v>
      </c>
      <c r="H1151" s="96"/>
      <c r="I1151" s="96"/>
      <c r="J1151" s="96"/>
      <c r="K1151" s="96" t="s">
        <v>510</v>
      </c>
      <c r="W1151" s="213">
        <v>1151</v>
      </c>
      <c r="X1151" s="214">
        <v>14</v>
      </c>
    </row>
    <row r="1152" spans="1:24" x14ac:dyDescent="0.25">
      <c r="A1152" s="97" t="s">
        <v>2240</v>
      </c>
      <c r="B1152" s="98" t="s">
        <v>5965</v>
      </c>
      <c r="C1152" s="97">
        <v>0</v>
      </c>
      <c r="D1152" s="99" t="s">
        <v>502</v>
      </c>
      <c r="E1152" s="99" t="s">
        <v>5966</v>
      </c>
      <c r="F1152" s="99">
        <v>4.8000000000000001E-2</v>
      </c>
      <c r="G1152" s="99" t="s">
        <v>5967</v>
      </c>
      <c r="H1152" s="99" t="s">
        <v>5968</v>
      </c>
      <c r="I1152" s="99" t="s">
        <v>5969</v>
      </c>
      <c r="J1152" s="99" t="s">
        <v>5970</v>
      </c>
      <c r="K1152" s="99" t="s">
        <v>510</v>
      </c>
      <c r="W1152" s="213">
        <v>1152</v>
      </c>
      <c r="X1152" s="214">
        <v>14</v>
      </c>
    </row>
    <row r="1153" spans="1:24" x14ac:dyDescent="0.25">
      <c r="A1153" s="94" t="s">
        <v>2240</v>
      </c>
      <c r="B1153" s="95" t="s">
        <v>5426</v>
      </c>
      <c r="C1153" s="94">
        <v>0</v>
      </c>
      <c r="D1153" s="96" t="s">
        <v>4258</v>
      </c>
      <c r="E1153" s="96" t="s">
        <v>5427</v>
      </c>
      <c r="F1153" s="96">
        <v>6.8000000000000005E-2</v>
      </c>
      <c r="G1153" s="96" t="s">
        <v>5428</v>
      </c>
      <c r="H1153" s="96" t="s">
        <v>5429</v>
      </c>
      <c r="I1153" s="96" t="s">
        <v>5430</v>
      </c>
      <c r="J1153" s="96" t="s">
        <v>5431</v>
      </c>
      <c r="K1153" s="96" t="s">
        <v>510</v>
      </c>
      <c r="W1153" s="213">
        <v>1153</v>
      </c>
      <c r="X1153" s="214">
        <v>14</v>
      </c>
    </row>
    <row r="1154" spans="1:24" ht="14.45" customHeight="1" x14ac:dyDescent="0.25">
      <c r="A1154" s="97" t="s">
        <v>2240</v>
      </c>
      <c r="B1154" s="129" t="s">
        <v>3405</v>
      </c>
      <c r="C1154" s="97">
        <v>1</v>
      </c>
      <c r="D1154" s="99" t="s">
        <v>3406</v>
      </c>
      <c r="E1154" s="99" t="s">
        <v>3407</v>
      </c>
      <c r="F1154" s="99">
        <v>0.06</v>
      </c>
      <c r="G1154" s="99" t="s">
        <v>3408</v>
      </c>
      <c r="H1154" s="99" t="s">
        <v>3409</v>
      </c>
      <c r="I1154" s="99" t="s">
        <v>3410</v>
      </c>
      <c r="J1154" s="99" t="s">
        <v>3411</v>
      </c>
      <c r="K1154" s="99" t="s">
        <v>9563</v>
      </c>
      <c r="W1154" s="213">
        <v>1154</v>
      </c>
      <c r="X1154" s="214">
        <v>14</v>
      </c>
    </row>
    <row r="1155" spans="1:24" ht="14.45" customHeight="1" x14ac:dyDescent="0.25">
      <c r="A1155" s="96" t="s">
        <v>0</v>
      </c>
      <c r="B1155" s="94" t="s">
        <v>32</v>
      </c>
      <c r="C1155" s="130" t="s">
        <v>3412</v>
      </c>
      <c r="D1155" s="96" t="s">
        <v>3161</v>
      </c>
      <c r="E1155" s="96" t="s">
        <v>3413</v>
      </c>
      <c r="F1155" s="96">
        <v>0.34499999999999997</v>
      </c>
      <c r="G1155" s="96" t="s">
        <v>510</v>
      </c>
      <c r="H1155" s="96"/>
      <c r="I1155" s="96"/>
      <c r="J1155" s="96"/>
      <c r="K1155" s="96" t="s">
        <v>510</v>
      </c>
      <c r="W1155" s="213">
        <v>1155</v>
      </c>
      <c r="X1155" s="214">
        <v>14</v>
      </c>
    </row>
    <row r="1156" spans="1:24" x14ac:dyDescent="0.25">
      <c r="A1156" s="97" t="s">
        <v>2240</v>
      </c>
      <c r="B1156" s="131" t="s">
        <v>8022</v>
      </c>
      <c r="C1156" s="97">
        <v>1</v>
      </c>
      <c r="D1156" s="99" t="s">
        <v>5039</v>
      </c>
      <c r="E1156" s="99" t="s">
        <v>6771</v>
      </c>
      <c r="F1156" s="99">
        <v>5.3999999999999999E-2</v>
      </c>
      <c r="G1156" s="99" t="s">
        <v>6772</v>
      </c>
      <c r="H1156" s="99" t="s">
        <v>6773</v>
      </c>
      <c r="I1156" s="99" t="s">
        <v>6774</v>
      </c>
      <c r="J1156" s="99" t="s">
        <v>6775</v>
      </c>
      <c r="K1156" s="99" t="s">
        <v>510</v>
      </c>
      <c r="W1156" s="213">
        <v>1156</v>
      </c>
      <c r="X1156" s="214">
        <v>14</v>
      </c>
    </row>
    <row r="1157" spans="1:24" ht="14.45" customHeight="1" x14ac:dyDescent="0.25">
      <c r="A1157" s="96" t="s">
        <v>0</v>
      </c>
      <c r="B1157" s="94" t="s">
        <v>32</v>
      </c>
      <c r="C1157" s="130" t="s">
        <v>6776</v>
      </c>
      <c r="D1157" s="96" t="s">
        <v>2026</v>
      </c>
      <c r="E1157" s="96" t="s">
        <v>6777</v>
      </c>
      <c r="F1157" s="96" t="s">
        <v>510</v>
      </c>
      <c r="G1157" s="96" t="s">
        <v>510</v>
      </c>
      <c r="H1157" s="96"/>
      <c r="I1157" s="96"/>
      <c r="J1157" s="96"/>
      <c r="K1157" s="96" t="s">
        <v>510</v>
      </c>
      <c r="W1157" s="213">
        <v>1157</v>
      </c>
      <c r="X1157" s="214">
        <v>14</v>
      </c>
    </row>
    <row r="1158" spans="1:24" x14ac:dyDescent="0.25">
      <c r="A1158" s="97" t="s">
        <v>2240</v>
      </c>
      <c r="B1158" s="98" t="s">
        <v>4808</v>
      </c>
      <c r="C1158" s="97">
        <v>0</v>
      </c>
      <c r="D1158" s="99" t="s">
        <v>2564</v>
      </c>
      <c r="E1158" s="99" t="s">
        <v>4809</v>
      </c>
      <c r="F1158" s="99">
        <v>0.11</v>
      </c>
      <c r="G1158" s="99" t="s">
        <v>4810</v>
      </c>
      <c r="H1158" s="99" t="s">
        <v>4811</v>
      </c>
      <c r="I1158" s="99" t="s">
        <v>4812</v>
      </c>
      <c r="J1158" s="99" t="s">
        <v>4813</v>
      </c>
      <c r="K1158" s="99" t="s">
        <v>510</v>
      </c>
      <c r="W1158" s="213">
        <v>1158</v>
      </c>
      <c r="X1158" s="214">
        <v>14</v>
      </c>
    </row>
    <row r="1159" spans="1:24" x14ac:dyDescent="0.25">
      <c r="A1159" s="94" t="s">
        <v>2240</v>
      </c>
      <c r="B1159" s="95" t="s">
        <v>5133</v>
      </c>
      <c r="C1159" s="94">
        <v>0</v>
      </c>
      <c r="D1159" s="96" t="s">
        <v>4860</v>
      </c>
      <c r="E1159" s="96" t="s">
        <v>5134</v>
      </c>
      <c r="F1159" s="96">
        <v>0.10299999999999999</v>
      </c>
      <c r="G1159" s="96" t="s">
        <v>3720</v>
      </c>
      <c r="H1159" s="96" t="s">
        <v>5135</v>
      </c>
      <c r="I1159" s="96" t="s">
        <v>5136</v>
      </c>
      <c r="J1159" s="96" t="s">
        <v>4255</v>
      </c>
      <c r="K1159" s="96" t="s">
        <v>510</v>
      </c>
      <c r="W1159" s="213">
        <v>1159</v>
      </c>
      <c r="X1159" s="214">
        <v>14</v>
      </c>
    </row>
    <row r="1160" spans="1:24" x14ac:dyDescent="0.25">
      <c r="A1160" s="97" t="s">
        <v>2240</v>
      </c>
      <c r="B1160" s="131" t="s">
        <v>7979</v>
      </c>
      <c r="C1160" s="97">
        <v>0</v>
      </c>
      <c r="D1160" s="99" t="s">
        <v>2480</v>
      </c>
      <c r="E1160" s="99" t="s">
        <v>2591</v>
      </c>
      <c r="F1160" s="99">
        <v>0.11</v>
      </c>
      <c r="G1160" s="99" t="s">
        <v>2592</v>
      </c>
      <c r="H1160" s="99" t="s">
        <v>2593</v>
      </c>
      <c r="I1160" s="99" t="s">
        <v>2594</v>
      </c>
      <c r="J1160" s="99" t="s">
        <v>2595</v>
      </c>
      <c r="K1160" s="99" t="s">
        <v>510</v>
      </c>
      <c r="W1160" s="213">
        <v>1160</v>
      </c>
      <c r="X1160" s="214">
        <v>14</v>
      </c>
    </row>
    <row r="1161" spans="1:24" x14ac:dyDescent="0.25">
      <c r="A1161" s="94" t="s">
        <v>2240</v>
      </c>
      <c r="B1161" s="95" t="s">
        <v>5002</v>
      </c>
      <c r="C1161" s="94">
        <v>0</v>
      </c>
      <c r="D1161" s="96" t="s">
        <v>4609</v>
      </c>
      <c r="E1161" s="96" t="s">
        <v>5003</v>
      </c>
      <c r="F1161" s="96">
        <v>0.17399999999999999</v>
      </c>
      <c r="G1161" s="96" t="s">
        <v>5004</v>
      </c>
      <c r="H1161" s="96" t="s">
        <v>5005</v>
      </c>
      <c r="I1161" s="96" t="s">
        <v>5006</v>
      </c>
      <c r="J1161" s="96" t="s">
        <v>5007</v>
      </c>
      <c r="K1161" s="96" t="s">
        <v>510</v>
      </c>
      <c r="W1161" s="213">
        <v>1161</v>
      </c>
      <c r="X1161" s="214">
        <v>14</v>
      </c>
    </row>
    <row r="1162" spans="1:24" ht="15" customHeight="1" x14ac:dyDescent="0.25">
      <c r="A1162" s="97" t="s">
        <v>2240</v>
      </c>
      <c r="B1162" s="98" t="s">
        <v>6934</v>
      </c>
      <c r="C1162" s="97">
        <v>0</v>
      </c>
      <c r="D1162" s="99" t="s">
        <v>1848</v>
      </c>
      <c r="E1162" s="99" t="s">
        <v>6935</v>
      </c>
      <c r="F1162" s="99">
        <v>8.4000000000000005E-2</v>
      </c>
      <c r="G1162" s="99" t="s">
        <v>6936</v>
      </c>
      <c r="H1162" s="99" t="s">
        <v>6937</v>
      </c>
      <c r="I1162" s="99" t="s">
        <v>6938</v>
      </c>
      <c r="J1162" s="99" t="s">
        <v>6939</v>
      </c>
      <c r="K1162" s="99" t="s">
        <v>510</v>
      </c>
      <c r="W1162" s="213">
        <v>1162</v>
      </c>
      <c r="X1162" s="214">
        <v>14</v>
      </c>
    </row>
    <row r="1163" spans="1:24" x14ac:dyDescent="0.25">
      <c r="A1163" s="94" t="s">
        <v>2240</v>
      </c>
      <c r="B1163" s="95" t="s">
        <v>6594</v>
      </c>
      <c r="C1163" s="94">
        <v>0</v>
      </c>
      <c r="D1163" s="96" t="s">
        <v>5197</v>
      </c>
      <c r="E1163" s="96" t="s">
        <v>6595</v>
      </c>
      <c r="F1163" s="96">
        <v>6.7000000000000004E-2</v>
      </c>
      <c r="G1163" s="96" t="s">
        <v>6596</v>
      </c>
      <c r="H1163" s="96" t="s">
        <v>6597</v>
      </c>
      <c r="I1163" s="96" t="s">
        <v>6598</v>
      </c>
      <c r="J1163" s="96" t="s">
        <v>6599</v>
      </c>
      <c r="K1163" s="96" t="s">
        <v>510</v>
      </c>
      <c r="W1163" s="213">
        <v>1163</v>
      </c>
      <c r="X1163" s="214">
        <v>14</v>
      </c>
    </row>
    <row r="1164" spans="1:24" x14ac:dyDescent="0.25">
      <c r="A1164" s="97" t="s">
        <v>2240</v>
      </c>
      <c r="B1164" s="98" t="s">
        <v>4126</v>
      </c>
      <c r="C1164" s="97">
        <v>0</v>
      </c>
      <c r="D1164" s="99" t="s">
        <v>482</v>
      </c>
      <c r="E1164" s="99" t="s">
        <v>4127</v>
      </c>
      <c r="F1164" s="99">
        <v>8.2000000000000003E-2</v>
      </c>
      <c r="G1164" s="99" t="s">
        <v>4128</v>
      </c>
      <c r="H1164" s="99" t="s">
        <v>4129</v>
      </c>
      <c r="I1164" s="99" t="s">
        <v>4130</v>
      </c>
      <c r="J1164" s="99" t="s">
        <v>4131</v>
      </c>
      <c r="K1164" s="99" t="s">
        <v>510</v>
      </c>
      <c r="W1164" s="213">
        <v>1164</v>
      </c>
      <c r="X1164" s="214">
        <v>14</v>
      </c>
    </row>
    <row r="1165" spans="1:24" ht="14.45" customHeight="1" x14ac:dyDescent="0.25">
      <c r="A1165" s="94" t="s">
        <v>2240</v>
      </c>
      <c r="B1165" s="96" t="s">
        <v>7495</v>
      </c>
      <c r="C1165" s="94">
        <v>0</v>
      </c>
      <c r="D1165" s="96" t="s">
        <v>172</v>
      </c>
      <c r="E1165" s="96" t="s">
        <v>7496</v>
      </c>
      <c r="F1165" s="96">
        <v>6.7000000000000004E-2</v>
      </c>
      <c r="G1165" s="96" t="s">
        <v>7497</v>
      </c>
      <c r="H1165" s="96" t="s">
        <v>7498</v>
      </c>
      <c r="I1165" s="96" t="s">
        <v>7499</v>
      </c>
      <c r="J1165" s="96" t="s">
        <v>7500</v>
      </c>
      <c r="K1165" s="96" t="s">
        <v>510</v>
      </c>
      <c r="W1165" s="213">
        <v>1165</v>
      </c>
      <c r="X1165" s="214">
        <v>14</v>
      </c>
    </row>
    <row r="1166" spans="1:24" x14ac:dyDescent="0.25">
      <c r="A1166" s="97" t="s">
        <v>2240</v>
      </c>
      <c r="B1166" s="98" t="s">
        <v>5464</v>
      </c>
      <c r="C1166" s="97">
        <v>0</v>
      </c>
      <c r="D1166" s="99" t="s">
        <v>339</v>
      </c>
      <c r="E1166" s="99" t="s">
        <v>5465</v>
      </c>
      <c r="F1166" s="99">
        <v>9.0999999999999998E-2</v>
      </c>
      <c r="G1166" s="99" t="s">
        <v>5466</v>
      </c>
      <c r="H1166" s="99" t="s">
        <v>5467</v>
      </c>
      <c r="I1166" s="99" t="s">
        <v>5468</v>
      </c>
      <c r="J1166" s="99" t="s">
        <v>5469</v>
      </c>
      <c r="K1166" s="99" t="s">
        <v>510</v>
      </c>
      <c r="W1166" s="213">
        <v>1166</v>
      </c>
      <c r="X1166" s="214">
        <v>14</v>
      </c>
    </row>
    <row r="1167" spans="1:24" x14ac:dyDescent="0.25">
      <c r="A1167" s="94" t="s">
        <v>2240</v>
      </c>
      <c r="B1167" s="95" t="s">
        <v>5725</v>
      </c>
      <c r="C1167" s="94">
        <v>0</v>
      </c>
      <c r="D1167" s="96" t="s">
        <v>3403</v>
      </c>
      <c r="E1167" s="96" t="s">
        <v>5726</v>
      </c>
      <c r="F1167" s="96">
        <v>9.7000000000000003E-2</v>
      </c>
      <c r="G1167" s="96" t="s">
        <v>5727</v>
      </c>
      <c r="H1167" s="96" t="s">
        <v>2047</v>
      </c>
      <c r="I1167" s="96" t="s">
        <v>5728</v>
      </c>
      <c r="J1167" s="96" t="s">
        <v>4845</v>
      </c>
      <c r="K1167" s="96" t="s">
        <v>510</v>
      </c>
      <c r="W1167" s="213">
        <v>1167</v>
      </c>
      <c r="X1167" s="214">
        <v>14</v>
      </c>
    </row>
    <row r="1168" spans="1:24" x14ac:dyDescent="0.25">
      <c r="A1168" s="97" t="s">
        <v>2240</v>
      </c>
      <c r="B1168" s="98" t="s">
        <v>7319</v>
      </c>
      <c r="C1168" s="97">
        <v>0</v>
      </c>
      <c r="D1168" s="99" t="s">
        <v>3161</v>
      </c>
      <c r="E1168" s="99" t="s">
        <v>7320</v>
      </c>
      <c r="F1168" s="99">
        <v>0.14399999999999999</v>
      </c>
      <c r="G1168" s="99" t="s">
        <v>7321</v>
      </c>
      <c r="H1168" s="99" t="s">
        <v>7322</v>
      </c>
      <c r="I1168" s="99" t="s">
        <v>7323</v>
      </c>
      <c r="J1168" s="99" t="s">
        <v>4202</v>
      </c>
      <c r="K1168" s="99" t="s">
        <v>510</v>
      </c>
      <c r="W1168" s="213">
        <v>1168</v>
      </c>
      <c r="X1168" s="214">
        <v>14</v>
      </c>
    </row>
    <row r="1169" spans="1:24" x14ac:dyDescent="0.25">
      <c r="A1169" s="94" t="s">
        <v>2240</v>
      </c>
      <c r="B1169" s="95" t="s">
        <v>5089</v>
      </c>
      <c r="C1169" s="94">
        <v>0</v>
      </c>
      <c r="D1169" s="96" t="s">
        <v>4572</v>
      </c>
      <c r="E1169" s="96" t="s">
        <v>5090</v>
      </c>
      <c r="F1169" s="96">
        <v>0.13800000000000001</v>
      </c>
      <c r="G1169" s="96" t="s">
        <v>5091</v>
      </c>
      <c r="H1169" s="96" t="s">
        <v>5092</v>
      </c>
      <c r="I1169" s="96" t="s">
        <v>5093</v>
      </c>
      <c r="J1169" s="96" t="s">
        <v>4577</v>
      </c>
      <c r="K1169" s="96" t="s">
        <v>510</v>
      </c>
      <c r="W1169" s="213">
        <v>1169</v>
      </c>
      <c r="X1169" s="214">
        <v>14</v>
      </c>
    </row>
    <row r="1170" spans="1:24" ht="15" customHeight="1" x14ac:dyDescent="0.25">
      <c r="A1170" s="97" t="s">
        <v>2240</v>
      </c>
      <c r="B1170" s="98" t="s">
        <v>4257</v>
      </c>
      <c r="C1170" s="97">
        <v>0</v>
      </c>
      <c r="D1170" s="99" t="s">
        <v>4258</v>
      </c>
      <c r="E1170" s="99" t="s">
        <v>4259</v>
      </c>
      <c r="F1170" s="99">
        <v>0.13500000000000001</v>
      </c>
      <c r="G1170" s="99" t="s">
        <v>4260</v>
      </c>
      <c r="H1170" s="99" t="s">
        <v>4261</v>
      </c>
      <c r="I1170" s="99" t="s">
        <v>4262</v>
      </c>
      <c r="J1170" s="99" t="s">
        <v>4263</v>
      </c>
      <c r="K1170" s="99" t="s">
        <v>510</v>
      </c>
      <c r="W1170" s="213">
        <v>1170</v>
      </c>
      <c r="X1170" s="214">
        <v>14</v>
      </c>
    </row>
    <row r="1171" spans="1:24" ht="14.45" customHeight="1" x14ac:dyDescent="0.25">
      <c r="A1171" s="94" t="s">
        <v>2240</v>
      </c>
      <c r="B1171" s="128" t="s">
        <v>2596</v>
      </c>
      <c r="C1171" s="94">
        <v>0</v>
      </c>
      <c r="D1171" s="96" t="s">
        <v>1840</v>
      </c>
      <c r="E1171" s="96" t="s">
        <v>2597</v>
      </c>
      <c r="F1171" s="96">
        <v>4.2000000000000003E-2</v>
      </c>
      <c r="G1171" s="96" t="s">
        <v>2598</v>
      </c>
      <c r="H1171" s="96" t="s">
        <v>2599</v>
      </c>
      <c r="I1171" s="96" t="s">
        <v>2600</v>
      </c>
      <c r="J1171" s="96" t="s">
        <v>2601</v>
      </c>
      <c r="K1171" s="96" t="s">
        <v>9564</v>
      </c>
      <c r="W1171" s="213">
        <v>1171</v>
      </c>
      <c r="X1171" s="214">
        <v>14</v>
      </c>
    </row>
    <row r="1172" spans="1:24" x14ac:dyDescent="0.25">
      <c r="A1172" s="97" t="s">
        <v>2240</v>
      </c>
      <c r="B1172" s="98" t="s">
        <v>6420</v>
      </c>
      <c r="C1172" s="97">
        <v>0</v>
      </c>
      <c r="D1172" s="99" t="s">
        <v>5924</v>
      </c>
      <c r="E1172" s="99" t="s">
        <v>6418</v>
      </c>
      <c r="F1172" s="99">
        <v>0.14000000000000001</v>
      </c>
      <c r="G1172" s="99" t="s">
        <v>6419</v>
      </c>
      <c r="H1172" s="99" t="s">
        <v>6421</v>
      </c>
      <c r="I1172" s="99" t="s">
        <v>6422</v>
      </c>
      <c r="J1172" s="99" t="s">
        <v>6423</v>
      </c>
      <c r="K1172" s="99" t="s">
        <v>510</v>
      </c>
      <c r="W1172" s="213">
        <v>1172</v>
      </c>
      <c r="X1172" s="214">
        <v>14</v>
      </c>
    </row>
    <row r="1173" spans="1:24" x14ac:dyDescent="0.25">
      <c r="A1173" s="94" t="s">
        <v>2240</v>
      </c>
      <c r="B1173" s="95" t="s">
        <v>6617</v>
      </c>
      <c r="C1173" s="94">
        <v>0</v>
      </c>
      <c r="D1173" s="96" t="s">
        <v>4657</v>
      </c>
      <c r="E1173" s="96" t="s">
        <v>6618</v>
      </c>
      <c r="F1173" s="96">
        <v>0.06</v>
      </c>
      <c r="G1173" s="96" t="s">
        <v>6619</v>
      </c>
      <c r="H1173" s="96" t="s">
        <v>6620</v>
      </c>
      <c r="I1173" s="96" t="s">
        <v>6621</v>
      </c>
      <c r="J1173" s="96" t="s">
        <v>6622</v>
      </c>
      <c r="K1173" s="96" t="s">
        <v>510</v>
      </c>
      <c r="W1173" s="213">
        <v>1173</v>
      </c>
      <c r="X1173" s="214">
        <v>14</v>
      </c>
    </row>
    <row r="1174" spans="1:24" x14ac:dyDescent="0.25">
      <c r="A1174" s="97" t="s">
        <v>2240</v>
      </c>
      <c r="B1174" s="98" t="s">
        <v>6611</v>
      </c>
      <c r="C1174" s="97">
        <v>0</v>
      </c>
      <c r="D1174" s="99" t="s">
        <v>3161</v>
      </c>
      <c r="E1174" s="99" t="s">
        <v>6612</v>
      </c>
      <c r="F1174" s="99">
        <v>4.2000000000000003E-2</v>
      </c>
      <c r="G1174" s="99" t="s">
        <v>6613</v>
      </c>
      <c r="H1174" s="99" t="s">
        <v>6614</v>
      </c>
      <c r="I1174" s="99" t="s">
        <v>6615</v>
      </c>
      <c r="J1174" s="99" t="s">
        <v>6616</v>
      </c>
      <c r="K1174" s="99" t="s">
        <v>510</v>
      </c>
      <c r="W1174" s="213">
        <v>1174</v>
      </c>
      <c r="X1174" s="214">
        <v>14</v>
      </c>
    </row>
    <row r="1175" spans="1:24" x14ac:dyDescent="0.25">
      <c r="A1175" s="94" t="s">
        <v>2240</v>
      </c>
      <c r="B1175" s="95" t="s">
        <v>4669</v>
      </c>
      <c r="C1175" s="94">
        <v>0</v>
      </c>
      <c r="D1175" s="96" t="s">
        <v>2786</v>
      </c>
      <c r="E1175" s="96" t="s">
        <v>4670</v>
      </c>
      <c r="F1175" s="96">
        <v>8.7999999999999995E-2</v>
      </c>
      <c r="G1175" s="96" t="s">
        <v>4671</v>
      </c>
      <c r="H1175" s="96" t="s">
        <v>4672</v>
      </c>
      <c r="I1175" s="96" t="s">
        <v>4673</v>
      </c>
      <c r="J1175" s="96" t="s">
        <v>4674</v>
      </c>
      <c r="K1175" s="96" t="s">
        <v>510</v>
      </c>
      <c r="W1175" s="213">
        <v>1175</v>
      </c>
      <c r="X1175" s="214">
        <v>14</v>
      </c>
    </row>
    <row r="1176" spans="1:24" x14ac:dyDescent="0.25">
      <c r="A1176" s="97" t="s">
        <v>2240</v>
      </c>
      <c r="B1176" s="131" t="s">
        <v>7925</v>
      </c>
      <c r="C1176" s="97">
        <v>0</v>
      </c>
      <c r="D1176" s="99" t="s">
        <v>7912</v>
      </c>
      <c r="E1176" s="99" t="s">
        <v>2602</v>
      </c>
      <c r="F1176" s="99">
        <v>8.6999999999999994E-2</v>
      </c>
      <c r="G1176" s="99" t="s">
        <v>2603</v>
      </c>
      <c r="H1176" s="99" t="s">
        <v>2604</v>
      </c>
      <c r="I1176" s="99" t="s">
        <v>2605</v>
      </c>
      <c r="J1176" s="99" t="s">
        <v>2606</v>
      </c>
      <c r="K1176" s="99" t="s">
        <v>510</v>
      </c>
      <c r="W1176" s="213">
        <v>1176</v>
      </c>
      <c r="X1176" s="214">
        <v>14</v>
      </c>
    </row>
    <row r="1177" spans="1:24" x14ac:dyDescent="0.25">
      <c r="A1177" s="94" t="s">
        <v>2240</v>
      </c>
      <c r="B1177" s="95" t="s">
        <v>7391</v>
      </c>
      <c r="C1177" s="94">
        <v>0</v>
      </c>
      <c r="D1177" s="96" t="s">
        <v>1016</v>
      </c>
      <c r="E1177" s="96" t="s">
        <v>7392</v>
      </c>
      <c r="F1177" s="96">
        <v>0.15</v>
      </c>
      <c r="G1177" s="96" t="s">
        <v>7393</v>
      </c>
      <c r="H1177" s="96" t="s">
        <v>7394</v>
      </c>
      <c r="I1177" s="96" t="s">
        <v>7395</v>
      </c>
      <c r="J1177" s="96" t="s">
        <v>7396</v>
      </c>
      <c r="K1177" s="96" t="s">
        <v>510</v>
      </c>
      <c r="W1177" s="213">
        <v>1177</v>
      </c>
      <c r="X1177" s="214">
        <v>14</v>
      </c>
    </row>
    <row r="1178" spans="1:24" x14ac:dyDescent="0.25">
      <c r="A1178" s="97" t="s">
        <v>2240</v>
      </c>
      <c r="B1178" s="98" t="s">
        <v>5154</v>
      </c>
      <c r="C1178" s="97">
        <v>0</v>
      </c>
      <c r="D1178" s="99" t="s">
        <v>4711</v>
      </c>
      <c r="E1178" s="99" t="s">
        <v>5155</v>
      </c>
      <c r="F1178" s="99">
        <v>0.128</v>
      </c>
      <c r="G1178" s="99" t="s">
        <v>5156</v>
      </c>
      <c r="H1178" s="99" t="s">
        <v>5157</v>
      </c>
      <c r="I1178" s="99" t="s">
        <v>5158</v>
      </c>
      <c r="J1178" s="99" t="s">
        <v>5159</v>
      </c>
      <c r="K1178" s="99" t="s">
        <v>510</v>
      </c>
      <c r="W1178" s="213">
        <v>1178</v>
      </c>
      <c r="X1178" s="214">
        <v>14</v>
      </c>
    </row>
    <row r="1179" spans="1:24" x14ac:dyDescent="0.25">
      <c r="A1179" s="94" t="s">
        <v>2240</v>
      </c>
      <c r="B1179" s="95" t="s">
        <v>6605</v>
      </c>
      <c r="C1179" s="94">
        <v>0</v>
      </c>
      <c r="D1179" s="96" t="s">
        <v>3161</v>
      </c>
      <c r="E1179" s="96" t="s">
        <v>6606</v>
      </c>
      <c r="F1179" s="96">
        <v>1.2E-2</v>
      </c>
      <c r="G1179" s="96" t="s">
        <v>6607</v>
      </c>
      <c r="H1179" s="96" t="s">
        <v>6608</v>
      </c>
      <c r="I1179" s="96" t="s">
        <v>6609</v>
      </c>
      <c r="J1179" s="96" t="s">
        <v>6610</v>
      </c>
      <c r="K1179" s="96" t="s">
        <v>510</v>
      </c>
      <c r="W1179" s="213">
        <v>1179</v>
      </c>
      <c r="X1179" s="214">
        <v>14</v>
      </c>
    </row>
    <row r="1180" spans="1:24" ht="15" customHeight="1" x14ac:dyDescent="0.25">
      <c r="A1180" s="97" t="s">
        <v>2240</v>
      </c>
      <c r="B1180" s="98" t="s">
        <v>4398</v>
      </c>
      <c r="C1180" s="97">
        <v>0</v>
      </c>
      <c r="D1180" s="99" t="s">
        <v>2448</v>
      </c>
      <c r="E1180" s="99" t="s">
        <v>4399</v>
      </c>
      <c r="F1180" s="99">
        <v>0.24099999999999999</v>
      </c>
      <c r="G1180" s="99" t="s">
        <v>4400</v>
      </c>
      <c r="H1180" s="99" t="s">
        <v>4401</v>
      </c>
      <c r="I1180" s="99" t="s">
        <v>4402</v>
      </c>
      <c r="J1180" s="99" t="s">
        <v>4403</v>
      </c>
      <c r="K1180" s="99" t="s">
        <v>510</v>
      </c>
      <c r="W1180" s="213">
        <v>1180</v>
      </c>
      <c r="X1180" s="214">
        <v>14</v>
      </c>
    </row>
    <row r="1181" spans="1:24" x14ac:dyDescent="0.25">
      <c r="A1181" s="94" t="s">
        <v>2240</v>
      </c>
      <c r="B1181" s="95" t="s">
        <v>7099</v>
      </c>
      <c r="C1181" s="94">
        <v>0</v>
      </c>
      <c r="D1181" s="96" t="s">
        <v>450</v>
      </c>
      <c r="E1181" s="96" t="s">
        <v>7100</v>
      </c>
      <c r="F1181" s="96">
        <v>9.5000000000000001E-2</v>
      </c>
      <c r="G1181" s="96" t="s">
        <v>7101</v>
      </c>
      <c r="H1181" s="96" t="s">
        <v>7102</v>
      </c>
      <c r="I1181" s="96" t="s">
        <v>7103</v>
      </c>
      <c r="J1181" s="96" t="s">
        <v>7104</v>
      </c>
      <c r="K1181" s="96" t="s">
        <v>510</v>
      </c>
      <c r="W1181" s="213">
        <v>1181</v>
      </c>
      <c r="X1181" s="214">
        <v>14</v>
      </c>
    </row>
    <row r="1182" spans="1:24" x14ac:dyDescent="0.25">
      <c r="A1182" s="97" t="s">
        <v>2240</v>
      </c>
      <c r="B1182" s="98" t="s">
        <v>7284</v>
      </c>
      <c r="C1182" s="97">
        <v>0</v>
      </c>
      <c r="D1182" s="99" t="s">
        <v>1799</v>
      </c>
      <c r="E1182" s="99" t="s">
        <v>7285</v>
      </c>
      <c r="F1182" s="99">
        <v>0.106</v>
      </c>
      <c r="G1182" s="99" t="s">
        <v>7286</v>
      </c>
      <c r="H1182" s="99" t="s">
        <v>7287</v>
      </c>
      <c r="I1182" s="99" t="s">
        <v>7288</v>
      </c>
      <c r="J1182" s="99" t="s">
        <v>7289</v>
      </c>
      <c r="K1182" s="99" t="s">
        <v>510</v>
      </c>
      <c r="W1182" s="213">
        <v>1182</v>
      </c>
      <c r="X1182" s="214">
        <v>14</v>
      </c>
    </row>
    <row r="1183" spans="1:24" x14ac:dyDescent="0.25">
      <c r="A1183" s="94" t="s">
        <v>2240</v>
      </c>
      <c r="B1183" s="130" t="s">
        <v>8021</v>
      </c>
      <c r="C1183" s="94">
        <v>1</v>
      </c>
      <c r="D1183" s="96" t="s">
        <v>1974</v>
      </c>
      <c r="E1183" s="96" t="s">
        <v>7092</v>
      </c>
      <c r="F1183" s="96">
        <v>6.6000000000000003E-2</v>
      </c>
      <c r="G1183" s="96" t="s">
        <v>7093</v>
      </c>
      <c r="H1183" s="96" t="s">
        <v>7094</v>
      </c>
      <c r="I1183" s="96" t="s">
        <v>7095</v>
      </c>
      <c r="J1183" s="96" t="s">
        <v>7096</v>
      </c>
      <c r="K1183" s="96" t="s">
        <v>510</v>
      </c>
      <c r="W1183" s="213">
        <v>1183</v>
      </c>
      <c r="X1183" s="214">
        <v>14</v>
      </c>
    </row>
    <row r="1184" spans="1:24" ht="14.45" customHeight="1" x14ac:dyDescent="0.25">
      <c r="A1184" s="99" t="s">
        <v>0</v>
      </c>
      <c r="B1184" s="97" t="s">
        <v>32</v>
      </c>
      <c r="C1184" s="131" t="s">
        <v>7097</v>
      </c>
      <c r="D1184" s="99" t="s">
        <v>659</v>
      </c>
      <c r="E1184" s="99" t="s">
        <v>7098</v>
      </c>
      <c r="F1184" s="99" t="s">
        <v>510</v>
      </c>
      <c r="G1184" s="99" t="s">
        <v>510</v>
      </c>
      <c r="H1184" s="99"/>
      <c r="I1184" s="99"/>
      <c r="J1184" s="99"/>
      <c r="K1184" s="99" t="s">
        <v>510</v>
      </c>
      <c r="W1184" s="213">
        <v>1184</v>
      </c>
      <c r="X1184" s="214">
        <v>14</v>
      </c>
    </row>
    <row r="1185" spans="1:24" x14ac:dyDescent="0.25">
      <c r="A1185" s="94" t="s">
        <v>2240</v>
      </c>
      <c r="B1185" s="95" t="s">
        <v>5948</v>
      </c>
      <c r="C1185" s="94">
        <v>0</v>
      </c>
      <c r="D1185" s="96" t="s">
        <v>3406</v>
      </c>
      <c r="E1185" s="96" t="s">
        <v>5949</v>
      </c>
      <c r="F1185" s="96">
        <v>0.109</v>
      </c>
      <c r="G1185" s="96" t="s">
        <v>5950</v>
      </c>
      <c r="H1185" s="96" t="s">
        <v>5951</v>
      </c>
      <c r="I1185" s="96" t="s">
        <v>5473</v>
      </c>
      <c r="J1185" s="96" t="s">
        <v>5952</v>
      </c>
      <c r="K1185" s="96" t="s">
        <v>510</v>
      </c>
      <c r="W1185" s="213">
        <v>1185</v>
      </c>
      <c r="X1185" s="214">
        <v>14</v>
      </c>
    </row>
    <row r="1186" spans="1:24" x14ac:dyDescent="0.25">
      <c r="A1186" s="97" t="s">
        <v>2240</v>
      </c>
      <c r="B1186" s="98" t="s">
        <v>7279</v>
      </c>
      <c r="C1186" s="97">
        <v>0</v>
      </c>
      <c r="D1186" s="99" t="s">
        <v>659</v>
      </c>
      <c r="E1186" s="99" t="s">
        <v>7280</v>
      </c>
      <c r="F1186" s="99">
        <v>3.3000000000000002E-2</v>
      </c>
      <c r="G1186" s="99" t="s">
        <v>784</v>
      </c>
      <c r="H1186" s="99" t="s">
        <v>7281</v>
      </c>
      <c r="I1186" s="99" t="s">
        <v>7282</v>
      </c>
      <c r="J1186" s="99" t="s">
        <v>7283</v>
      </c>
      <c r="K1186" s="99" t="s">
        <v>510</v>
      </c>
      <c r="W1186" s="213">
        <v>1186</v>
      </c>
      <c r="X1186" s="214">
        <v>14</v>
      </c>
    </row>
    <row r="1187" spans="1:24" x14ac:dyDescent="0.25">
      <c r="A1187" s="71" t="s">
        <v>1966</v>
      </c>
      <c r="B1187" s="73" t="s">
        <v>3979</v>
      </c>
      <c r="C1187" s="71">
        <v>0</v>
      </c>
      <c r="D1187" s="72" t="s">
        <v>1375</v>
      </c>
      <c r="E1187" s="72" t="s">
        <v>3980</v>
      </c>
      <c r="F1187" s="72">
        <v>0.373</v>
      </c>
      <c r="G1187" s="72" t="s">
        <v>3981</v>
      </c>
      <c r="H1187" s="72" t="s">
        <v>3982</v>
      </c>
      <c r="I1187" s="72" t="s">
        <v>3983</v>
      </c>
      <c r="J1187" s="72" t="s">
        <v>3984</v>
      </c>
      <c r="K1187" s="72" t="s">
        <v>510</v>
      </c>
      <c r="W1187" s="213">
        <v>1187</v>
      </c>
      <c r="X1187" s="214">
        <v>10</v>
      </c>
    </row>
    <row r="1188" spans="1:24" ht="14.45" customHeight="1" x14ac:dyDescent="0.25">
      <c r="A1188" s="97" t="s">
        <v>2240</v>
      </c>
      <c r="B1188" s="99" t="s">
        <v>6048</v>
      </c>
      <c r="C1188" s="97">
        <v>0</v>
      </c>
      <c r="D1188" s="99" t="s">
        <v>5409</v>
      </c>
      <c r="E1188" s="99" t="s">
        <v>6049</v>
      </c>
      <c r="F1188" s="99">
        <v>0.14000000000000001</v>
      </c>
      <c r="G1188" s="99" t="s">
        <v>6050</v>
      </c>
      <c r="H1188" s="99" t="s">
        <v>6051</v>
      </c>
      <c r="I1188" s="99" t="s">
        <v>6052</v>
      </c>
      <c r="J1188" s="99" t="s">
        <v>6053</v>
      </c>
      <c r="K1188" s="99" t="s">
        <v>510</v>
      </c>
      <c r="W1188" s="213">
        <v>1188</v>
      </c>
      <c r="X1188" s="214">
        <v>14</v>
      </c>
    </row>
    <row r="1189" spans="1:24" x14ac:dyDescent="0.25">
      <c r="A1189" s="94" t="s">
        <v>2240</v>
      </c>
      <c r="B1189" s="95" t="s">
        <v>5432</v>
      </c>
      <c r="C1189" s="94">
        <v>0</v>
      </c>
      <c r="D1189" s="96" t="s">
        <v>1258</v>
      </c>
      <c r="E1189" s="96" t="s">
        <v>5433</v>
      </c>
      <c r="F1189" s="96">
        <v>0.09</v>
      </c>
      <c r="G1189" s="96" t="s">
        <v>5434</v>
      </c>
      <c r="H1189" s="96" t="s">
        <v>5435</v>
      </c>
      <c r="I1189" s="96" t="s">
        <v>5436</v>
      </c>
      <c r="J1189" s="96" t="s">
        <v>5437</v>
      </c>
      <c r="K1189" s="96" t="s">
        <v>510</v>
      </c>
      <c r="W1189" s="213">
        <v>1189</v>
      </c>
      <c r="X1189" s="214">
        <v>14</v>
      </c>
    </row>
    <row r="1190" spans="1:24" x14ac:dyDescent="0.25">
      <c r="A1190" s="97" t="s">
        <v>2240</v>
      </c>
      <c r="B1190" s="98" t="s">
        <v>4662</v>
      </c>
      <c r="C1190" s="97">
        <v>0</v>
      </c>
      <c r="D1190" s="99" t="s">
        <v>4663</v>
      </c>
      <c r="E1190" s="99" t="s">
        <v>4664</v>
      </c>
      <c r="F1190" s="99">
        <v>0.14000000000000001</v>
      </c>
      <c r="G1190" s="99" t="s">
        <v>4665</v>
      </c>
      <c r="H1190" s="99" t="s">
        <v>4666</v>
      </c>
      <c r="I1190" s="99" t="s">
        <v>4667</v>
      </c>
      <c r="J1190" s="99" t="s">
        <v>4668</v>
      </c>
      <c r="K1190" s="99" t="s">
        <v>510</v>
      </c>
      <c r="W1190" s="213">
        <v>1190</v>
      </c>
      <c r="X1190" s="214">
        <v>14</v>
      </c>
    </row>
    <row r="1191" spans="1:24" x14ac:dyDescent="0.25">
      <c r="A1191" s="94" t="s">
        <v>2240</v>
      </c>
      <c r="B1191" s="95" t="s">
        <v>4814</v>
      </c>
      <c r="C1191" s="94">
        <v>0</v>
      </c>
      <c r="D1191" s="96" t="s">
        <v>4469</v>
      </c>
      <c r="E1191" s="96" t="s">
        <v>4815</v>
      </c>
      <c r="F1191" s="96">
        <v>8.5000000000000006E-2</v>
      </c>
      <c r="G1191" s="96" t="s">
        <v>4816</v>
      </c>
      <c r="H1191" s="96" t="s">
        <v>4817</v>
      </c>
      <c r="I1191" s="96" t="s">
        <v>4818</v>
      </c>
      <c r="J1191" s="96" t="s">
        <v>4563</v>
      </c>
      <c r="K1191" s="96" t="s">
        <v>510</v>
      </c>
      <c r="W1191" s="213">
        <v>1191</v>
      </c>
      <c r="X1191" s="214">
        <v>14</v>
      </c>
    </row>
    <row r="1192" spans="1:24" x14ac:dyDescent="0.25">
      <c r="A1192" s="97" t="s">
        <v>2240</v>
      </c>
      <c r="B1192" s="98" t="s">
        <v>5112</v>
      </c>
      <c r="C1192" s="97">
        <v>0</v>
      </c>
      <c r="D1192" s="99" t="s">
        <v>4711</v>
      </c>
      <c r="E1192" s="99" t="s">
        <v>4815</v>
      </c>
      <c r="F1192" s="99">
        <v>0.216</v>
      </c>
      <c r="G1192" s="99" t="s">
        <v>5113</v>
      </c>
      <c r="H1192" s="99" t="s">
        <v>5114</v>
      </c>
      <c r="I1192" s="99" t="s">
        <v>3215</v>
      </c>
      <c r="J1192" s="99" t="s">
        <v>5115</v>
      </c>
      <c r="K1192" s="99" t="s">
        <v>510</v>
      </c>
      <c r="W1192" s="213">
        <v>1192</v>
      </c>
      <c r="X1192" s="214">
        <v>14</v>
      </c>
    </row>
    <row r="1193" spans="1:24" ht="15" customHeight="1" x14ac:dyDescent="0.25">
      <c r="A1193" s="94" t="s">
        <v>2240</v>
      </c>
      <c r="B1193" s="95" t="s">
        <v>6988</v>
      </c>
      <c r="C1193" s="94">
        <v>0</v>
      </c>
      <c r="D1193" s="96" t="s">
        <v>652</v>
      </c>
      <c r="E1193" s="96" t="s">
        <v>4815</v>
      </c>
      <c r="F1193" s="96">
        <v>0.18</v>
      </c>
      <c r="G1193" s="96" t="s">
        <v>5719</v>
      </c>
      <c r="H1193" s="96" t="s">
        <v>6989</v>
      </c>
      <c r="I1193" s="96" t="s">
        <v>6990</v>
      </c>
      <c r="J1193" s="96" t="s">
        <v>6991</v>
      </c>
      <c r="K1193" s="96" t="s">
        <v>510</v>
      </c>
      <c r="W1193" s="213">
        <v>1193</v>
      </c>
      <c r="X1193" s="214">
        <v>14</v>
      </c>
    </row>
    <row r="1194" spans="1:24" x14ac:dyDescent="0.25">
      <c r="A1194" s="97" t="s">
        <v>2240</v>
      </c>
      <c r="B1194" s="98" t="s">
        <v>6076</v>
      </c>
      <c r="C1194" s="97">
        <v>0</v>
      </c>
      <c r="D1194" s="99" t="s">
        <v>3250</v>
      </c>
      <c r="E1194" s="99" t="s">
        <v>6077</v>
      </c>
      <c r="F1194" s="99">
        <v>0.19700000000000001</v>
      </c>
      <c r="G1194" s="99" t="s">
        <v>6078</v>
      </c>
      <c r="H1194" s="99" t="s">
        <v>6079</v>
      </c>
      <c r="I1194" s="99" t="s">
        <v>6080</v>
      </c>
      <c r="J1194" s="99" t="s">
        <v>6081</v>
      </c>
      <c r="K1194" s="99" t="s">
        <v>510</v>
      </c>
      <c r="W1194" s="213">
        <v>1194</v>
      </c>
      <c r="X1194" s="214">
        <v>14</v>
      </c>
    </row>
    <row r="1195" spans="1:24" x14ac:dyDescent="0.25">
      <c r="A1195" s="94" t="s">
        <v>2240</v>
      </c>
      <c r="B1195" s="95" t="s">
        <v>6858</v>
      </c>
      <c r="C1195" s="94">
        <v>0</v>
      </c>
      <c r="D1195" s="96" t="s">
        <v>219</v>
      </c>
      <c r="E1195" s="96" t="s">
        <v>6859</v>
      </c>
      <c r="F1195" s="96">
        <v>0.16600000000000001</v>
      </c>
      <c r="G1195" s="96" t="s">
        <v>6860</v>
      </c>
      <c r="H1195" s="96" t="s">
        <v>6861</v>
      </c>
      <c r="I1195" s="96" t="s">
        <v>6862</v>
      </c>
      <c r="J1195" s="96" t="s">
        <v>6863</v>
      </c>
      <c r="K1195" s="96" t="s">
        <v>510</v>
      </c>
      <c r="W1195" s="213">
        <v>1195</v>
      </c>
      <c r="X1195" s="214">
        <v>14</v>
      </c>
    </row>
    <row r="1196" spans="1:24" x14ac:dyDescent="0.25">
      <c r="A1196" s="97" t="s">
        <v>2240</v>
      </c>
      <c r="B1196" s="98" t="s">
        <v>5702</v>
      </c>
      <c r="C1196" s="97">
        <v>0</v>
      </c>
      <c r="D1196" s="99" t="s">
        <v>4252</v>
      </c>
      <c r="E1196" s="99" t="s">
        <v>5703</v>
      </c>
      <c r="F1196" s="99">
        <v>8.8999999999999996E-2</v>
      </c>
      <c r="G1196" s="99" t="s">
        <v>5704</v>
      </c>
      <c r="H1196" s="99" t="s">
        <v>5705</v>
      </c>
      <c r="I1196" s="99" t="s">
        <v>5706</v>
      </c>
      <c r="J1196" s="99" t="s">
        <v>5707</v>
      </c>
      <c r="K1196" s="99" t="s">
        <v>510</v>
      </c>
      <c r="W1196" s="213">
        <v>1196</v>
      </c>
      <c r="X1196" s="214">
        <v>14</v>
      </c>
    </row>
    <row r="1197" spans="1:24" x14ac:dyDescent="0.25">
      <c r="A1197" s="94" t="s">
        <v>2240</v>
      </c>
      <c r="B1197" s="95" t="s">
        <v>6588</v>
      </c>
      <c r="C1197" s="94">
        <v>0</v>
      </c>
      <c r="D1197" s="96" t="s">
        <v>165</v>
      </c>
      <c r="E1197" s="96" t="s">
        <v>6589</v>
      </c>
      <c r="F1197" s="96">
        <v>0.13500000000000001</v>
      </c>
      <c r="G1197" s="96" t="s">
        <v>6590</v>
      </c>
      <c r="H1197" s="96" t="s">
        <v>6591</v>
      </c>
      <c r="I1197" s="96" t="s">
        <v>6592</v>
      </c>
      <c r="J1197" s="96" t="s">
        <v>6593</v>
      </c>
      <c r="K1197" s="96" t="s">
        <v>510</v>
      </c>
      <c r="W1197" s="213">
        <v>1197</v>
      </c>
      <c r="X1197" s="214">
        <v>14</v>
      </c>
    </row>
    <row r="1198" spans="1:24" x14ac:dyDescent="0.25">
      <c r="A1198" s="97" t="s">
        <v>2240</v>
      </c>
      <c r="B1198" s="98" t="s">
        <v>4097</v>
      </c>
      <c r="C1198" s="97">
        <v>0</v>
      </c>
      <c r="D1198" s="99" t="s">
        <v>3250</v>
      </c>
      <c r="E1198" s="99" t="s">
        <v>4098</v>
      </c>
      <c r="F1198" s="99">
        <v>0.107</v>
      </c>
      <c r="G1198" s="99" t="s">
        <v>4099</v>
      </c>
      <c r="H1198" s="99" t="s">
        <v>4100</v>
      </c>
      <c r="I1198" s="99" t="s">
        <v>4101</v>
      </c>
      <c r="J1198" s="99" t="s">
        <v>4102</v>
      </c>
      <c r="K1198" s="99" t="s">
        <v>510</v>
      </c>
      <c r="W1198" s="213">
        <v>1198</v>
      </c>
      <c r="X1198" s="214">
        <v>14</v>
      </c>
    </row>
    <row r="1199" spans="1:24" ht="15" customHeight="1" x14ac:dyDescent="0.25">
      <c r="A1199" s="94" t="s">
        <v>2240</v>
      </c>
      <c r="B1199" s="95" t="s">
        <v>6910</v>
      </c>
      <c r="C1199" s="94">
        <v>0</v>
      </c>
      <c r="D1199" s="96" t="s">
        <v>5797</v>
      </c>
      <c r="E1199" s="96" t="s">
        <v>6911</v>
      </c>
      <c r="F1199" s="96">
        <v>5.5E-2</v>
      </c>
      <c r="G1199" s="96" t="s">
        <v>6912</v>
      </c>
      <c r="H1199" s="96" t="s">
        <v>6913</v>
      </c>
      <c r="I1199" s="96" t="s">
        <v>6914</v>
      </c>
      <c r="J1199" s="96" t="s">
        <v>6915</v>
      </c>
      <c r="K1199" s="96" t="s">
        <v>510</v>
      </c>
      <c r="W1199" s="213">
        <v>1199</v>
      </c>
      <c r="X1199" s="214">
        <v>14</v>
      </c>
    </row>
    <row r="1200" spans="1:24" x14ac:dyDescent="0.25">
      <c r="A1200" s="97" t="s">
        <v>2240</v>
      </c>
      <c r="B1200" s="98" t="s">
        <v>7296</v>
      </c>
      <c r="C1200" s="97">
        <v>0</v>
      </c>
      <c r="D1200" s="99" t="s">
        <v>165</v>
      </c>
      <c r="E1200" s="99" t="s">
        <v>7297</v>
      </c>
      <c r="F1200" s="99">
        <v>0.16200000000000001</v>
      </c>
      <c r="G1200" s="99" t="s">
        <v>7298</v>
      </c>
      <c r="H1200" s="99" t="s">
        <v>7299</v>
      </c>
      <c r="I1200" s="99" t="s">
        <v>7300</v>
      </c>
      <c r="J1200" s="99" t="s">
        <v>7301</v>
      </c>
      <c r="K1200" s="99" t="s">
        <v>510</v>
      </c>
      <c r="W1200" s="213">
        <v>1200</v>
      </c>
      <c r="X1200" s="214">
        <v>14</v>
      </c>
    </row>
    <row r="1201" spans="1:24" x14ac:dyDescent="0.25">
      <c r="A1201" s="94" t="s">
        <v>2240</v>
      </c>
      <c r="B1201" s="95" t="s">
        <v>5094</v>
      </c>
      <c r="C1201" s="94">
        <v>0</v>
      </c>
      <c r="D1201" s="96" t="s">
        <v>4258</v>
      </c>
      <c r="E1201" s="96" t="s">
        <v>5095</v>
      </c>
      <c r="F1201" s="96">
        <v>0.122</v>
      </c>
      <c r="G1201" s="96" t="s">
        <v>5096</v>
      </c>
      <c r="H1201" s="96" t="s">
        <v>5097</v>
      </c>
      <c r="I1201" s="96" t="s">
        <v>5098</v>
      </c>
      <c r="J1201" s="96" t="s">
        <v>5099</v>
      </c>
      <c r="K1201" s="96" t="s">
        <v>510</v>
      </c>
      <c r="W1201" s="213">
        <v>1201</v>
      </c>
      <c r="X1201" s="214">
        <v>14</v>
      </c>
    </row>
    <row r="1202" spans="1:24" x14ac:dyDescent="0.25">
      <c r="A1202" s="97" t="s">
        <v>2240</v>
      </c>
      <c r="B1202" s="98" t="s">
        <v>5889</v>
      </c>
      <c r="C1202" s="97">
        <v>0</v>
      </c>
      <c r="D1202" s="99" t="s">
        <v>3250</v>
      </c>
      <c r="E1202" s="99" t="s">
        <v>5890</v>
      </c>
      <c r="F1202" s="99">
        <v>0.16400000000000001</v>
      </c>
      <c r="G1202" s="99" t="s">
        <v>5891</v>
      </c>
      <c r="H1202" s="99" t="s">
        <v>5892</v>
      </c>
      <c r="I1202" s="99" t="s">
        <v>5893</v>
      </c>
      <c r="J1202" s="99" t="s">
        <v>4932</v>
      </c>
      <c r="K1202" s="99" t="s">
        <v>510</v>
      </c>
      <c r="W1202" s="213">
        <v>1202</v>
      </c>
      <c r="X1202" s="214">
        <v>14</v>
      </c>
    </row>
    <row r="1203" spans="1:24" x14ac:dyDescent="0.25">
      <c r="A1203" s="94" t="s">
        <v>2240</v>
      </c>
      <c r="B1203" s="95" t="s">
        <v>4298</v>
      </c>
      <c r="C1203" s="94">
        <v>0</v>
      </c>
      <c r="D1203" s="96" t="s">
        <v>4276</v>
      </c>
      <c r="E1203" s="96" t="s">
        <v>4300</v>
      </c>
      <c r="F1203" s="96">
        <v>7.5999999999999998E-2</v>
      </c>
      <c r="G1203" s="96" t="s">
        <v>4301</v>
      </c>
      <c r="H1203" s="96" t="s">
        <v>4302</v>
      </c>
      <c r="I1203" s="96" t="s">
        <v>4303</v>
      </c>
      <c r="J1203" s="96" t="s">
        <v>4304</v>
      </c>
      <c r="K1203" s="96" t="s">
        <v>510</v>
      </c>
      <c r="W1203" s="213">
        <v>1203</v>
      </c>
      <c r="X1203" s="214">
        <v>14</v>
      </c>
    </row>
    <row r="1204" spans="1:24" x14ac:dyDescent="0.25">
      <c r="A1204" s="97" t="s">
        <v>2240</v>
      </c>
      <c r="B1204" s="131" t="s">
        <v>7903</v>
      </c>
      <c r="C1204" s="97">
        <v>0</v>
      </c>
      <c r="D1204" s="99" t="s">
        <v>2607</v>
      </c>
      <c r="E1204" s="99" t="s">
        <v>2608</v>
      </c>
      <c r="F1204" s="99">
        <v>5.3999999999999999E-2</v>
      </c>
      <c r="G1204" s="99" t="s">
        <v>2609</v>
      </c>
      <c r="H1204" s="99" t="s">
        <v>2610</v>
      </c>
      <c r="I1204" s="99" t="s">
        <v>2611</v>
      </c>
      <c r="J1204" s="99" t="s">
        <v>2612</v>
      </c>
      <c r="K1204" s="99" t="s">
        <v>510</v>
      </c>
      <c r="W1204" s="213">
        <v>1204</v>
      </c>
      <c r="X1204" s="214">
        <v>14</v>
      </c>
    </row>
    <row r="1205" spans="1:24" ht="14.45" customHeight="1" x14ac:dyDescent="0.25">
      <c r="A1205" s="112" t="s">
        <v>2613</v>
      </c>
      <c r="B1205" s="107" t="s">
        <v>2614</v>
      </c>
      <c r="C1205" s="106">
        <v>1</v>
      </c>
      <c r="D1205" s="105" t="s">
        <v>2615</v>
      </c>
      <c r="E1205" s="105" t="s">
        <v>2616</v>
      </c>
      <c r="F1205" s="105">
        <v>0.161</v>
      </c>
      <c r="G1205" s="105" t="s">
        <v>2617</v>
      </c>
      <c r="H1205" s="105" t="s">
        <v>2618</v>
      </c>
      <c r="I1205" s="105" t="s">
        <v>2619</v>
      </c>
      <c r="J1205" s="105" t="s">
        <v>2620</v>
      </c>
      <c r="K1205" s="105" t="s">
        <v>9565</v>
      </c>
      <c r="W1205" s="213">
        <v>1205</v>
      </c>
      <c r="X1205" s="214">
        <v>13</v>
      </c>
    </row>
    <row r="1206" spans="1:24" ht="14.45" customHeight="1" x14ac:dyDescent="0.25">
      <c r="A1206" s="104" t="s">
        <v>0</v>
      </c>
      <c r="B1206" s="103" t="s">
        <v>32</v>
      </c>
      <c r="C1206" s="147" t="s">
        <v>2621</v>
      </c>
      <c r="D1206" s="104" t="s">
        <v>966</v>
      </c>
      <c r="E1206" s="104" t="s">
        <v>2622</v>
      </c>
      <c r="F1206" s="104" t="s">
        <v>510</v>
      </c>
      <c r="G1206" s="104" t="s">
        <v>510</v>
      </c>
      <c r="H1206" s="111"/>
      <c r="I1206" s="111"/>
      <c r="J1206" s="111"/>
      <c r="K1206" s="104" t="s">
        <v>510</v>
      </c>
      <c r="W1206" s="213">
        <v>1206</v>
      </c>
      <c r="X1206" s="214">
        <v>13</v>
      </c>
    </row>
    <row r="1207" spans="1:24" x14ac:dyDescent="0.25">
      <c r="A1207" s="94" t="s">
        <v>2240</v>
      </c>
      <c r="B1207" s="95" t="s">
        <v>5860</v>
      </c>
      <c r="C1207" s="94">
        <v>0</v>
      </c>
      <c r="D1207" s="96" t="s">
        <v>431</v>
      </c>
      <c r="E1207" s="96" t="s">
        <v>5861</v>
      </c>
      <c r="F1207" s="96">
        <v>0.13300000000000001</v>
      </c>
      <c r="G1207" s="96" t="s">
        <v>5862</v>
      </c>
      <c r="H1207" s="96" t="s">
        <v>5863</v>
      </c>
      <c r="I1207" s="96" t="s">
        <v>5864</v>
      </c>
      <c r="J1207" s="96" t="s">
        <v>5865</v>
      </c>
      <c r="K1207" s="96" t="s">
        <v>510</v>
      </c>
      <c r="W1207" s="213">
        <v>1207</v>
      </c>
      <c r="X1207" s="214">
        <v>14</v>
      </c>
    </row>
    <row r="1208" spans="1:24" ht="15" customHeight="1" x14ac:dyDescent="0.25">
      <c r="A1208" s="97" t="s">
        <v>2240</v>
      </c>
      <c r="B1208" s="98" t="s">
        <v>6361</v>
      </c>
      <c r="C1208" s="97">
        <v>0</v>
      </c>
      <c r="D1208" s="99" t="s">
        <v>2094</v>
      </c>
      <c r="E1208" s="99" t="s">
        <v>6362</v>
      </c>
      <c r="F1208" s="99">
        <v>0.17399999999999999</v>
      </c>
      <c r="G1208" s="99" t="s">
        <v>6363</v>
      </c>
      <c r="H1208" s="99" t="s">
        <v>6364</v>
      </c>
      <c r="I1208" s="99" t="s">
        <v>6365</v>
      </c>
      <c r="J1208" s="99" t="s">
        <v>6366</v>
      </c>
      <c r="K1208" s="99" t="s">
        <v>510</v>
      </c>
      <c r="W1208" s="213">
        <v>1208</v>
      </c>
      <c r="X1208" s="214">
        <v>14</v>
      </c>
    </row>
    <row r="1209" spans="1:24" x14ac:dyDescent="0.25">
      <c r="A1209" s="94" t="s">
        <v>2240</v>
      </c>
      <c r="B1209" s="95" t="s">
        <v>7455</v>
      </c>
      <c r="C1209" s="94">
        <v>1</v>
      </c>
      <c r="D1209" s="96" t="s">
        <v>853</v>
      </c>
      <c r="E1209" s="96" t="s">
        <v>7456</v>
      </c>
      <c r="F1209" s="96">
        <v>0.185</v>
      </c>
      <c r="G1209" s="96" t="s">
        <v>7457</v>
      </c>
      <c r="H1209" s="96" t="s">
        <v>7458</v>
      </c>
      <c r="I1209" s="96" t="s">
        <v>7459</v>
      </c>
      <c r="J1209" s="96" t="s">
        <v>7460</v>
      </c>
      <c r="K1209" s="96" t="s">
        <v>510</v>
      </c>
      <c r="W1209" s="213">
        <v>1209</v>
      </c>
      <c r="X1209" s="214">
        <v>14</v>
      </c>
    </row>
    <row r="1210" spans="1:24" x14ac:dyDescent="0.25">
      <c r="A1210" s="97" t="s">
        <v>2240</v>
      </c>
      <c r="B1210" s="98" t="s">
        <v>6884</v>
      </c>
      <c r="C1210" s="97">
        <v>0</v>
      </c>
      <c r="D1210" s="99" t="s">
        <v>1848</v>
      </c>
      <c r="E1210" s="99" t="s">
        <v>6885</v>
      </c>
      <c r="F1210" s="99">
        <v>9.0999999999999998E-2</v>
      </c>
      <c r="G1210" s="99" t="s">
        <v>6886</v>
      </c>
      <c r="H1210" s="99" t="s">
        <v>6887</v>
      </c>
      <c r="I1210" s="99" t="s">
        <v>6888</v>
      </c>
      <c r="J1210" s="99" t="s">
        <v>6713</v>
      </c>
      <c r="K1210" s="99" t="s">
        <v>510</v>
      </c>
      <c r="W1210" s="213">
        <v>1210</v>
      </c>
      <c r="X1210" s="214">
        <v>14</v>
      </c>
    </row>
    <row r="1211" spans="1:24" ht="14.45" customHeight="1" x14ac:dyDescent="0.25">
      <c r="A1211" s="94" t="s">
        <v>2240</v>
      </c>
      <c r="B1211" s="96" t="s">
        <v>7501</v>
      </c>
      <c r="C1211" s="94">
        <v>1</v>
      </c>
      <c r="D1211" s="96" t="s">
        <v>1987</v>
      </c>
      <c r="E1211" s="96" t="s">
        <v>7502</v>
      </c>
      <c r="F1211" s="96">
        <v>0.123</v>
      </c>
      <c r="G1211" s="96" t="s">
        <v>832</v>
      </c>
      <c r="H1211" s="96" t="s">
        <v>7503</v>
      </c>
      <c r="I1211" s="96" t="s">
        <v>7504</v>
      </c>
      <c r="J1211" s="96" t="s">
        <v>7505</v>
      </c>
      <c r="K1211" s="96" t="s">
        <v>9555</v>
      </c>
      <c r="W1211" s="213">
        <v>1211</v>
      </c>
      <c r="X1211" s="214">
        <v>14</v>
      </c>
    </row>
    <row r="1212" spans="1:24" ht="14.45" customHeight="1" x14ac:dyDescent="0.25">
      <c r="A1212" s="99" t="s">
        <v>0</v>
      </c>
      <c r="B1212" s="97" t="s">
        <v>32</v>
      </c>
      <c r="C1212" s="99" t="s">
        <v>7506</v>
      </c>
      <c r="D1212" s="99" t="s">
        <v>7507</v>
      </c>
      <c r="E1212" s="99" t="s">
        <v>7508</v>
      </c>
      <c r="F1212" s="99">
        <v>0.54600000000000004</v>
      </c>
      <c r="G1212" s="99" t="s">
        <v>510</v>
      </c>
      <c r="H1212" s="99"/>
      <c r="I1212" s="99"/>
      <c r="J1212" s="99"/>
      <c r="K1212" s="99" t="s">
        <v>510</v>
      </c>
      <c r="W1212" s="213">
        <v>1212</v>
      </c>
      <c r="X1212" s="214">
        <v>14</v>
      </c>
    </row>
    <row r="1213" spans="1:24" x14ac:dyDescent="0.25">
      <c r="A1213" s="94" t="s">
        <v>2240</v>
      </c>
      <c r="B1213" s="95" t="s">
        <v>6430</v>
      </c>
      <c r="C1213" s="94">
        <v>0</v>
      </c>
      <c r="D1213" s="96" t="s">
        <v>3406</v>
      </c>
      <c r="E1213" s="96" t="s">
        <v>6431</v>
      </c>
      <c r="F1213" s="96">
        <v>0.24199999999999999</v>
      </c>
      <c r="G1213" s="96" t="s">
        <v>6432</v>
      </c>
      <c r="H1213" s="96" t="s">
        <v>4621</v>
      </c>
      <c r="I1213" s="96" t="s">
        <v>6433</v>
      </c>
      <c r="J1213" s="96" t="s">
        <v>6434</v>
      </c>
      <c r="K1213" s="96" t="s">
        <v>510</v>
      </c>
      <c r="W1213" s="213">
        <v>1213</v>
      </c>
      <c r="X1213" s="214">
        <v>14</v>
      </c>
    </row>
    <row r="1214" spans="1:24" ht="15" customHeight="1" x14ac:dyDescent="0.25">
      <c r="A1214" s="97" t="s">
        <v>2240</v>
      </c>
      <c r="B1214" s="98" t="s">
        <v>4802</v>
      </c>
      <c r="C1214" s="97">
        <v>0</v>
      </c>
      <c r="D1214" s="99" t="s">
        <v>2635</v>
      </c>
      <c r="E1214" s="99" t="s">
        <v>4803</v>
      </c>
      <c r="F1214" s="99">
        <v>0.33</v>
      </c>
      <c r="G1214" s="99" t="s">
        <v>4804</v>
      </c>
      <c r="H1214" s="99" t="s">
        <v>4805</v>
      </c>
      <c r="I1214" s="99" t="s">
        <v>4806</v>
      </c>
      <c r="J1214" s="99" t="s">
        <v>4807</v>
      </c>
      <c r="K1214" s="99" t="s">
        <v>510</v>
      </c>
      <c r="W1214" s="213">
        <v>1214</v>
      </c>
      <c r="X1214" s="214">
        <v>14</v>
      </c>
    </row>
    <row r="1215" spans="1:24" x14ac:dyDescent="0.25">
      <c r="A1215" s="94" t="s">
        <v>2240</v>
      </c>
      <c r="B1215" s="95" t="s">
        <v>3985</v>
      </c>
      <c r="C1215" s="94">
        <v>0</v>
      </c>
      <c r="D1215" s="96" t="s">
        <v>3161</v>
      </c>
      <c r="E1215" s="96" t="s">
        <v>3986</v>
      </c>
      <c r="F1215" s="96">
        <v>0.34</v>
      </c>
      <c r="G1215" s="96" t="s">
        <v>3987</v>
      </c>
      <c r="H1215" s="96" t="s">
        <v>3988</v>
      </c>
      <c r="I1215" s="96" t="s">
        <v>3989</v>
      </c>
      <c r="J1215" s="96" t="s">
        <v>3990</v>
      </c>
      <c r="K1215" s="96" t="s">
        <v>510</v>
      </c>
      <c r="W1215" s="213">
        <v>1215</v>
      </c>
      <c r="X1215" s="214">
        <v>14</v>
      </c>
    </row>
    <row r="1216" spans="1:24" x14ac:dyDescent="0.25">
      <c r="A1216" s="97" t="s">
        <v>2240</v>
      </c>
      <c r="B1216" s="98" t="s">
        <v>6183</v>
      </c>
      <c r="C1216" s="97">
        <v>0</v>
      </c>
      <c r="D1216" s="99" t="s">
        <v>5409</v>
      </c>
      <c r="E1216" s="99" t="s">
        <v>6184</v>
      </c>
      <c r="F1216" s="99">
        <v>8.6999999999999994E-2</v>
      </c>
      <c r="G1216" s="99" t="s">
        <v>6185</v>
      </c>
      <c r="H1216" s="99" t="s">
        <v>6186</v>
      </c>
      <c r="I1216" s="99" t="s">
        <v>6187</v>
      </c>
      <c r="J1216" s="99" t="s">
        <v>6188</v>
      </c>
      <c r="K1216" s="99" t="s">
        <v>510</v>
      </c>
      <c r="W1216" s="213">
        <v>1216</v>
      </c>
      <c r="X1216" s="214">
        <v>14</v>
      </c>
    </row>
    <row r="1217" spans="1:24" x14ac:dyDescent="0.25">
      <c r="A1217" s="94" t="s">
        <v>2240</v>
      </c>
      <c r="B1217" s="95" t="s">
        <v>5615</v>
      </c>
      <c r="C1217" s="94">
        <v>0</v>
      </c>
      <c r="D1217" s="96" t="s">
        <v>4252</v>
      </c>
      <c r="E1217" s="96" t="s">
        <v>5616</v>
      </c>
      <c r="F1217" s="96">
        <v>7.1999999999999995E-2</v>
      </c>
      <c r="G1217" s="96" t="s">
        <v>5617</v>
      </c>
      <c r="H1217" s="96" t="s">
        <v>5618</v>
      </c>
      <c r="I1217" s="96" t="s">
        <v>5619</v>
      </c>
      <c r="J1217" s="96" t="s">
        <v>5620</v>
      </c>
      <c r="K1217" s="96" t="s">
        <v>510</v>
      </c>
      <c r="W1217" s="213">
        <v>1217</v>
      </c>
      <c r="X1217" s="214">
        <v>14</v>
      </c>
    </row>
    <row r="1218" spans="1:24" x14ac:dyDescent="0.25">
      <c r="A1218" s="97" t="s">
        <v>2240</v>
      </c>
      <c r="B1218" s="131" t="s">
        <v>7926</v>
      </c>
      <c r="C1218" s="97">
        <v>0</v>
      </c>
      <c r="D1218" s="99" t="s">
        <v>7911</v>
      </c>
      <c r="E1218" s="99" t="s">
        <v>2623</v>
      </c>
      <c r="F1218" s="99">
        <v>6.5000000000000002E-2</v>
      </c>
      <c r="G1218" s="99" t="s">
        <v>2624</v>
      </c>
      <c r="H1218" s="99" t="s">
        <v>2625</v>
      </c>
      <c r="I1218" s="99" t="s">
        <v>2626</v>
      </c>
      <c r="J1218" s="99" t="s">
        <v>2627</v>
      </c>
      <c r="K1218" s="99" t="s">
        <v>510</v>
      </c>
      <c r="W1218" s="213">
        <v>1218</v>
      </c>
      <c r="X1218" s="214">
        <v>14</v>
      </c>
    </row>
    <row r="1219" spans="1:24" x14ac:dyDescent="0.25">
      <c r="A1219" s="94" t="s">
        <v>2240</v>
      </c>
      <c r="B1219" s="95" t="s">
        <v>6582</v>
      </c>
      <c r="C1219" s="94">
        <v>0</v>
      </c>
      <c r="D1219" s="96" t="s">
        <v>3161</v>
      </c>
      <c r="E1219" s="96" t="s">
        <v>6583</v>
      </c>
      <c r="F1219" s="96">
        <v>0.183</v>
      </c>
      <c r="G1219" s="96" t="s">
        <v>6584</v>
      </c>
      <c r="H1219" s="96" t="s">
        <v>6585</v>
      </c>
      <c r="I1219" s="96" t="s">
        <v>6586</v>
      </c>
      <c r="J1219" s="96" t="s">
        <v>6587</v>
      </c>
      <c r="K1219" s="96" t="s">
        <v>510</v>
      </c>
      <c r="W1219" s="213">
        <v>1219</v>
      </c>
      <c r="X1219" s="214">
        <v>14</v>
      </c>
    </row>
    <row r="1220" spans="1:24" x14ac:dyDescent="0.25">
      <c r="A1220" s="97" t="s">
        <v>2240</v>
      </c>
      <c r="B1220" s="131" t="s">
        <v>7980</v>
      </c>
      <c r="C1220" s="97">
        <v>0</v>
      </c>
      <c r="D1220" s="99" t="s">
        <v>2297</v>
      </c>
      <c r="E1220" s="99" t="s">
        <v>2642</v>
      </c>
      <c r="F1220" s="99">
        <v>0.14399999999999999</v>
      </c>
      <c r="G1220" s="99" t="s">
        <v>2643</v>
      </c>
      <c r="H1220" s="99" t="s">
        <v>2644</v>
      </c>
      <c r="I1220" s="99" t="s">
        <v>2645</v>
      </c>
      <c r="J1220" s="99" t="s">
        <v>2646</v>
      </c>
      <c r="K1220" s="99" t="s">
        <v>510</v>
      </c>
      <c r="W1220" s="213">
        <v>1220</v>
      </c>
      <c r="X1220" s="214">
        <v>14</v>
      </c>
    </row>
    <row r="1221" spans="1:24" x14ac:dyDescent="0.25">
      <c r="A1221" s="94" t="s">
        <v>2240</v>
      </c>
      <c r="B1221" s="95" t="s">
        <v>5196</v>
      </c>
      <c r="C1221" s="94">
        <v>0</v>
      </c>
      <c r="D1221" s="96" t="s">
        <v>5197</v>
      </c>
      <c r="E1221" s="96" t="s">
        <v>5198</v>
      </c>
      <c r="F1221" s="96">
        <v>0.08</v>
      </c>
      <c r="G1221" s="96" t="s">
        <v>5199</v>
      </c>
      <c r="H1221" s="96" t="s">
        <v>5200</v>
      </c>
      <c r="I1221" s="96" t="s">
        <v>5201</v>
      </c>
      <c r="J1221" s="96" t="s">
        <v>5202</v>
      </c>
      <c r="K1221" s="96" t="s">
        <v>510</v>
      </c>
      <c r="W1221" s="213">
        <v>1221</v>
      </c>
      <c r="X1221" s="214">
        <v>14</v>
      </c>
    </row>
    <row r="1222" spans="1:24" ht="14.45" customHeight="1" x14ac:dyDescent="0.25">
      <c r="A1222" s="97" t="s">
        <v>2240</v>
      </c>
      <c r="B1222" s="129" t="s">
        <v>2628</v>
      </c>
      <c r="C1222" s="97">
        <v>0</v>
      </c>
      <c r="D1222" s="99" t="s">
        <v>2629</v>
      </c>
      <c r="E1222" s="99" t="s">
        <v>2630</v>
      </c>
      <c r="F1222" s="99">
        <v>0.106</v>
      </c>
      <c r="G1222" s="99" t="s">
        <v>2631</v>
      </c>
      <c r="H1222" s="99" t="s">
        <v>2632</v>
      </c>
      <c r="I1222" s="99" t="s">
        <v>2633</v>
      </c>
      <c r="J1222" s="99" t="s">
        <v>2634</v>
      </c>
      <c r="K1222" s="99" t="s">
        <v>510</v>
      </c>
      <c r="W1222" s="213">
        <v>1222</v>
      </c>
      <c r="X1222" s="214">
        <v>14</v>
      </c>
    </row>
    <row r="1223" spans="1:24" x14ac:dyDescent="0.25">
      <c r="A1223" s="94" t="s">
        <v>2240</v>
      </c>
      <c r="B1223" s="95" t="s">
        <v>6071</v>
      </c>
      <c r="C1223" s="94">
        <v>0</v>
      </c>
      <c r="D1223" s="96" t="s">
        <v>2351</v>
      </c>
      <c r="E1223" s="96" t="s">
        <v>6072</v>
      </c>
      <c r="F1223" s="96">
        <v>0.14299999999999999</v>
      </c>
      <c r="G1223" s="96" t="s">
        <v>4294</v>
      </c>
      <c r="H1223" s="96" t="s">
        <v>6073</v>
      </c>
      <c r="I1223" s="96" t="s">
        <v>6074</v>
      </c>
      <c r="J1223" s="96" t="s">
        <v>6075</v>
      </c>
      <c r="K1223" s="96" t="s">
        <v>510</v>
      </c>
      <c r="W1223" s="213">
        <v>1223</v>
      </c>
      <c r="X1223" s="214">
        <v>14</v>
      </c>
    </row>
    <row r="1224" spans="1:24" x14ac:dyDescent="0.25">
      <c r="A1224" s="97" t="s">
        <v>2240</v>
      </c>
      <c r="B1224" s="98" t="s">
        <v>5209</v>
      </c>
      <c r="C1224" s="97">
        <v>0</v>
      </c>
      <c r="D1224" s="99" t="s">
        <v>4711</v>
      </c>
      <c r="E1224" s="99" t="s">
        <v>5210</v>
      </c>
      <c r="F1224" s="99">
        <v>0.129</v>
      </c>
      <c r="G1224" s="99" t="s">
        <v>5211</v>
      </c>
      <c r="H1224" s="99" t="s">
        <v>5212</v>
      </c>
      <c r="I1224" s="99" t="s">
        <v>5213</v>
      </c>
      <c r="J1224" s="99" t="s">
        <v>5214</v>
      </c>
      <c r="K1224" s="99" t="s">
        <v>510</v>
      </c>
      <c r="W1224" s="213">
        <v>1224</v>
      </c>
      <c r="X1224" s="214">
        <v>14</v>
      </c>
    </row>
    <row r="1225" spans="1:24" x14ac:dyDescent="0.25">
      <c r="A1225" s="94" t="s">
        <v>2240</v>
      </c>
      <c r="B1225" s="95" t="s">
        <v>5397</v>
      </c>
      <c r="C1225" s="94">
        <v>0</v>
      </c>
      <c r="D1225" s="96" t="s">
        <v>3331</v>
      </c>
      <c r="E1225" s="96" t="s">
        <v>5398</v>
      </c>
      <c r="F1225" s="96">
        <v>6.3E-2</v>
      </c>
      <c r="G1225" s="96" t="s">
        <v>5399</v>
      </c>
      <c r="H1225" s="96" t="s">
        <v>5400</v>
      </c>
      <c r="I1225" s="96" t="s">
        <v>5401</v>
      </c>
      <c r="J1225" s="96" t="s">
        <v>5402</v>
      </c>
      <c r="K1225" s="96" t="s">
        <v>510</v>
      </c>
      <c r="W1225" s="213">
        <v>1225</v>
      </c>
      <c r="X1225" s="214">
        <v>14</v>
      </c>
    </row>
    <row r="1226" spans="1:24" x14ac:dyDescent="0.25">
      <c r="A1226" s="97" t="s">
        <v>2240</v>
      </c>
      <c r="B1226" s="98" t="s">
        <v>6983</v>
      </c>
      <c r="C1226" s="97">
        <v>0</v>
      </c>
      <c r="D1226" s="99" t="s">
        <v>219</v>
      </c>
      <c r="E1226" s="99" t="s">
        <v>6984</v>
      </c>
      <c r="F1226" s="99">
        <v>0.16900000000000001</v>
      </c>
      <c r="G1226" s="99" t="s">
        <v>6985</v>
      </c>
      <c r="H1226" s="99" t="s">
        <v>6986</v>
      </c>
      <c r="I1226" s="99" t="s">
        <v>6987</v>
      </c>
      <c r="J1226" s="99" t="s">
        <v>5374</v>
      </c>
      <c r="K1226" s="99" t="s">
        <v>510</v>
      </c>
      <c r="W1226" s="213">
        <v>1226</v>
      </c>
      <c r="X1226" s="214">
        <v>14</v>
      </c>
    </row>
    <row r="1227" spans="1:24" x14ac:dyDescent="0.25">
      <c r="A1227" s="94" t="s">
        <v>2240</v>
      </c>
      <c r="B1227" s="95" t="s">
        <v>6916</v>
      </c>
      <c r="C1227" s="94">
        <v>0</v>
      </c>
      <c r="D1227" s="96" t="s">
        <v>1848</v>
      </c>
      <c r="E1227" s="96" t="s">
        <v>6917</v>
      </c>
      <c r="F1227" s="96">
        <v>0.11</v>
      </c>
      <c r="G1227" s="96" t="s">
        <v>6918</v>
      </c>
      <c r="H1227" s="96" t="s">
        <v>6919</v>
      </c>
      <c r="I1227" s="96" t="s">
        <v>6920</v>
      </c>
      <c r="J1227" s="96" t="s">
        <v>6921</v>
      </c>
      <c r="K1227" s="96" t="s">
        <v>510</v>
      </c>
      <c r="W1227" s="213">
        <v>1227</v>
      </c>
      <c r="X1227" s="214">
        <v>14</v>
      </c>
    </row>
    <row r="1228" spans="1:24" x14ac:dyDescent="0.25">
      <c r="A1228" s="97" t="s">
        <v>2240</v>
      </c>
      <c r="B1228" s="98" t="s">
        <v>8424</v>
      </c>
      <c r="C1228" s="97">
        <v>0</v>
      </c>
      <c r="D1228" s="99" t="s">
        <v>2635</v>
      </c>
      <c r="E1228" s="99" t="s">
        <v>2636</v>
      </c>
      <c r="F1228" s="99">
        <v>8.2000000000000003E-2</v>
      </c>
      <c r="G1228" s="99" t="s">
        <v>2637</v>
      </c>
      <c r="H1228" s="99" t="s">
        <v>2638</v>
      </c>
      <c r="I1228" s="99" t="s">
        <v>2639</v>
      </c>
      <c r="J1228" s="99" t="s">
        <v>2640</v>
      </c>
      <c r="K1228" s="99" t="s">
        <v>510</v>
      </c>
      <c r="W1228" s="213">
        <v>1228</v>
      </c>
      <c r="X1228" s="214">
        <v>14</v>
      </c>
    </row>
    <row r="1229" spans="1:24" ht="15" customHeight="1" x14ac:dyDescent="0.25">
      <c r="A1229" s="94" t="s">
        <v>2240</v>
      </c>
      <c r="B1229" s="95" t="s">
        <v>6691</v>
      </c>
      <c r="C1229" s="94">
        <v>0</v>
      </c>
      <c r="D1229" s="96" t="s">
        <v>822</v>
      </c>
      <c r="E1229" s="96" t="s">
        <v>6692</v>
      </c>
      <c r="F1229" s="96">
        <v>0.185</v>
      </c>
      <c r="G1229" s="96" t="s">
        <v>6693</v>
      </c>
      <c r="H1229" s="96" t="s">
        <v>6694</v>
      </c>
      <c r="I1229" s="96" t="s">
        <v>6695</v>
      </c>
      <c r="J1229" s="96" t="s">
        <v>6696</v>
      </c>
      <c r="K1229" s="96" t="s">
        <v>510</v>
      </c>
      <c r="W1229" s="213">
        <v>1229</v>
      </c>
      <c r="X1229" s="214">
        <v>14</v>
      </c>
    </row>
    <row r="1230" spans="1:24" x14ac:dyDescent="0.25">
      <c r="A1230" s="97" t="s">
        <v>2240</v>
      </c>
      <c r="B1230" s="98" t="s">
        <v>5363</v>
      </c>
      <c r="C1230" s="97">
        <v>0</v>
      </c>
      <c r="D1230" s="99" t="s">
        <v>2351</v>
      </c>
      <c r="E1230" s="99" t="s">
        <v>5364</v>
      </c>
      <c r="F1230" s="99">
        <v>0.122</v>
      </c>
      <c r="G1230" s="99" t="s">
        <v>5365</v>
      </c>
      <c r="H1230" s="99" t="s">
        <v>5366</v>
      </c>
      <c r="I1230" s="99" t="s">
        <v>5367</v>
      </c>
      <c r="J1230" s="99" t="s">
        <v>5368</v>
      </c>
      <c r="K1230" s="99" t="s">
        <v>510</v>
      </c>
      <c r="W1230" s="213">
        <v>1230</v>
      </c>
      <c r="X1230" s="214">
        <v>14</v>
      </c>
    </row>
    <row r="1231" spans="1:24" ht="14.45" customHeight="1" x14ac:dyDescent="0.25">
      <c r="A1231" s="94" t="s">
        <v>2240</v>
      </c>
      <c r="B1231" s="128" t="s">
        <v>2647</v>
      </c>
      <c r="C1231" s="94">
        <v>1</v>
      </c>
      <c r="D1231" s="96" t="s">
        <v>2648</v>
      </c>
      <c r="E1231" s="96" t="s">
        <v>2649</v>
      </c>
      <c r="F1231" s="96">
        <v>0.14299999999999999</v>
      </c>
      <c r="G1231" s="96" t="s">
        <v>2650</v>
      </c>
      <c r="H1231" s="96" t="s">
        <v>2651</v>
      </c>
      <c r="I1231" s="96" t="s">
        <v>2652</v>
      </c>
      <c r="J1231" s="96" t="s">
        <v>2653</v>
      </c>
      <c r="K1231" s="96" t="s">
        <v>9566</v>
      </c>
      <c r="W1231" s="213">
        <v>1231</v>
      </c>
      <c r="X1231" s="214">
        <v>14</v>
      </c>
    </row>
    <row r="1232" spans="1:24" ht="14.45" customHeight="1" x14ac:dyDescent="0.25">
      <c r="A1232" s="99" t="s">
        <v>0</v>
      </c>
      <c r="B1232" s="97" t="s">
        <v>32</v>
      </c>
      <c r="C1232" s="129" t="s">
        <v>2654</v>
      </c>
      <c r="D1232" s="99" t="s">
        <v>2655</v>
      </c>
      <c r="E1232" s="99" t="s">
        <v>2656</v>
      </c>
      <c r="F1232" s="99">
        <v>1.7999999999999999E-2</v>
      </c>
      <c r="G1232" s="99" t="s">
        <v>510</v>
      </c>
      <c r="H1232" s="109"/>
      <c r="I1232" s="109"/>
      <c r="J1232" s="109"/>
      <c r="K1232" s="99" t="s">
        <v>510</v>
      </c>
      <c r="W1232" s="213">
        <v>1232</v>
      </c>
      <c r="X1232" s="214">
        <v>14</v>
      </c>
    </row>
    <row r="1233" spans="1:24" x14ac:dyDescent="0.25">
      <c r="A1233" s="94" t="s">
        <v>2240</v>
      </c>
      <c r="B1233" s="95" t="s">
        <v>5866</v>
      </c>
      <c r="C1233" s="94">
        <v>0</v>
      </c>
      <c r="D1233" s="96" t="s">
        <v>4252</v>
      </c>
      <c r="E1233" s="96" t="s">
        <v>5867</v>
      </c>
      <c r="F1233" s="96">
        <v>0.14000000000000001</v>
      </c>
      <c r="G1233" s="96" t="s">
        <v>4464</v>
      </c>
      <c r="H1233" s="96" t="s">
        <v>5868</v>
      </c>
      <c r="I1233" s="96" t="s">
        <v>5869</v>
      </c>
      <c r="J1233" s="96" t="s">
        <v>5870</v>
      </c>
      <c r="K1233" s="96" t="s">
        <v>510</v>
      </c>
      <c r="W1233" s="213">
        <v>1233</v>
      </c>
      <c r="X1233" s="214">
        <v>14</v>
      </c>
    </row>
    <row r="1234" spans="1:24" x14ac:dyDescent="0.25">
      <c r="A1234" s="97" t="s">
        <v>2240</v>
      </c>
      <c r="B1234" s="98" t="s">
        <v>5586</v>
      </c>
      <c r="C1234" s="97">
        <v>0</v>
      </c>
      <c r="D1234" s="99" t="s">
        <v>3331</v>
      </c>
      <c r="E1234" s="99" t="s">
        <v>5587</v>
      </c>
      <c r="F1234" s="99">
        <v>0.17</v>
      </c>
      <c r="G1234" s="99" t="s">
        <v>5588</v>
      </c>
      <c r="H1234" s="99" t="s">
        <v>5589</v>
      </c>
      <c r="I1234" s="99" t="s">
        <v>5590</v>
      </c>
      <c r="J1234" s="99" t="s">
        <v>5591</v>
      </c>
      <c r="K1234" s="99" t="s">
        <v>510</v>
      </c>
      <c r="W1234" s="213">
        <v>1234</v>
      </c>
      <c r="X1234" s="214">
        <v>14</v>
      </c>
    </row>
    <row r="1235" spans="1:24" x14ac:dyDescent="0.25">
      <c r="A1235" s="94" t="s">
        <v>2240</v>
      </c>
      <c r="B1235" s="130" t="s">
        <v>8020</v>
      </c>
      <c r="C1235" s="94">
        <v>1</v>
      </c>
      <c r="D1235" s="96" t="s">
        <v>3403</v>
      </c>
      <c r="E1235" s="96" t="s">
        <v>5587</v>
      </c>
      <c r="F1235" s="96">
        <v>0.121</v>
      </c>
      <c r="G1235" s="96" t="s">
        <v>5729</v>
      </c>
      <c r="H1235" s="96" t="s">
        <v>5730</v>
      </c>
      <c r="I1235" s="96" t="s">
        <v>5731</v>
      </c>
      <c r="J1235" s="96" t="s">
        <v>3732</v>
      </c>
      <c r="K1235" s="96" t="s">
        <v>510</v>
      </c>
      <c r="W1235" s="213">
        <v>1235</v>
      </c>
      <c r="X1235" s="214">
        <v>14</v>
      </c>
    </row>
    <row r="1236" spans="1:24" ht="14.45" customHeight="1" x14ac:dyDescent="0.25">
      <c r="A1236" s="99" t="s">
        <v>0</v>
      </c>
      <c r="B1236" s="97" t="s">
        <v>32</v>
      </c>
      <c r="C1236" s="131" t="s">
        <v>5732</v>
      </c>
      <c r="D1236" s="99" t="s">
        <v>3294</v>
      </c>
      <c r="E1236" s="99" t="s">
        <v>5733</v>
      </c>
      <c r="F1236" s="99" t="s">
        <v>510</v>
      </c>
      <c r="G1236" s="99" t="s">
        <v>510</v>
      </c>
      <c r="H1236" s="99"/>
      <c r="I1236" s="99"/>
      <c r="J1236" s="99"/>
      <c r="K1236" s="99" t="s">
        <v>510</v>
      </c>
      <c r="W1236" s="213">
        <v>1236</v>
      </c>
      <c r="X1236" s="214">
        <v>14</v>
      </c>
    </row>
    <row r="1237" spans="1:24" x14ac:dyDescent="0.25">
      <c r="A1237" s="71" t="s">
        <v>1966</v>
      </c>
      <c r="B1237" s="73" t="s">
        <v>3991</v>
      </c>
      <c r="C1237" s="71">
        <v>0</v>
      </c>
      <c r="D1237" s="72" t="s">
        <v>1220</v>
      </c>
      <c r="E1237" s="72" t="s">
        <v>3992</v>
      </c>
      <c r="F1237" s="72">
        <v>0.46700000000000003</v>
      </c>
      <c r="G1237" s="72" t="s">
        <v>3993</v>
      </c>
      <c r="H1237" s="72" t="s">
        <v>3994</v>
      </c>
      <c r="I1237" s="72" t="s">
        <v>3995</v>
      </c>
      <c r="J1237" s="72" t="s">
        <v>3996</v>
      </c>
      <c r="K1237" s="72" t="s">
        <v>510</v>
      </c>
      <c r="W1237" s="213">
        <v>1237</v>
      </c>
      <c r="X1237" s="214">
        <v>10</v>
      </c>
    </row>
    <row r="1238" spans="1:24" x14ac:dyDescent="0.25">
      <c r="A1238" s="97" t="s">
        <v>2240</v>
      </c>
      <c r="B1238" s="98" t="s">
        <v>7340</v>
      </c>
      <c r="C1238" s="97">
        <v>0</v>
      </c>
      <c r="D1238" s="99" t="s">
        <v>261</v>
      </c>
      <c r="E1238" s="99" t="s">
        <v>7341</v>
      </c>
      <c r="F1238" s="99">
        <v>0.125</v>
      </c>
      <c r="G1238" s="99" t="s">
        <v>7342</v>
      </c>
      <c r="H1238" s="99" t="s">
        <v>7343</v>
      </c>
      <c r="I1238" s="99" t="s">
        <v>7344</v>
      </c>
      <c r="J1238" s="99" t="s">
        <v>7345</v>
      </c>
      <c r="K1238" s="99" t="s">
        <v>510</v>
      </c>
      <c r="W1238" s="213">
        <v>1238</v>
      </c>
      <c r="X1238" s="214">
        <v>14</v>
      </c>
    </row>
    <row r="1239" spans="1:24" x14ac:dyDescent="0.25">
      <c r="A1239" s="94" t="s">
        <v>2240</v>
      </c>
      <c r="B1239" s="95" t="s">
        <v>4758</v>
      </c>
      <c r="C1239" s="94">
        <v>0</v>
      </c>
      <c r="D1239" s="96" t="s">
        <v>947</v>
      </c>
      <c r="E1239" s="96" t="s">
        <v>4759</v>
      </c>
      <c r="F1239" s="96">
        <v>0.16200000000000001</v>
      </c>
      <c r="G1239" s="96" t="s">
        <v>4760</v>
      </c>
      <c r="H1239" s="96" t="s">
        <v>4761</v>
      </c>
      <c r="I1239" s="96" t="s">
        <v>4762</v>
      </c>
      <c r="J1239" s="96" t="s">
        <v>4763</v>
      </c>
      <c r="K1239" s="96" t="s">
        <v>510</v>
      </c>
      <c r="W1239" s="213">
        <v>1239</v>
      </c>
      <c r="X1239" s="214">
        <v>14</v>
      </c>
    </row>
    <row r="1240" spans="1:24" x14ac:dyDescent="0.25">
      <c r="A1240" s="97" t="s">
        <v>2240</v>
      </c>
      <c r="B1240" s="98" t="s">
        <v>5661</v>
      </c>
      <c r="C1240" s="97">
        <v>0</v>
      </c>
      <c r="D1240" s="99" t="s">
        <v>4252</v>
      </c>
      <c r="E1240" s="99" t="s">
        <v>5662</v>
      </c>
      <c r="F1240" s="99">
        <v>0.109</v>
      </c>
      <c r="G1240" s="99" t="s">
        <v>5663</v>
      </c>
      <c r="H1240" s="99" t="s">
        <v>5664</v>
      </c>
      <c r="I1240" s="99" t="s">
        <v>5665</v>
      </c>
      <c r="J1240" s="99" t="s">
        <v>5666</v>
      </c>
      <c r="K1240" s="99" t="s">
        <v>510</v>
      </c>
      <c r="W1240" s="213">
        <v>1240</v>
      </c>
      <c r="X1240" s="214">
        <v>14</v>
      </c>
    </row>
    <row r="1241" spans="1:24" x14ac:dyDescent="0.25">
      <c r="A1241" s="94" t="s">
        <v>2240</v>
      </c>
      <c r="B1241" s="95" t="s">
        <v>6303</v>
      </c>
      <c r="C1241" s="94">
        <v>0</v>
      </c>
      <c r="D1241" s="96" t="s">
        <v>2094</v>
      </c>
      <c r="E1241" s="96" t="s">
        <v>6304</v>
      </c>
      <c r="F1241" s="96">
        <v>7.1999999999999995E-2</v>
      </c>
      <c r="G1241" s="96" t="s">
        <v>6305</v>
      </c>
      <c r="H1241" s="96" t="s">
        <v>6306</v>
      </c>
      <c r="I1241" s="96" t="s">
        <v>6307</v>
      </c>
      <c r="J1241" s="96" t="s">
        <v>6308</v>
      </c>
      <c r="K1241" s="96" t="s">
        <v>510</v>
      </c>
      <c r="W1241" s="213">
        <v>1241</v>
      </c>
      <c r="X1241" s="214">
        <v>14</v>
      </c>
    </row>
    <row r="1242" spans="1:24" x14ac:dyDescent="0.25">
      <c r="A1242" s="97" t="s">
        <v>2240</v>
      </c>
      <c r="B1242" s="131" t="s">
        <v>8087</v>
      </c>
      <c r="C1242" s="97">
        <v>0</v>
      </c>
      <c r="D1242" s="99" t="s">
        <v>7947</v>
      </c>
      <c r="E1242" s="99" t="s">
        <v>4382</v>
      </c>
      <c r="F1242" s="99">
        <v>0.14799999999999999</v>
      </c>
      <c r="G1242" s="99" t="s">
        <v>4383</v>
      </c>
      <c r="H1242" s="99" t="s">
        <v>4384</v>
      </c>
      <c r="I1242" s="99" t="s">
        <v>4385</v>
      </c>
      <c r="J1242" s="99" t="s">
        <v>4386</v>
      </c>
      <c r="K1242" s="99" t="s">
        <v>510</v>
      </c>
      <c r="W1242" s="213">
        <v>1242</v>
      </c>
      <c r="X1242" s="214">
        <v>14</v>
      </c>
    </row>
    <row r="1243" spans="1:24" x14ac:dyDescent="0.25">
      <c r="A1243" s="94" t="s">
        <v>2240</v>
      </c>
      <c r="B1243" s="95" t="s">
        <v>6142</v>
      </c>
      <c r="C1243" s="94">
        <v>0</v>
      </c>
      <c r="D1243" s="96" t="s">
        <v>5306</v>
      </c>
      <c r="E1243" s="96" t="s">
        <v>6143</v>
      </c>
      <c r="F1243" s="96">
        <v>0.187</v>
      </c>
      <c r="G1243" s="96" t="s">
        <v>6144</v>
      </c>
      <c r="H1243" s="96" t="s">
        <v>6145</v>
      </c>
      <c r="I1243" s="96" t="s">
        <v>6146</v>
      </c>
      <c r="J1243" s="96" t="s">
        <v>6147</v>
      </c>
      <c r="K1243" s="96" t="s">
        <v>510</v>
      </c>
      <c r="W1243" s="213">
        <v>1243</v>
      </c>
      <c r="X1243" s="214">
        <v>14</v>
      </c>
    </row>
    <row r="1244" spans="1:24" x14ac:dyDescent="0.25">
      <c r="A1244" s="97" t="s">
        <v>2240</v>
      </c>
      <c r="B1244" s="98" t="s">
        <v>7082</v>
      </c>
      <c r="C1244" s="97">
        <v>0</v>
      </c>
      <c r="D1244" s="99" t="s">
        <v>1154</v>
      </c>
      <c r="E1244" s="99" t="s">
        <v>7083</v>
      </c>
      <c r="F1244" s="99">
        <v>0.187</v>
      </c>
      <c r="G1244" s="99" t="s">
        <v>2806</v>
      </c>
      <c r="H1244" s="99" t="s">
        <v>7084</v>
      </c>
      <c r="I1244" s="99" t="s">
        <v>7085</v>
      </c>
      <c r="J1244" s="99" t="s">
        <v>5717</v>
      </c>
      <c r="K1244" s="99" t="s">
        <v>510</v>
      </c>
      <c r="W1244" s="213">
        <v>1244</v>
      </c>
      <c r="X1244" s="214">
        <v>14</v>
      </c>
    </row>
    <row r="1245" spans="1:24" x14ac:dyDescent="0.25">
      <c r="A1245" s="94" t="s">
        <v>2240</v>
      </c>
      <c r="B1245" s="95" t="s">
        <v>5358</v>
      </c>
      <c r="C1245" s="94">
        <v>0</v>
      </c>
      <c r="D1245" s="96" t="s">
        <v>384</v>
      </c>
      <c r="E1245" s="96" t="s">
        <v>5359</v>
      </c>
      <c r="F1245" s="96">
        <v>0.13400000000000001</v>
      </c>
      <c r="G1245" s="96" t="s">
        <v>5360</v>
      </c>
      <c r="H1245" s="96" t="s">
        <v>5361</v>
      </c>
      <c r="I1245" s="96" t="s">
        <v>5362</v>
      </c>
      <c r="J1245" s="96" t="s">
        <v>4527</v>
      </c>
      <c r="K1245" s="96" t="s">
        <v>510</v>
      </c>
      <c r="W1245" s="213">
        <v>1245</v>
      </c>
      <c r="X1245" s="214">
        <v>14</v>
      </c>
    </row>
    <row r="1246" spans="1:24" x14ac:dyDescent="0.25">
      <c r="A1246" s="97" t="s">
        <v>2240</v>
      </c>
      <c r="B1246" s="98" t="s">
        <v>5148</v>
      </c>
      <c r="C1246" s="97">
        <v>0</v>
      </c>
      <c r="D1246" s="99" t="s">
        <v>4711</v>
      </c>
      <c r="E1246" s="99" t="s">
        <v>5149</v>
      </c>
      <c r="F1246" s="99">
        <v>0</v>
      </c>
      <c r="G1246" s="99" t="s">
        <v>5150</v>
      </c>
      <c r="H1246" s="99" t="s">
        <v>5151</v>
      </c>
      <c r="I1246" s="99" t="s">
        <v>5152</v>
      </c>
      <c r="J1246" s="99" t="s">
        <v>5153</v>
      </c>
      <c r="K1246" s="99" t="s">
        <v>510</v>
      </c>
      <c r="W1246" s="213">
        <v>1246</v>
      </c>
      <c r="X1246" s="214">
        <v>14</v>
      </c>
    </row>
    <row r="1247" spans="1:24" x14ac:dyDescent="0.25">
      <c r="A1247" s="94" t="s">
        <v>2240</v>
      </c>
      <c r="B1247" s="130" t="s">
        <v>8077</v>
      </c>
      <c r="C1247" s="94">
        <v>0</v>
      </c>
      <c r="D1247" s="96" t="s">
        <v>2686</v>
      </c>
      <c r="E1247" s="96" t="s">
        <v>2658</v>
      </c>
      <c r="F1247" s="96">
        <v>0.12</v>
      </c>
      <c r="G1247" s="96" t="s">
        <v>2659</v>
      </c>
      <c r="H1247" s="96" t="s">
        <v>2660</v>
      </c>
      <c r="I1247" s="96" t="s">
        <v>2661</v>
      </c>
      <c r="J1247" s="96" t="s">
        <v>2662</v>
      </c>
      <c r="K1247" s="96" t="s">
        <v>510</v>
      </c>
      <c r="W1247" s="213">
        <v>1247</v>
      </c>
      <c r="X1247" s="214">
        <v>14</v>
      </c>
    </row>
    <row r="1248" spans="1:24" x14ac:dyDescent="0.25">
      <c r="A1248" s="97" t="s">
        <v>2240</v>
      </c>
      <c r="B1248" s="131" t="s">
        <v>7981</v>
      </c>
      <c r="C1248" s="97">
        <v>0</v>
      </c>
      <c r="D1248" s="99" t="s">
        <v>3020</v>
      </c>
      <c r="E1248" s="99" t="s">
        <v>2663</v>
      </c>
      <c r="F1248" s="99">
        <v>0.104</v>
      </c>
      <c r="G1248" s="99" t="s">
        <v>2664</v>
      </c>
      <c r="H1248" s="99" t="s">
        <v>2665</v>
      </c>
      <c r="I1248" s="99" t="s">
        <v>2666</v>
      </c>
      <c r="J1248" s="99" t="s">
        <v>2667</v>
      </c>
      <c r="K1248" s="99" t="s">
        <v>510</v>
      </c>
      <c r="W1248" s="213">
        <v>1248</v>
      </c>
      <c r="X1248" s="214">
        <v>14</v>
      </c>
    </row>
    <row r="1249" spans="1:24" x14ac:dyDescent="0.25">
      <c r="A1249" s="94" t="s">
        <v>2240</v>
      </c>
      <c r="B1249" s="95" t="s">
        <v>5656</v>
      </c>
      <c r="C1249" s="94">
        <v>0</v>
      </c>
      <c r="D1249" s="96" t="s">
        <v>384</v>
      </c>
      <c r="E1249" s="96" t="s">
        <v>5657</v>
      </c>
      <c r="F1249" s="96">
        <v>0.19900000000000001</v>
      </c>
      <c r="G1249" s="96" t="s">
        <v>5658</v>
      </c>
      <c r="H1249" s="96" t="s">
        <v>5659</v>
      </c>
      <c r="I1249" s="96" t="s">
        <v>3484</v>
      </c>
      <c r="J1249" s="96" t="s">
        <v>5660</v>
      </c>
      <c r="K1249" s="96" t="s">
        <v>510</v>
      </c>
      <c r="W1249" s="213">
        <v>1249</v>
      </c>
      <c r="X1249" s="214">
        <v>14</v>
      </c>
    </row>
    <row r="1250" spans="1:24" ht="15" customHeight="1" x14ac:dyDescent="0.25">
      <c r="A1250" s="97" t="s">
        <v>2240</v>
      </c>
      <c r="B1250" s="98" t="s">
        <v>6864</v>
      </c>
      <c r="C1250" s="97">
        <v>0</v>
      </c>
      <c r="D1250" s="99" t="s">
        <v>1318</v>
      </c>
      <c r="E1250" s="99" t="s">
        <v>6865</v>
      </c>
      <c r="F1250" s="99">
        <v>0.28699999999999998</v>
      </c>
      <c r="G1250" s="99" t="s">
        <v>6866</v>
      </c>
      <c r="H1250" s="99" t="s">
        <v>1970</v>
      </c>
      <c r="I1250" s="99" t="s">
        <v>5600</v>
      </c>
      <c r="J1250" s="99" t="s">
        <v>5979</v>
      </c>
      <c r="K1250" s="99" t="s">
        <v>510</v>
      </c>
      <c r="W1250" s="213">
        <v>1250</v>
      </c>
      <c r="X1250" s="214">
        <v>14</v>
      </c>
    </row>
    <row r="1251" spans="1:24" x14ac:dyDescent="0.25">
      <c r="A1251" s="94" t="s">
        <v>2240</v>
      </c>
      <c r="B1251" s="95" t="s">
        <v>6963</v>
      </c>
      <c r="C1251" s="94">
        <v>0</v>
      </c>
      <c r="D1251" s="96" t="s">
        <v>219</v>
      </c>
      <c r="E1251" s="96" t="s">
        <v>6964</v>
      </c>
      <c r="F1251" s="96">
        <v>0.127</v>
      </c>
      <c r="G1251" s="96" t="s">
        <v>6965</v>
      </c>
      <c r="H1251" s="96" t="s">
        <v>2640</v>
      </c>
      <c r="I1251" s="96" t="s">
        <v>6966</v>
      </c>
      <c r="J1251" s="96" t="s">
        <v>4375</v>
      </c>
      <c r="K1251" s="96" t="s">
        <v>510</v>
      </c>
      <c r="W1251" s="213">
        <v>1251</v>
      </c>
      <c r="X1251" s="214">
        <v>14</v>
      </c>
    </row>
    <row r="1252" spans="1:24" x14ac:dyDescent="0.25">
      <c r="A1252" s="97" t="s">
        <v>2240</v>
      </c>
      <c r="B1252" s="98" t="s">
        <v>4825</v>
      </c>
      <c r="C1252" s="97">
        <v>0</v>
      </c>
      <c r="D1252" s="99" t="s">
        <v>4535</v>
      </c>
      <c r="E1252" s="99" t="s">
        <v>4826</v>
      </c>
      <c r="F1252" s="99">
        <v>0.1</v>
      </c>
      <c r="G1252" s="99" t="s">
        <v>4827</v>
      </c>
      <c r="H1252" s="99" t="s">
        <v>4828</v>
      </c>
      <c r="I1252" s="99" t="s">
        <v>4829</v>
      </c>
      <c r="J1252" s="99" t="s">
        <v>4830</v>
      </c>
      <c r="K1252" s="99" t="s">
        <v>510</v>
      </c>
      <c r="W1252" s="213">
        <v>1252</v>
      </c>
      <c r="X1252" s="214">
        <v>14</v>
      </c>
    </row>
    <row r="1253" spans="1:24" x14ac:dyDescent="0.25">
      <c r="A1253" s="94" t="s">
        <v>2240</v>
      </c>
      <c r="B1253" s="95" t="s">
        <v>5223</v>
      </c>
      <c r="C1253" s="94">
        <v>0</v>
      </c>
      <c r="D1253" s="96" t="s">
        <v>3250</v>
      </c>
      <c r="E1253" s="96" t="s">
        <v>5224</v>
      </c>
      <c r="F1253" s="96">
        <v>3.9E-2</v>
      </c>
      <c r="G1253" s="96" t="s">
        <v>5225</v>
      </c>
      <c r="H1253" s="96" t="s">
        <v>5226</v>
      </c>
      <c r="I1253" s="96" t="s">
        <v>5227</v>
      </c>
      <c r="J1253" s="96" t="s">
        <v>5228</v>
      </c>
      <c r="K1253" s="96" t="s">
        <v>510</v>
      </c>
      <c r="W1253" s="213">
        <v>1253</v>
      </c>
      <c r="X1253" s="214">
        <v>14</v>
      </c>
    </row>
    <row r="1254" spans="1:24" x14ac:dyDescent="0.25">
      <c r="A1254" s="97" t="s">
        <v>2240</v>
      </c>
      <c r="B1254" s="131" t="s">
        <v>7927</v>
      </c>
      <c r="C1254" s="97">
        <v>0</v>
      </c>
      <c r="D1254" s="99" t="s">
        <v>2674</v>
      </c>
      <c r="E1254" s="99" t="s">
        <v>2675</v>
      </c>
      <c r="F1254" s="99">
        <v>0.17399999999999999</v>
      </c>
      <c r="G1254" s="99" t="s">
        <v>2676</v>
      </c>
      <c r="H1254" s="99" t="s">
        <v>2677</v>
      </c>
      <c r="I1254" s="99" t="s">
        <v>2678</v>
      </c>
      <c r="J1254" s="99" t="s">
        <v>2679</v>
      </c>
      <c r="K1254" s="99" t="s">
        <v>510</v>
      </c>
      <c r="W1254" s="213">
        <v>1254</v>
      </c>
      <c r="X1254" s="214">
        <v>14</v>
      </c>
    </row>
    <row r="1255" spans="1:24" x14ac:dyDescent="0.25">
      <c r="A1255" s="94" t="s">
        <v>2240</v>
      </c>
      <c r="B1255" s="130" t="s">
        <v>7982</v>
      </c>
      <c r="C1255" s="94">
        <v>0</v>
      </c>
      <c r="D1255" s="96" t="s">
        <v>2906</v>
      </c>
      <c r="E1255" s="96" t="s">
        <v>2669</v>
      </c>
      <c r="F1255" s="96">
        <v>0.112</v>
      </c>
      <c r="G1255" s="96" t="s">
        <v>2670</v>
      </c>
      <c r="H1255" s="96" t="s">
        <v>2671</v>
      </c>
      <c r="I1255" s="96" t="s">
        <v>2672</v>
      </c>
      <c r="J1255" s="96" t="s">
        <v>2673</v>
      </c>
      <c r="K1255" s="96" t="s">
        <v>510</v>
      </c>
      <c r="W1255" s="213">
        <v>1255</v>
      </c>
      <c r="X1255" s="214">
        <v>14</v>
      </c>
    </row>
    <row r="1256" spans="1:24" x14ac:dyDescent="0.25">
      <c r="A1256" s="67" t="s">
        <v>1966</v>
      </c>
      <c r="B1256" s="69" t="s">
        <v>3997</v>
      </c>
      <c r="C1256" s="67">
        <v>0</v>
      </c>
      <c r="D1256" s="68" t="s">
        <v>293</v>
      </c>
      <c r="E1256" s="68" t="s">
        <v>3998</v>
      </c>
      <c r="F1256" s="68">
        <v>0.25600000000000001</v>
      </c>
      <c r="G1256" s="68" t="s">
        <v>3999</v>
      </c>
      <c r="H1256" s="68" t="s">
        <v>4000</v>
      </c>
      <c r="I1256" s="68" t="s">
        <v>4001</v>
      </c>
      <c r="J1256" s="68" t="s">
        <v>4002</v>
      </c>
      <c r="K1256" s="68" t="s">
        <v>510</v>
      </c>
      <c r="W1256" s="213">
        <v>1256</v>
      </c>
      <c r="X1256" s="214">
        <v>10</v>
      </c>
    </row>
    <row r="1257" spans="1:24" x14ac:dyDescent="0.25">
      <c r="A1257" s="94" t="s">
        <v>2240</v>
      </c>
      <c r="B1257" s="95" t="s">
        <v>5580</v>
      </c>
      <c r="C1257" s="94">
        <v>0</v>
      </c>
      <c r="D1257" s="96" t="s">
        <v>4252</v>
      </c>
      <c r="E1257" s="96" t="s">
        <v>5581</v>
      </c>
      <c r="F1257" s="96">
        <v>0.16500000000000001</v>
      </c>
      <c r="G1257" s="96" t="s">
        <v>5582</v>
      </c>
      <c r="H1257" s="96" t="s">
        <v>5583</v>
      </c>
      <c r="I1257" s="96" t="s">
        <v>5584</v>
      </c>
      <c r="J1257" s="96" t="s">
        <v>5585</v>
      </c>
      <c r="K1257" s="96" t="s">
        <v>510</v>
      </c>
      <c r="W1257" s="213">
        <v>1257</v>
      </c>
      <c r="X1257" s="214">
        <v>14</v>
      </c>
    </row>
    <row r="1258" spans="1:24" x14ac:dyDescent="0.25">
      <c r="A1258" s="97" t="s">
        <v>2240</v>
      </c>
      <c r="B1258" s="98" t="s">
        <v>7009</v>
      </c>
      <c r="C1258" s="97">
        <v>0</v>
      </c>
      <c r="D1258" s="99" t="s">
        <v>5797</v>
      </c>
      <c r="E1258" s="99" t="s">
        <v>7010</v>
      </c>
      <c r="F1258" s="99">
        <v>0.124</v>
      </c>
      <c r="G1258" s="99" t="s">
        <v>7011</v>
      </c>
      <c r="H1258" s="99" t="s">
        <v>7012</v>
      </c>
      <c r="I1258" s="99" t="s">
        <v>7013</v>
      </c>
      <c r="J1258" s="99" t="s">
        <v>7014</v>
      </c>
      <c r="K1258" s="99" t="s">
        <v>510</v>
      </c>
      <c r="W1258" s="213">
        <v>1258</v>
      </c>
      <c r="X1258" s="214">
        <v>14</v>
      </c>
    </row>
    <row r="1259" spans="1:24" x14ac:dyDescent="0.25">
      <c r="A1259" s="94" t="s">
        <v>2240</v>
      </c>
      <c r="B1259" s="95" t="s">
        <v>5574</v>
      </c>
      <c r="C1259" s="94">
        <v>0</v>
      </c>
      <c r="D1259" s="96" t="s">
        <v>4252</v>
      </c>
      <c r="E1259" s="96" t="s">
        <v>5575</v>
      </c>
      <c r="F1259" s="96">
        <v>0.249</v>
      </c>
      <c r="G1259" s="96" t="s">
        <v>5576</v>
      </c>
      <c r="H1259" s="96" t="s">
        <v>5577</v>
      </c>
      <c r="I1259" s="96" t="s">
        <v>5578</v>
      </c>
      <c r="J1259" s="96" t="s">
        <v>5579</v>
      </c>
      <c r="K1259" s="96" t="s">
        <v>510</v>
      </c>
      <c r="W1259" s="213">
        <v>1259</v>
      </c>
      <c r="X1259" s="214">
        <v>14</v>
      </c>
    </row>
    <row r="1260" spans="1:24" ht="15" customHeight="1" x14ac:dyDescent="0.25">
      <c r="A1260" s="97" t="s">
        <v>2240</v>
      </c>
      <c r="B1260" s="98" t="s">
        <v>5329</v>
      </c>
      <c r="C1260" s="97">
        <v>0</v>
      </c>
      <c r="D1260" s="99" t="s">
        <v>5215</v>
      </c>
      <c r="E1260" s="99" t="s">
        <v>5330</v>
      </c>
      <c r="F1260" s="99">
        <v>0.184</v>
      </c>
      <c r="G1260" s="99" t="s">
        <v>5331</v>
      </c>
      <c r="H1260" s="99" t="s">
        <v>5332</v>
      </c>
      <c r="I1260" s="99" t="s">
        <v>5333</v>
      </c>
      <c r="J1260" s="99" t="s">
        <v>5334</v>
      </c>
      <c r="K1260" s="99" t="s">
        <v>510</v>
      </c>
      <c r="W1260" s="213">
        <v>1260</v>
      </c>
      <c r="X1260" s="214">
        <v>14</v>
      </c>
    </row>
    <row r="1261" spans="1:24" x14ac:dyDescent="0.25">
      <c r="A1261" s="94" t="s">
        <v>2240</v>
      </c>
      <c r="B1261" s="95" t="s">
        <v>4704</v>
      </c>
      <c r="C1261" s="94">
        <v>0</v>
      </c>
      <c r="D1261" s="96" t="s">
        <v>991</v>
      </c>
      <c r="E1261" s="96" t="s">
        <v>4705</v>
      </c>
      <c r="F1261" s="96">
        <v>0.20200000000000001</v>
      </c>
      <c r="G1261" s="96" t="s">
        <v>4706</v>
      </c>
      <c r="H1261" s="96" t="s">
        <v>4707</v>
      </c>
      <c r="I1261" s="96" t="s">
        <v>4708</v>
      </c>
      <c r="J1261" s="96" t="s">
        <v>4709</v>
      </c>
      <c r="K1261" s="96" t="s">
        <v>510</v>
      </c>
      <c r="W1261" s="213">
        <v>1261</v>
      </c>
      <c r="X1261" s="214">
        <v>14</v>
      </c>
    </row>
    <row r="1262" spans="1:24" x14ac:dyDescent="0.25">
      <c r="A1262" s="97" t="s">
        <v>2240</v>
      </c>
      <c r="B1262" s="98" t="s">
        <v>6309</v>
      </c>
      <c r="C1262" s="97">
        <v>0</v>
      </c>
      <c r="D1262" s="99" t="s">
        <v>2094</v>
      </c>
      <c r="E1262" s="99" t="s">
        <v>6310</v>
      </c>
      <c r="F1262" s="99">
        <v>0.187</v>
      </c>
      <c r="G1262" s="99" t="s">
        <v>6311</v>
      </c>
      <c r="H1262" s="99" t="s">
        <v>6312</v>
      </c>
      <c r="I1262" s="99" t="s">
        <v>6313</v>
      </c>
      <c r="J1262" s="99" t="s">
        <v>6314</v>
      </c>
      <c r="K1262" s="99" t="s">
        <v>510</v>
      </c>
      <c r="W1262" s="213">
        <v>1262</v>
      </c>
      <c r="X1262" s="214">
        <v>14</v>
      </c>
    </row>
    <row r="1263" spans="1:24" x14ac:dyDescent="0.25">
      <c r="A1263" s="94" t="s">
        <v>2240</v>
      </c>
      <c r="B1263" s="95" t="s">
        <v>8425</v>
      </c>
      <c r="C1263" s="94">
        <v>0</v>
      </c>
      <c r="D1263" s="96" t="s">
        <v>2680</v>
      </c>
      <c r="E1263" s="96" t="s">
        <v>2681</v>
      </c>
      <c r="F1263" s="96">
        <v>0.29699999999999999</v>
      </c>
      <c r="G1263" s="96" t="s">
        <v>2682</v>
      </c>
      <c r="H1263" s="96" t="s">
        <v>2683</v>
      </c>
      <c r="I1263" s="96" t="s">
        <v>2684</v>
      </c>
      <c r="J1263" s="96" t="s">
        <v>2685</v>
      </c>
      <c r="K1263" s="96" t="s">
        <v>510</v>
      </c>
      <c r="W1263" s="213">
        <v>1263</v>
      </c>
      <c r="X1263" s="214">
        <v>14</v>
      </c>
    </row>
    <row r="1264" spans="1:24" x14ac:dyDescent="0.25">
      <c r="A1264" s="97" t="s">
        <v>2240</v>
      </c>
      <c r="B1264" s="98" t="s">
        <v>6852</v>
      </c>
      <c r="C1264" s="97">
        <v>0</v>
      </c>
      <c r="D1264" s="99" t="s">
        <v>502</v>
      </c>
      <c r="E1264" s="99" t="s">
        <v>6853</v>
      </c>
      <c r="F1264" s="99">
        <v>0.182</v>
      </c>
      <c r="G1264" s="99" t="s">
        <v>6854</v>
      </c>
      <c r="H1264" s="99" t="s">
        <v>6855</v>
      </c>
      <c r="I1264" s="99" t="s">
        <v>6856</v>
      </c>
      <c r="J1264" s="99" t="s">
        <v>6857</v>
      </c>
      <c r="K1264" s="99" t="s">
        <v>510</v>
      </c>
      <c r="W1264" s="213">
        <v>1264</v>
      </c>
      <c r="X1264" s="214">
        <v>14</v>
      </c>
    </row>
    <row r="1265" spans="1:24" x14ac:dyDescent="0.25">
      <c r="A1265" s="94" t="s">
        <v>2240</v>
      </c>
      <c r="B1265" s="95" t="s">
        <v>4352</v>
      </c>
      <c r="C1265" s="94">
        <v>0</v>
      </c>
      <c r="D1265" s="96" t="s">
        <v>4299</v>
      </c>
      <c r="E1265" s="96" t="s">
        <v>4353</v>
      </c>
      <c r="F1265" s="96">
        <v>5.3999999999999999E-2</v>
      </c>
      <c r="G1265" s="96" t="s">
        <v>4354</v>
      </c>
      <c r="H1265" s="96" t="s">
        <v>4355</v>
      </c>
      <c r="I1265" s="96" t="s">
        <v>4356</v>
      </c>
      <c r="J1265" s="96" t="s">
        <v>4357</v>
      </c>
      <c r="K1265" s="96" t="s">
        <v>510</v>
      </c>
      <c r="W1265" s="213">
        <v>1265</v>
      </c>
      <c r="X1265" s="214">
        <v>14</v>
      </c>
    </row>
    <row r="1266" spans="1:24" x14ac:dyDescent="0.25">
      <c r="A1266" s="97" t="s">
        <v>2240</v>
      </c>
      <c r="B1266" s="98" t="s">
        <v>4940</v>
      </c>
      <c r="C1266" s="97">
        <v>0</v>
      </c>
      <c r="D1266" s="99" t="s">
        <v>4566</v>
      </c>
      <c r="E1266" s="99" t="s">
        <v>4941</v>
      </c>
      <c r="F1266" s="99">
        <v>0.14699999999999999</v>
      </c>
      <c r="G1266" s="99" t="s">
        <v>4942</v>
      </c>
      <c r="H1266" s="99" t="s">
        <v>4943</v>
      </c>
      <c r="I1266" s="99" t="s">
        <v>4944</v>
      </c>
      <c r="J1266" s="99" t="s">
        <v>4945</v>
      </c>
      <c r="K1266" s="99" t="s">
        <v>510</v>
      </c>
      <c r="W1266" s="213">
        <v>1266</v>
      </c>
      <c r="X1266" s="214">
        <v>14</v>
      </c>
    </row>
    <row r="1267" spans="1:24" x14ac:dyDescent="0.25">
      <c r="A1267" s="94" t="s">
        <v>2240</v>
      </c>
      <c r="B1267" s="95" t="s">
        <v>4571</v>
      </c>
      <c r="C1267" s="94">
        <v>0</v>
      </c>
      <c r="D1267" s="96" t="s">
        <v>4572</v>
      </c>
      <c r="E1267" s="96" t="s">
        <v>4573</v>
      </c>
      <c r="F1267" s="96">
        <v>3.0000000000000001E-3</v>
      </c>
      <c r="G1267" s="96" t="s">
        <v>4574</v>
      </c>
      <c r="H1267" s="96" t="s">
        <v>4575</v>
      </c>
      <c r="I1267" s="96" t="s">
        <v>4576</v>
      </c>
      <c r="J1267" s="96" t="s">
        <v>4577</v>
      </c>
      <c r="K1267" s="96" t="s">
        <v>510</v>
      </c>
      <c r="W1267" s="213">
        <v>1267</v>
      </c>
      <c r="X1267" s="214">
        <v>14</v>
      </c>
    </row>
    <row r="1268" spans="1:24" x14ac:dyDescent="0.25">
      <c r="A1268" s="97" t="s">
        <v>2240</v>
      </c>
      <c r="B1268" s="98" t="s">
        <v>6992</v>
      </c>
      <c r="C1268" s="97">
        <v>0</v>
      </c>
      <c r="D1268" s="99" t="s">
        <v>261</v>
      </c>
      <c r="E1268" s="99" t="s">
        <v>6993</v>
      </c>
      <c r="F1268" s="99">
        <v>0.121</v>
      </c>
      <c r="G1268" s="99" t="s">
        <v>6994</v>
      </c>
      <c r="H1268" s="99" t="s">
        <v>6995</v>
      </c>
      <c r="I1268" s="99" t="s">
        <v>6503</v>
      </c>
      <c r="J1268" s="99" t="s">
        <v>6996</v>
      </c>
      <c r="K1268" s="99" t="s">
        <v>510</v>
      </c>
      <c r="W1268" s="213">
        <v>1268</v>
      </c>
      <c r="X1268" s="214">
        <v>14</v>
      </c>
    </row>
    <row r="1269" spans="1:24" ht="15" customHeight="1" x14ac:dyDescent="0.25">
      <c r="A1269" s="94" t="s">
        <v>2240</v>
      </c>
      <c r="B1269" s="95" t="s">
        <v>5621</v>
      </c>
      <c r="C1269" s="94">
        <v>0</v>
      </c>
      <c r="D1269" s="96" t="s">
        <v>4252</v>
      </c>
      <c r="E1269" s="96" t="s">
        <v>5622</v>
      </c>
      <c r="F1269" s="96">
        <v>0.15</v>
      </c>
      <c r="G1269" s="96" t="s">
        <v>5623</v>
      </c>
      <c r="H1269" s="96" t="s">
        <v>5624</v>
      </c>
      <c r="I1269" s="96" t="s">
        <v>5625</v>
      </c>
      <c r="J1269" s="96" t="s">
        <v>5626</v>
      </c>
      <c r="K1269" s="96" t="s">
        <v>510</v>
      </c>
      <c r="W1269" s="213">
        <v>1269</v>
      </c>
      <c r="X1269" s="214">
        <v>14</v>
      </c>
    </row>
    <row r="1270" spans="1:24" x14ac:dyDescent="0.25">
      <c r="A1270" s="97" t="s">
        <v>2240</v>
      </c>
      <c r="B1270" s="98" t="s">
        <v>5849</v>
      </c>
      <c r="C1270" s="97">
        <v>0</v>
      </c>
      <c r="D1270" s="99" t="s">
        <v>1745</v>
      </c>
      <c r="E1270" s="99" t="s">
        <v>5850</v>
      </c>
      <c r="F1270" s="99">
        <v>0.219</v>
      </c>
      <c r="G1270" s="99" t="s">
        <v>5851</v>
      </c>
      <c r="H1270" s="99" t="s">
        <v>5852</v>
      </c>
      <c r="I1270" s="99" t="s">
        <v>5853</v>
      </c>
      <c r="J1270" s="99" t="s">
        <v>5854</v>
      </c>
      <c r="K1270" s="99" t="s">
        <v>510</v>
      </c>
      <c r="W1270" s="213">
        <v>1270</v>
      </c>
      <c r="X1270" s="214">
        <v>14</v>
      </c>
    </row>
    <row r="1271" spans="1:24" x14ac:dyDescent="0.25">
      <c r="A1271" s="94" t="s">
        <v>2240</v>
      </c>
      <c r="B1271" s="95" t="s">
        <v>5502</v>
      </c>
      <c r="C1271" s="94">
        <v>0</v>
      </c>
      <c r="D1271" s="96" t="s">
        <v>1745</v>
      </c>
      <c r="E1271" s="96" t="s">
        <v>5503</v>
      </c>
      <c r="F1271" s="96">
        <v>0.159</v>
      </c>
      <c r="G1271" s="96" t="s">
        <v>5504</v>
      </c>
      <c r="H1271" s="96" t="s">
        <v>5505</v>
      </c>
      <c r="I1271" s="96" t="s">
        <v>5506</v>
      </c>
      <c r="J1271" s="96" t="s">
        <v>5507</v>
      </c>
      <c r="K1271" s="96" t="s">
        <v>510</v>
      </c>
      <c r="W1271" s="213">
        <v>1271</v>
      </c>
      <c r="X1271" s="214">
        <v>14</v>
      </c>
    </row>
    <row r="1272" spans="1:24" x14ac:dyDescent="0.25">
      <c r="A1272" s="97" t="s">
        <v>2240</v>
      </c>
      <c r="B1272" s="131" t="s">
        <v>7983</v>
      </c>
      <c r="C1272" s="97">
        <v>0</v>
      </c>
      <c r="D1272" s="99" t="s">
        <v>2629</v>
      </c>
      <c r="E1272" s="99" t="s">
        <v>2687</v>
      </c>
      <c r="F1272" s="99">
        <v>0.11899999999999999</v>
      </c>
      <c r="G1272" s="99" t="s">
        <v>2688</v>
      </c>
      <c r="H1272" s="99" t="s">
        <v>2689</v>
      </c>
      <c r="I1272" s="99" t="s">
        <v>2690</v>
      </c>
      <c r="J1272" s="99" t="s">
        <v>2691</v>
      </c>
      <c r="K1272" s="99" t="s">
        <v>510</v>
      </c>
      <c r="W1272" s="213">
        <v>1272</v>
      </c>
      <c r="X1272" s="214">
        <v>14</v>
      </c>
    </row>
    <row r="1273" spans="1:24" x14ac:dyDescent="0.25">
      <c r="A1273" s="94" t="s">
        <v>2240</v>
      </c>
      <c r="B1273" s="95" t="s">
        <v>6629</v>
      </c>
      <c r="C1273" s="94">
        <v>0</v>
      </c>
      <c r="D1273" s="96" t="s">
        <v>3161</v>
      </c>
      <c r="E1273" s="96" t="s">
        <v>6630</v>
      </c>
      <c r="F1273" s="96">
        <v>0.17</v>
      </c>
      <c r="G1273" s="96" t="s">
        <v>6631</v>
      </c>
      <c r="H1273" s="96" t="s">
        <v>6632</v>
      </c>
      <c r="I1273" s="96" t="s">
        <v>6633</v>
      </c>
      <c r="J1273" s="96" t="s">
        <v>6634</v>
      </c>
      <c r="K1273" s="96" t="s">
        <v>510</v>
      </c>
      <c r="W1273" s="213">
        <v>1273</v>
      </c>
      <c r="X1273" s="214">
        <v>14</v>
      </c>
    </row>
    <row r="1274" spans="1:24" x14ac:dyDescent="0.25">
      <c r="A1274" s="97" t="s">
        <v>2240</v>
      </c>
      <c r="B1274" s="131" t="s">
        <v>7984</v>
      </c>
      <c r="C1274" s="97">
        <v>0</v>
      </c>
      <c r="D1274" s="99" t="s">
        <v>2629</v>
      </c>
      <c r="E1274" s="99" t="s">
        <v>2693</v>
      </c>
      <c r="F1274" s="99">
        <v>0.158</v>
      </c>
      <c r="G1274" s="99" t="s">
        <v>2694</v>
      </c>
      <c r="H1274" s="99" t="s">
        <v>2695</v>
      </c>
      <c r="I1274" s="99" t="s">
        <v>2696</v>
      </c>
      <c r="J1274" s="99" t="s">
        <v>2697</v>
      </c>
      <c r="K1274" s="99" t="s">
        <v>510</v>
      </c>
      <c r="W1274" s="213">
        <v>1274</v>
      </c>
      <c r="X1274" s="214">
        <v>14</v>
      </c>
    </row>
    <row r="1275" spans="1:24" x14ac:dyDescent="0.25">
      <c r="A1275" s="94" t="s">
        <v>2240</v>
      </c>
      <c r="B1275" s="95" t="s">
        <v>5496</v>
      </c>
      <c r="C1275" s="94">
        <v>0</v>
      </c>
      <c r="D1275" s="96" t="s">
        <v>5497</v>
      </c>
      <c r="E1275" s="96" t="s">
        <v>5498</v>
      </c>
      <c r="F1275" s="96">
        <v>0.187</v>
      </c>
      <c r="G1275" s="96" t="s">
        <v>5499</v>
      </c>
      <c r="H1275" s="96" t="s">
        <v>4291</v>
      </c>
      <c r="I1275" s="96" t="s">
        <v>5500</v>
      </c>
      <c r="J1275" s="96" t="s">
        <v>5501</v>
      </c>
      <c r="K1275" s="96" t="s">
        <v>510</v>
      </c>
      <c r="W1275" s="213">
        <v>1275</v>
      </c>
      <c r="X1275" s="214">
        <v>14</v>
      </c>
    </row>
    <row r="1276" spans="1:24" x14ac:dyDescent="0.25">
      <c r="A1276" s="97" t="s">
        <v>2240</v>
      </c>
      <c r="B1276" s="98" t="s">
        <v>7376</v>
      </c>
      <c r="C1276" s="97">
        <v>0</v>
      </c>
      <c r="D1276" s="99" t="s">
        <v>198</v>
      </c>
      <c r="E1276" s="99" t="s">
        <v>7377</v>
      </c>
      <c r="F1276" s="99">
        <v>0.18</v>
      </c>
      <c r="G1276" s="99" t="s">
        <v>7378</v>
      </c>
      <c r="H1276" s="99" t="s">
        <v>7379</v>
      </c>
      <c r="I1276" s="99" t="s">
        <v>7380</v>
      </c>
      <c r="J1276" s="99" t="s">
        <v>6300</v>
      </c>
      <c r="K1276" s="99" t="s">
        <v>510</v>
      </c>
      <c r="W1276" s="213">
        <v>1276</v>
      </c>
      <c r="X1276" s="214">
        <v>14</v>
      </c>
    </row>
    <row r="1277" spans="1:24" x14ac:dyDescent="0.25">
      <c r="A1277" s="94" t="s">
        <v>2240</v>
      </c>
      <c r="B1277" s="95" t="s">
        <v>6664</v>
      </c>
      <c r="C1277" s="94">
        <v>0</v>
      </c>
      <c r="D1277" s="96" t="s">
        <v>1016</v>
      </c>
      <c r="E1277" s="96" t="s">
        <v>6665</v>
      </c>
      <c r="F1277" s="96">
        <v>0.22800000000000001</v>
      </c>
      <c r="G1277" s="96" t="s">
        <v>6666</v>
      </c>
      <c r="H1277" s="96" t="s">
        <v>6667</v>
      </c>
      <c r="I1277" s="96" t="s">
        <v>4950</v>
      </c>
      <c r="J1277" s="96" t="s">
        <v>3371</v>
      </c>
      <c r="K1277" s="96" t="s">
        <v>510</v>
      </c>
      <c r="W1277" s="213">
        <v>1277</v>
      </c>
      <c r="X1277" s="214">
        <v>14</v>
      </c>
    </row>
    <row r="1278" spans="1:24" x14ac:dyDescent="0.25">
      <c r="A1278" s="97" t="s">
        <v>2240</v>
      </c>
      <c r="B1278" s="131" t="s">
        <v>7985</v>
      </c>
      <c r="C1278" s="97">
        <v>0</v>
      </c>
      <c r="D1278" s="99" t="s">
        <v>2266</v>
      </c>
      <c r="E1278" s="99" t="s">
        <v>2699</v>
      </c>
      <c r="F1278" s="99">
        <v>0.14000000000000001</v>
      </c>
      <c r="G1278" s="99" t="s">
        <v>2700</v>
      </c>
      <c r="H1278" s="99" t="s">
        <v>2701</v>
      </c>
      <c r="I1278" s="99" t="s">
        <v>2702</v>
      </c>
      <c r="J1278" s="99" t="s">
        <v>2703</v>
      </c>
      <c r="K1278" s="99" t="s">
        <v>510</v>
      </c>
      <c r="W1278" s="213">
        <v>1278</v>
      </c>
      <c r="X1278" s="214">
        <v>14</v>
      </c>
    </row>
    <row r="1279" spans="1:24" ht="14.45" customHeight="1" x14ac:dyDescent="0.25">
      <c r="A1279" s="94" t="s">
        <v>2240</v>
      </c>
      <c r="B1279" s="128" t="s">
        <v>7886</v>
      </c>
      <c r="C1279" s="94">
        <v>0</v>
      </c>
      <c r="D1279" s="96" t="s">
        <v>2704</v>
      </c>
      <c r="E1279" s="96" t="s">
        <v>2705</v>
      </c>
      <c r="F1279" s="96">
        <v>0.13</v>
      </c>
      <c r="G1279" s="96" t="s">
        <v>2706</v>
      </c>
      <c r="H1279" s="96" t="s">
        <v>2707</v>
      </c>
      <c r="I1279" s="96" t="s">
        <v>2708</v>
      </c>
      <c r="J1279" s="96" t="s">
        <v>2709</v>
      </c>
      <c r="K1279" s="96" t="s">
        <v>510</v>
      </c>
      <c r="W1279" s="213">
        <v>1279</v>
      </c>
      <c r="X1279" s="214">
        <v>14</v>
      </c>
    </row>
    <row r="1280" spans="1:24" x14ac:dyDescent="0.25">
      <c r="A1280" s="97" t="s">
        <v>2240</v>
      </c>
      <c r="B1280" s="98" t="s">
        <v>4783</v>
      </c>
      <c r="C1280" s="97">
        <v>0</v>
      </c>
      <c r="D1280" s="99" t="s">
        <v>4572</v>
      </c>
      <c r="E1280" s="99" t="s">
        <v>4784</v>
      </c>
      <c r="F1280" s="99">
        <v>0.54500000000000004</v>
      </c>
      <c r="G1280" s="99" t="s">
        <v>4785</v>
      </c>
      <c r="H1280" s="99" t="s">
        <v>4786</v>
      </c>
      <c r="I1280" s="99" t="s">
        <v>4787</v>
      </c>
      <c r="J1280" s="99" t="s">
        <v>4788</v>
      </c>
      <c r="K1280" s="99" t="s">
        <v>510</v>
      </c>
      <c r="W1280" s="213">
        <v>1280</v>
      </c>
      <c r="X1280" s="214">
        <v>14</v>
      </c>
    </row>
    <row r="1281" spans="1:24" x14ac:dyDescent="0.25">
      <c r="A1281" s="94" t="s">
        <v>2240</v>
      </c>
      <c r="B1281" s="130" t="s">
        <v>7986</v>
      </c>
      <c r="C1281" s="94">
        <v>0</v>
      </c>
      <c r="D1281" s="96" t="s">
        <v>7948</v>
      </c>
      <c r="E1281" s="96" t="s">
        <v>2710</v>
      </c>
      <c r="F1281" s="96">
        <v>6.4000000000000001E-2</v>
      </c>
      <c r="G1281" s="96" t="s">
        <v>2711</v>
      </c>
      <c r="H1281" s="96" t="s">
        <v>2712</v>
      </c>
      <c r="I1281" s="96" t="s">
        <v>2713</v>
      </c>
      <c r="J1281" s="96" t="s">
        <v>2714</v>
      </c>
      <c r="K1281" s="96" t="s">
        <v>510</v>
      </c>
      <c r="W1281" s="213">
        <v>1281</v>
      </c>
      <c r="X1281" s="214">
        <v>14</v>
      </c>
    </row>
    <row r="1282" spans="1:24" x14ac:dyDescent="0.25">
      <c r="A1282" s="97" t="s">
        <v>2240</v>
      </c>
      <c r="B1282" s="98" t="s">
        <v>5391</v>
      </c>
      <c r="C1282" s="97">
        <v>0</v>
      </c>
      <c r="D1282" s="99" t="s">
        <v>1210</v>
      </c>
      <c r="E1282" s="99" t="s">
        <v>5392</v>
      </c>
      <c r="F1282" s="99">
        <v>0.13200000000000001</v>
      </c>
      <c r="G1282" s="99" t="s">
        <v>5393</v>
      </c>
      <c r="H1282" s="99" t="s">
        <v>5394</v>
      </c>
      <c r="I1282" s="99" t="s">
        <v>5395</v>
      </c>
      <c r="J1282" s="99" t="s">
        <v>5396</v>
      </c>
      <c r="K1282" s="99" t="s">
        <v>510</v>
      </c>
      <c r="W1282" s="213">
        <v>1282</v>
      </c>
      <c r="X1282" s="214">
        <v>14</v>
      </c>
    </row>
    <row r="1283" spans="1:24" x14ac:dyDescent="0.25">
      <c r="A1283" s="94" t="s">
        <v>2240</v>
      </c>
      <c r="B1283" s="130" t="s">
        <v>7987</v>
      </c>
      <c r="C1283" s="94">
        <v>0</v>
      </c>
      <c r="D1283" s="96" t="s">
        <v>7946</v>
      </c>
      <c r="E1283" s="96" t="s">
        <v>2715</v>
      </c>
      <c r="F1283" s="96">
        <v>0.152</v>
      </c>
      <c r="G1283" s="96" t="s">
        <v>2716</v>
      </c>
      <c r="H1283" s="96" t="s">
        <v>1868</v>
      </c>
      <c r="I1283" s="96" t="s">
        <v>2717</v>
      </c>
      <c r="J1283" s="96" t="s">
        <v>2718</v>
      </c>
      <c r="K1283" s="96" t="s">
        <v>510</v>
      </c>
      <c r="W1283" s="213">
        <v>1283</v>
      </c>
      <c r="X1283" s="214">
        <v>14</v>
      </c>
    </row>
    <row r="1284" spans="1:24" x14ac:dyDescent="0.25">
      <c r="A1284" s="97" t="s">
        <v>2240</v>
      </c>
      <c r="B1284" s="98" t="s">
        <v>5678</v>
      </c>
      <c r="C1284" s="97">
        <v>0</v>
      </c>
      <c r="D1284" s="99" t="s">
        <v>5497</v>
      </c>
      <c r="E1284" s="99" t="s">
        <v>5679</v>
      </c>
      <c r="F1284" s="99">
        <v>0.14599999999999999</v>
      </c>
      <c r="G1284" s="99" t="s">
        <v>5680</v>
      </c>
      <c r="H1284" s="99" t="s">
        <v>5681</v>
      </c>
      <c r="I1284" s="99" t="s">
        <v>5682</v>
      </c>
      <c r="J1284" s="99" t="s">
        <v>5683</v>
      </c>
      <c r="K1284" s="99" t="s">
        <v>510</v>
      </c>
      <c r="W1284" s="213">
        <v>1284</v>
      </c>
      <c r="X1284" s="214">
        <v>14</v>
      </c>
    </row>
    <row r="1285" spans="1:24" x14ac:dyDescent="0.25">
      <c r="A1285" s="71" t="s">
        <v>1966</v>
      </c>
      <c r="B1285" s="73" t="s">
        <v>4003</v>
      </c>
      <c r="C1285" s="71">
        <v>0</v>
      </c>
      <c r="D1285" s="72" t="s">
        <v>158</v>
      </c>
      <c r="E1285" s="72" t="s">
        <v>2719</v>
      </c>
      <c r="F1285" s="72">
        <v>0.58499999999999996</v>
      </c>
      <c r="G1285" s="72" t="s">
        <v>4004</v>
      </c>
      <c r="H1285" s="72" t="s">
        <v>504</v>
      </c>
      <c r="I1285" s="72" t="s">
        <v>4005</v>
      </c>
      <c r="J1285" s="72" t="s">
        <v>4006</v>
      </c>
      <c r="K1285" s="72" t="s">
        <v>510</v>
      </c>
      <c r="W1285" s="213">
        <v>1285</v>
      </c>
      <c r="X1285" s="214">
        <v>10</v>
      </c>
    </row>
    <row r="1286" spans="1:24" x14ac:dyDescent="0.25">
      <c r="A1286" s="97" t="s">
        <v>2240</v>
      </c>
      <c r="B1286" s="131" t="s">
        <v>7928</v>
      </c>
      <c r="C1286" s="97">
        <v>0</v>
      </c>
      <c r="D1286" s="99" t="s">
        <v>7913</v>
      </c>
      <c r="E1286" s="99" t="s">
        <v>2719</v>
      </c>
      <c r="F1286" s="99">
        <v>0.249</v>
      </c>
      <c r="G1286" s="99" t="s">
        <v>2720</v>
      </c>
      <c r="H1286" s="99" t="s">
        <v>2721</v>
      </c>
      <c r="I1286" s="99" t="s">
        <v>2722</v>
      </c>
      <c r="J1286" s="99" t="s">
        <v>2723</v>
      </c>
      <c r="K1286" s="99" t="s">
        <v>510</v>
      </c>
      <c r="W1286" s="213">
        <v>1286</v>
      </c>
      <c r="X1286" s="214">
        <v>14</v>
      </c>
    </row>
    <row r="1287" spans="1:24" x14ac:dyDescent="0.25">
      <c r="A1287" s="94" t="s">
        <v>2240</v>
      </c>
      <c r="B1287" s="95" t="s">
        <v>6412</v>
      </c>
      <c r="C1287" s="94">
        <v>0</v>
      </c>
      <c r="D1287" s="96" t="s">
        <v>3161</v>
      </c>
      <c r="E1287" s="96" t="s">
        <v>6413</v>
      </c>
      <c r="F1287" s="96">
        <v>0.21</v>
      </c>
      <c r="G1287" s="96" t="s">
        <v>6414</v>
      </c>
      <c r="H1287" s="96" t="s">
        <v>6415</v>
      </c>
      <c r="I1287" s="96" t="s">
        <v>6416</v>
      </c>
      <c r="J1287" s="96" t="s">
        <v>6417</v>
      </c>
      <c r="K1287" s="96" t="s">
        <v>510</v>
      </c>
      <c r="W1287" s="213">
        <v>1287</v>
      </c>
      <c r="X1287" s="214">
        <v>14</v>
      </c>
    </row>
    <row r="1288" spans="1:24" x14ac:dyDescent="0.25">
      <c r="A1288" s="97" t="s">
        <v>2240</v>
      </c>
      <c r="B1288" s="131" t="s">
        <v>7988</v>
      </c>
      <c r="C1288" s="97">
        <v>0</v>
      </c>
      <c r="D1288" s="99" t="s">
        <v>2297</v>
      </c>
      <c r="E1288" s="99" t="s">
        <v>2724</v>
      </c>
      <c r="F1288" s="99">
        <v>0.182</v>
      </c>
      <c r="G1288" s="99" t="s">
        <v>2725</v>
      </c>
      <c r="H1288" s="99" t="s">
        <v>2644</v>
      </c>
      <c r="I1288" s="99" t="s">
        <v>2726</v>
      </c>
      <c r="J1288" s="99" t="s">
        <v>2727</v>
      </c>
      <c r="K1288" s="99" t="s">
        <v>510</v>
      </c>
      <c r="W1288" s="213">
        <v>1288</v>
      </c>
      <c r="X1288" s="214">
        <v>14</v>
      </c>
    </row>
    <row r="1289" spans="1:24" x14ac:dyDescent="0.25">
      <c r="A1289" s="94" t="s">
        <v>2240</v>
      </c>
      <c r="B1289" s="95" t="s">
        <v>5137</v>
      </c>
      <c r="C1289" s="94">
        <v>0</v>
      </c>
      <c r="D1289" s="96" t="s">
        <v>4603</v>
      </c>
      <c r="E1289" s="96" t="s">
        <v>5138</v>
      </c>
      <c r="F1289" s="96">
        <v>0.14299999999999999</v>
      </c>
      <c r="G1289" s="96" t="s">
        <v>5139</v>
      </c>
      <c r="H1289" s="96" t="s">
        <v>5140</v>
      </c>
      <c r="I1289" s="96" t="s">
        <v>5141</v>
      </c>
      <c r="J1289" s="96" t="s">
        <v>5142</v>
      </c>
      <c r="K1289" s="96" t="s">
        <v>510</v>
      </c>
      <c r="W1289" s="213">
        <v>1289</v>
      </c>
      <c r="X1289" s="214">
        <v>14</v>
      </c>
    </row>
    <row r="1290" spans="1:24" x14ac:dyDescent="0.25">
      <c r="A1290" s="97" t="s">
        <v>2240</v>
      </c>
      <c r="B1290" s="98" t="s">
        <v>4634</v>
      </c>
      <c r="C1290" s="97">
        <v>0</v>
      </c>
      <c r="D1290" s="99" t="s">
        <v>3124</v>
      </c>
      <c r="E1290" s="99" t="s">
        <v>4635</v>
      </c>
      <c r="F1290" s="99">
        <v>0.193</v>
      </c>
      <c r="G1290" s="99" t="s">
        <v>4636</v>
      </c>
      <c r="H1290" s="99" t="s">
        <v>4637</v>
      </c>
      <c r="I1290" s="99" t="s">
        <v>4638</v>
      </c>
      <c r="J1290" s="99" t="s">
        <v>4639</v>
      </c>
      <c r="K1290" s="99" t="s">
        <v>510</v>
      </c>
      <c r="W1290" s="213">
        <v>1290</v>
      </c>
      <c r="X1290" s="214">
        <v>14</v>
      </c>
    </row>
    <row r="1291" spans="1:24" x14ac:dyDescent="0.25">
      <c r="A1291" s="94" t="s">
        <v>2240</v>
      </c>
      <c r="B1291" s="130" t="s">
        <v>7989</v>
      </c>
      <c r="C1291" s="94">
        <v>0</v>
      </c>
      <c r="D1291" s="96" t="s">
        <v>2547</v>
      </c>
      <c r="E1291" s="96" t="s">
        <v>4700</v>
      </c>
      <c r="F1291" s="96">
        <v>0.09</v>
      </c>
      <c r="G1291" s="96" t="s">
        <v>4658</v>
      </c>
      <c r="H1291" s="96" t="s">
        <v>4701</v>
      </c>
      <c r="I1291" s="96" t="s">
        <v>4702</v>
      </c>
      <c r="J1291" s="96" t="s">
        <v>4703</v>
      </c>
      <c r="K1291" s="96" t="s">
        <v>510</v>
      </c>
      <c r="W1291" s="213">
        <v>1291</v>
      </c>
      <c r="X1291" s="214">
        <v>14</v>
      </c>
    </row>
    <row r="1292" spans="1:24" x14ac:dyDescent="0.25">
      <c r="A1292" s="97" t="s">
        <v>2240</v>
      </c>
      <c r="B1292" s="98" t="s">
        <v>6945</v>
      </c>
      <c r="C1292" s="97">
        <v>0</v>
      </c>
      <c r="D1292" s="99" t="s">
        <v>3286</v>
      </c>
      <c r="E1292" s="99" t="s">
        <v>6946</v>
      </c>
      <c r="F1292" s="99">
        <v>0.246</v>
      </c>
      <c r="G1292" s="99" t="s">
        <v>6947</v>
      </c>
      <c r="H1292" s="99" t="s">
        <v>6948</v>
      </c>
      <c r="I1292" s="99" t="s">
        <v>6949</v>
      </c>
      <c r="J1292" s="99" t="s">
        <v>6950</v>
      </c>
      <c r="K1292" s="99" t="s">
        <v>510</v>
      </c>
      <c r="W1292" s="213">
        <v>1292</v>
      </c>
      <c r="X1292" s="214">
        <v>14</v>
      </c>
    </row>
    <row r="1293" spans="1:24" x14ac:dyDescent="0.25">
      <c r="A1293" s="94" t="s">
        <v>2240</v>
      </c>
      <c r="B1293" s="95" t="s">
        <v>7040</v>
      </c>
      <c r="C1293" s="94">
        <v>0</v>
      </c>
      <c r="D1293" s="96" t="s">
        <v>1318</v>
      </c>
      <c r="E1293" s="96" t="s">
        <v>6946</v>
      </c>
      <c r="F1293" s="96">
        <v>0.252</v>
      </c>
      <c r="G1293" s="96" t="s">
        <v>7041</v>
      </c>
      <c r="H1293" s="96" t="s">
        <v>2461</v>
      </c>
      <c r="I1293" s="96" t="s">
        <v>7042</v>
      </c>
      <c r="J1293" s="96" t="s">
        <v>7043</v>
      </c>
      <c r="K1293" s="96" t="s">
        <v>510</v>
      </c>
      <c r="W1293" s="213">
        <v>1293</v>
      </c>
      <c r="X1293" s="214">
        <v>14</v>
      </c>
    </row>
    <row r="1294" spans="1:24" x14ac:dyDescent="0.25">
      <c r="A1294" s="97" t="s">
        <v>2240</v>
      </c>
      <c r="B1294" s="98" t="s">
        <v>7434</v>
      </c>
      <c r="C1294" s="97">
        <v>0</v>
      </c>
      <c r="D1294" s="99" t="s">
        <v>674</v>
      </c>
      <c r="E1294" s="99" t="s">
        <v>7435</v>
      </c>
      <c r="F1294" s="99">
        <v>0.28999999999999998</v>
      </c>
      <c r="G1294" s="99" t="s">
        <v>4418</v>
      </c>
      <c r="H1294" s="99" t="s">
        <v>7436</v>
      </c>
      <c r="I1294" s="99" t="s">
        <v>7437</v>
      </c>
      <c r="J1294" s="99" t="s">
        <v>4966</v>
      </c>
      <c r="K1294" s="99" t="s">
        <v>510</v>
      </c>
      <c r="W1294" s="213">
        <v>1294</v>
      </c>
      <c r="X1294" s="214">
        <v>14</v>
      </c>
    </row>
    <row r="1295" spans="1:24" x14ac:dyDescent="0.25">
      <c r="A1295" s="94" t="s">
        <v>2240</v>
      </c>
      <c r="B1295" s="130" t="s">
        <v>8019</v>
      </c>
      <c r="C1295" s="94">
        <v>1</v>
      </c>
      <c r="D1295" s="96" t="s">
        <v>5215</v>
      </c>
      <c r="E1295" s="96" t="s">
        <v>5216</v>
      </c>
      <c r="F1295" s="96">
        <v>0.37</v>
      </c>
      <c r="G1295" s="96" t="s">
        <v>5217</v>
      </c>
      <c r="H1295" s="96" t="s">
        <v>5218</v>
      </c>
      <c r="I1295" s="96" t="s">
        <v>5219</v>
      </c>
      <c r="J1295" s="96" t="s">
        <v>5220</v>
      </c>
      <c r="K1295" s="96" t="s">
        <v>9567</v>
      </c>
      <c r="W1295" s="213">
        <v>1295</v>
      </c>
      <c r="X1295" s="214">
        <v>14</v>
      </c>
    </row>
    <row r="1296" spans="1:24" ht="14.45" customHeight="1" x14ac:dyDescent="0.25">
      <c r="A1296" s="99" t="s">
        <v>0</v>
      </c>
      <c r="B1296" s="97" t="s">
        <v>32</v>
      </c>
      <c r="C1296" s="131" t="s">
        <v>5221</v>
      </c>
      <c r="D1296" s="99" t="s">
        <v>680</v>
      </c>
      <c r="E1296" s="99" t="s">
        <v>5222</v>
      </c>
      <c r="F1296" s="99" t="s">
        <v>510</v>
      </c>
      <c r="G1296" s="99" t="s">
        <v>510</v>
      </c>
      <c r="H1296" s="99"/>
      <c r="I1296" s="99"/>
      <c r="J1296" s="99"/>
      <c r="K1296" s="99" t="s">
        <v>510</v>
      </c>
      <c r="W1296" s="213">
        <v>1296</v>
      </c>
      <c r="X1296" s="214">
        <v>14</v>
      </c>
    </row>
    <row r="1297" spans="1:24" x14ac:dyDescent="0.25">
      <c r="A1297" s="94" t="s">
        <v>2240</v>
      </c>
      <c r="B1297" s="95" t="s">
        <v>4752</v>
      </c>
      <c r="C1297" s="94">
        <v>0</v>
      </c>
      <c r="D1297" s="96" t="s">
        <v>4718</v>
      </c>
      <c r="E1297" s="96" t="s">
        <v>4753</v>
      </c>
      <c r="F1297" s="96">
        <v>7.0999999999999994E-2</v>
      </c>
      <c r="G1297" s="96" t="s">
        <v>4754</v>
      </c>
      <c r="H1297" s="96" t="s">
        <v>4755</v>
      </c>
      <c r="I1297" s="96" t="s">
        <v>4756</v>
      </c>
      <c r="J1297" s="96" t="s">
        <v>4757</v>
      </c>
      <c r="K1297" s="96" t="s">
        <v>510</v>
      </c>
      <c r="W1297" s="213">
        <v>1297</v>
      </c>
      <c r="X1297" s="214">
        <v>14</v>
      </c>
    </row>
    <row r="1298" spans="1:24" x14ac:dyDescent="0.25">
      <c r="A1298" s="97" t="s">
        <v>2240</v>
      </c>
      <c r="B1298" s="98" t="s">
        <v>7335</v>
      </c>
      <c r="C1298" s="97">
        <v>0</v>
      </c>
      <c r="D1298" s="99" t="s">
        <v>261</v>
      </c>
      <c r="E1298" s="99" t="s">
        <v>7336</v>
      </c>
      <c r="F1298" s="99">
        <v>0.217</v>
      </c>
      <c r="G1298" s="99" t="s">
        <v>4599</v>
      </c>
      <c r="H1298" s="99" t="s">
        <v>7337</v>
      </c>
      <c r="I1298" s="99" t="s">
        <v>7338</v>
      </c>
      <c r="J1298" s="99" t="s">
        <v>7339</v>
      </c>
      <c r="K1298" s="99" t="s">
        <v>510</v>
      </c>
      <c r="W1298" s="213">
        <v>1298</v>
      </c>
      <c r="X1298" s="214">
        <v>14</v>
      </c>
    </row>
    <row r="1299" spans="1:24" x14ac:dyDescent="0.25">
      <c r="A1299" s="94" t="s">
        <v>2240</v>
      </c>
      <c r="B1299" s="130" t="s">
        <v>7990</v>
      </c>
      <c r="C1299" s="94">
        <v>0</v>
      </c>
      <c r="D1299" s="96" t="s">
        <v>7949</v>
      </c>
      <c r="E1299" s="96" t="s">
        <v>4293</v>
      </c>
      <c r="F1299" s="96">
        <v>6.9000000000000006E-2</v>
      </c>
      <c r="G1299" s="96" t="s">
        <v>4294</v>
      </c>
      <c r="H1299" s="96" t="s">
        <v>4295</v>
      </c>
      <c r="I1299" s="96" t="s">
        <v>4296</v>
      </c>
      <c r="J1299" s="96" t="s">
        <v>4297</v>
      </c>
      <c r="K1299" s="96" t="s">
        <v>510</v>
      </c>
      <c r="W1299" s="213">
        <v>1299</v>
      </c>
      <c r="X1299" s="214">
        <v>14</v>
      </c>
    </row>
    <row r="1300" spans="1:24" x14ac:dyDescent="0.25">
      <c r="A1300" s="97" t="s">
        <v>2240</v>
      </c>
      <c r="B1300" s="98" t="s">
        <v>5942</v>
      </c>
      <c r="C1300" s="97">
        <v>0</v>
      </c>
      <c r="D1300" s="99" t="s">
        <v>3286</v>
      </c>
      <c r="E1300" s="99" t="s">
        <v>5943</v>
      </c>
      <c r="F1300" s="99">
        <v>0.27800000000000002</v>
      </c>
      <c r="G1300" s="99" t="s">
        <v>5944</v>
      </c>
      <c r="H1300" s="99" t="s">
        <v>5945</v>
      </c>
      <c r="I1300" s="99" t="s">
        <v>5946</v>
      </c>
      <c r="J1300" s="99" t="s">
        <v>5947</v>
      </c>
      <c r="K1300" s="99" t="s">
        <v>510</v>
      </c>
      <c r="W1300" s="213">
        <v>1300</v>
      </c>
      <c r="X1300" s="214">
        <v>14</v>
      </c>
    </row>
    <row r="1301" spans="1:24" x14ac:dyDescent="0.25">
      <c r="A1301" s="94" t="s">
        <v>2240</v>
      </c>
      <c r="B1301" s="95" t="s">
        <v>4358</v>
      </c>
      <c r="C1301" s="94">
        <v>0</v>
      </c>
      <c r="D1301" s="96" t="s">
        <v>4276</v>
      </c>
      <c r="E1301" s="96" t="s">
        <v>4359</v>
      </c>
      <c r="F1301" s="96">
        <v>0.21299999999999999</v>
      </c>
      <c r="G1301" s="96" t="s">
        <v>4360</v>
      </c>
      <c r="H1301" s="96" t="s">
        <v>4361</v>
      </c>
      <c r="I1301" s="96" t="s">
        <v>4362</v>
      </c>
      <c r="J1301" s="96" t="s">
        <v>4363</v>
      </c>
      <c r="K1301" s="96" t="s">
        <v>510</v>
      </c>
      <c r="W1301" s="213">
        <v>1301</v>
      </c>
      <c r="X1301" s="214">
        <v>14</v>
      </c>
    </row>
    <row r="1302" spans="1:24" x14ac:dyDescent="0.25">
      <c r="A1302" s="97" t="s">
        <v>2240</v>
      </c>
      <c r="B1302" s="98" t="s">
        <v>6373</v>
      </c>
      <c r="C1302" s="97">
        <v>0</v>
      </c>
      <c r="D1302" s="99" t="s">
        <v>3403</v>
      </c>
      <c r="E1302" s="99" t="s">
        <v>6374</v>
      </c>
      <c r="F1302" s="99">
        <v>0.14799999999999999</v>
      </c>
      <c r="G1302" s="99" t="s">
        <v>6375</v>
      </c>
      <c r="H1302" s="99" t="s">
        <v>6376</v>
      </c>
      <c r="I1302" s="99" t="s">
        <v>6377</v>
      </c>
      <c r="J1302" s="99" t="s">
        <v>6378</v>
      </c>
      <c r="K1302" s="99" t="s">
        <v>510</v>
      </c>
      <c r="W1302" s="213">
        <v>1302</v>
      </c>
      <c r="X1302" s="214">
        <v>14</v>
      </c>
    </row>
    <row r="1303" spans="1:24" x14ac:dyDescent="0.25">
      <c r="A1303" s="94" t="s">
        <v>2240</v>
      </c>
      <c r="B1303" s="95" t="s">
        <v>5883</v>
      </c>
      <c r="C1303" s="94">
        <v>0</v>
      </c>
      <c r="D1303" s="96" t="s">
        <v>2094</v>
      </c>
      <c r="E1303" s="96" t="s">
        <v>5884</v>
      </c>
      <c r="F1303" s="96">
        <v>0.108</v>
      </c>
      <c r="G1303" s="96" t="s">
        <v>5885</v>
      </c>
      <c r="H1303" s="96" t="s">
        <v>5886</v>
      </c>
      <c r="I1303" s="96" t="s">
        <v>5887</v>
      </c>
      <c r="J1303" s="96" t="s">
        <v>5888</v>
      </c>
      <c r="K1303" s="96" t="s">
        <v>510</v>
      </c>
      <c r="W1303" s="213">
        <v>1303</v>
      </c>
      <c r="X1303" s="214">
        <v>14</v>
      </c>
    </row>
    <row r="1304" spans="1:24" x14ac:dyDescent="0.25">
      <c r="A1304" s="67" t="s">
        <v>1966</v>
      </c>
      <c r="B1304" s="69" t="s">
        <v>3592</v>
      </c>
      <c r="C1304" s="67">
        <v>0</v>
      </c>
      <c r="D1304" s="68" t="s">
        <v>3415</v>
      </c>
      <c r="E1304" s="68" t="s">
        <v>3593</v>
      </c>
      <c r="F1304" s="68">
        <v>0.57199999999999995</v>
      </c>
      <c r="G1304" s="68" t="s">
        <v>3594</v>
      </c>
      <c r="H1304" s="68" t="s">
        <v>3595</v>
      </c>
      <c r="I1304" s="68" t="s">
        <v>3596</v>
      </c>
      <c r="J1304" s="68" t="s">
        <v>3597</v>
      </c>
      <c r="K1304" s="68" t="s">
        <v>510</v>
      </c>
      <c r="W1304" s="213">
        <v>1304</v>
      </c>
      <c r="X1304" s="214">
        <v>10</v>
      </c>
    </row>
    <row r="1305" spans="1:24" x14ac:dyDescent="0.25">
      <c r="A1305" s="94" t="s">
        <v>2240</v>
      </c>
      <c r="B1305" s="95" t="s">
        <v>6867</v>
      </c>
      <c r="C1305" s="94">
        <v>0</v>
      </c>
      <c r="D1305" s="96" t="s">
        <v>198</v>
      </c>
      <c r="E1305" s="96" t="s">
        <v>6868</v>
      </c>
      <c r="F1305" s="96">
        <v>0.16800000000000001</v>
      </c>
      <c r="G1305" s="96" t="s">
        <v>6423</v>
      </c>
      <c r="H1305" s="96" t="s">
        <v>6869</v>
      </c>
      <c r="I1305" s="96" t="s">
        <v>6870</v>
      </c>
      <c r="J1305" s="96" t="s">
        <v>6871</v>
      </c>
      <c r="K1305" s="96" t="s">
        <v>510</v>
      </c>
      <c r="W1305" s="213">
        <v>1305</v>
      </c>
      <c r="X1305" s="214">
        <v>14</v>
      </c>
    </row>
    <row r="1306" spans="1:24" x14ac:dyDescent="0.25">
      <c r="A1306" s="67" t="s">
        <v>1966</v>
      </c>
      <c r="B1306" s="69" t="s">
        <v>3274</v>
      </c>
      <c r="C1306" s="67">
        <v>0</v>
      </c>
      <c r="D1306" s="68" t="s">
        <v>219</v>
      </c>
      <c r="E1306" s="68" t="s">
        <v>3275</v>
      </c>
      <c r="F1306" s="68">
        <v>3.4000000000000002E-2</v>
      </c>
      <c r="G1306" s="68" t="s">
        <v>3276</v>
      </c>
      <c r="H1306" s="68" t="s">
        <v>3277</v>
      </c>
      <c r="I1306" s="68" t="s">
        <v>3278</v>
      </c>
      <c r="J1306" s="68" t="s">
        <v>3279</v>
      </c>
      <c r="K1306" s="68" t="s">
        <v>510</v>
      </c>
      <c r="W1306" s="213">
        <v>1306</v>
      </c>
      <c r="X1306" s="214">
        <v>10</v>
      </c>
    </row>
    <row r="1307" spans="1:24" x14ac:dyDescent="0.25">
      <c r="A1307" s="94" t="s">
        <v>2240</v>
      </c>
      <c r="B1307" s="130" t="s">
        <v>8018</v>
      </c>
      <c r="C1307" s="94">
        <v>1</v>
      </c>
      <c r="D1307" s="96" t="s">
        <v>339</v>
      </c>
      <c r="E1307" s="96" t="s">
        <v>6159</v>
      </c>
      <c r="F1307" s="96">
        <v>0.214</v>
      </c>
      <c r="G1307" s="96" t="s">
        <v>6160</v>
      </c>
      <c r="H1307" s="96" t="s">
        <v>6161</v>
      </c>
      <c r="I1307" s="96" t="s">
        <v>6162</v>
      </c>
      <c r="J1307" s="96" t="s">
        <v>6163</v>
      </c>
      <c r="K1307" s="96" t="s">
        <v>510</v>
      </c>
      <c r="W1307" s="213">
        <v>1307</v>
      </c>
      <c r="X1307" s="214">
        <v>14</v>
      </c>
    </row>
    <row r="1308" spans="1:24" ht="14.45" customHeight="1" x14ac:dyDescent="0.25">
      <c r="A1308" s="99" t="s">
        <v>0</v>
      </c>
      <c r="B1308" s="97" t="s">
        <v>32</v>
      </c>
      <c r="C1308" s="131" t="s">
        <v>6164</v>
      </c>
      <c r="D1308" s="99" t="s">
        <v>319</v>
      </c>
      <c r="E1308" s="99" t="s">
        <v>6165</v>
      </c>
      <c r="F1308" s="99" t="s">
        <v>510</v>
      </c>
      <c r="G1308" s="99" t="s">
        <v>510</v>
      </c>
      <c r="H1308" s="99"/>
      <c r="I1308" s="99"/>
      <c r="J1308" s="99"/>
      <c r="K1308" s="99" t="s">
        <v>510</v>
      </c>
      <c r="W1308" s="213">
        <v>1308</v>
      </c>
      <c r="X1308" s="214">
        <v>14</v>
      </c>
    </row>
    <row r="1309" spans="1:24" x14ac:dyDescent="0.25">
      <c r="A1309" s="94" t="s">
        <v>2240</v>
      </c>
      <c r="B1309" s="95" t="s">
        <v>8426</v>
      </c>
      <c r="C1309" s="94">
        <v>0</v>
      </c>
      <c r="D1309" s="96" t="s">
        <v>3031</v>
      </c>
      <c r="E1309" s="96" t="s">
        <v>2728</v>
      </c>
      <c r="F1309" s="96">
        <v>0.19600000000000001</v>
      </c>
      <c r="G1309" s="96" t="s">
        <v>2729</v>
      </c>
      <c r="H1309" s="96" t="s">
        <v>2730</v>
      </c>
      <c r="I1309" s="96" t="s">
        <v>2731</v>
      </c>
      <c r="J1309" s="96" t="s">
        <v>2732</v>
      </c>
      <c r="K1309" s="96" t="s">
        <v>510</v>
      </c>
      <c r="W1309" s="213">
        <v>1309</v>
      </c>
      <c r="X1309" s="214">
        <v>14</v>
      </c>
    </row>
    <row r="1310" spans="1:24" x14ac:dyDescent="0.25">
      <c r="A1310" s="97" t="s">
        <v>2240</v>
      </c>
      <c r="B1310" s="98" t="s">
        <v>4914</v>
      </c>
      <c r="C1310" s="97">
        <v>0</v>
      </c>
      <c r="D1310" s="99" t="s">
        <v>1960</v>
      </c>
      <c r="E1310" s="99" t="s">
        <v>4915</v>
      </c>
      <c r="F1310" s="99">
        <v>0.254</v>
      </c>
      <c r="G1310" s="99" t="s">
        <v>4916</v>
      </c>
      <c r="H1310" s="99" t="s">
        <v>4917</v>
      </c>
      <c r="I1310" s="99" t="s">
        <v>915</v>
      </c>
      <c r="J1310" s="99" t="s">
        <v>48</v>
      </c>
      <c r="K1310" s="99" t="s">
        <v>510</v>
      </c>
      <c r="W1310" s="213">
        <v>1310</v>
      </c>
      <c r="X1310" s="214">
        <v>14</v>
      </c>
    </row>
    <row r="1311" spans="1:24" x14ac:dyDescent="0.25">
      <c r="A1311" s="94" t="s">
        <v>2240</v>
      </c>
      <c r="B1311" s="95" t="s">
        <v>7027</v>
      </c>
      <c r="C1311" s="94">
        <v>0</v>
      </c>
      <c r="D1311" s="96" t="s">
        <v>3286</v>
      </c>
      <c r="E1311" s="96" t="s">
        <v>7028</v>
      </c>
      <c r="F1311" s="96">
        <v>2.4E-2</v>
      </c>
      <c r="G1311" s="96" t="s">
        <v>5377</v>
      </c>
      <c r="H1311" s="96" t="s">
        <v>4638</v>
      </c>
      <c r="I1311" s="96" t="s">
        <v>7029</v>
      </c>
      <c r="J1311" s="96" t="s">
        <v>7030</v>
      </c>
      <c r="K1311" s="96" t="s">
        <v>510</v>
      </c>
      <c r="W1311" s="213">
        <v>1311</v>
      </c>
      <c r="X1311" s="214">
        <v>14</v>
      </c>
    </row>
    <row r="1312" spans="1:24" x14ac:dyDescent="0.25">
      <c r="A1312" s="97" t="s">
        <v>2240</v>
      </c>
      <c r="B1312" s="131" t="s">
        <v>7991</v>
      </c>
      <c r="C1312" s="97">
        <v>0</v>
      </c>
      <c r="D1312" s="99" t="s">
        <v>1092</v>
      </c>
      <c r="E1312" s="99" t="s">
        <v>2734</v>
      </c>
      <c r="F1312" s="99">
        <v>0.17899999999999999</v>
      </c>
      <c r="G1312" s="99" t="s">
        <v>2735</v>
      </c>
      <c r="H1312" s="99" t="s">
        <v>2736</v>
      </c>
      <c r="I1312" s="99" t="s">
        <v>2737</v>
      </c>
      <c r="J1312" s="99" t="s">
        <v>2738</v>
      </c>
      <c r="K1312" s="99" t="s">
        <v>510</v>
      </c>
      <c r="W1312" s="213">
        <v>1312</v>
      </c>
      <c r="X1312" s="214">
        <v>14</v>
      </c>
    </row>
    <row r="1313" spans="1:24" ht="15" customHeight="1" x14ac:dyDescent="0.25">
      <c r="A1313" s="94" t="s">
        <v>2240</v>
      </c>
      <c r="B1313" s="95" t="s">
        <v>7370</v>
      </c>
      <c r="C1313" s="94">
        <v>0</v>
      </c>
      <c r="D1313" s="96" t="s">
        <v>3415</v>
      </c>
      <c r="E1313" s="96" t="s">
        <v>7371</v>
      </c>
      <c r="F1313" s="96">
        <v>0.22600000000000001</v>
      </c>
      <c r="G1313" s="96" t="s">
        <v>7372</v>
      </c>
      <c r="H1313" s="96" t="s">
        <v>7373</v>
      </c>
      <c r="I1313" s="96" t="s">
        <v>7374</v>
      </c>
      <c r="J1313" s="96" t="s">
        <v>7375</v>
      </c>
      <c r="K1313" s="96" t="s">
        <v>510</v>
      </c>
      <c r="W1313" s="213">
        <v>1313</v>
      </c>
      <c r="X1313" s="214">
        <v>14</v>
      </c>
    </row>
    <row r="1314" spans="1:24" x14ac:dyDescent="0.25">
      <c r="A1314" s="97" t="s">
        <v>2240</v>
      </c>
      <c r="B1314" s="98" t="s">
        <v>6928</v>
      </c>
      <c r="C1314" s="97">
        <v>0</v>
      </c>
      <c r="D1314" s="99" t="s">
        <v>2152</v>
      </c>
      <c r="E1314" s="99" t="s">
        <v>6929</v>
      </c>
      <c r="F1314" s="99">
        <v>0.187</v>
      </c>
      <c r="G1314" s="99" t="s">
        <v>6930</v>
      </c>
      <c r="H1314" s="99" t="s">
        <v>6931</v>
      </c>
      <c r="I1314" s="99" t="s">
        <v>6932</v>
      </c>
      <c r="J1314" s="99" t="s">
        <v>6933</v>
      </c>
      <c r="K1314" s="99" t="s">
        <v>510</v>
      </c>
      <c r="W1314" s="213">
        <v>1314</v>
      </c>
      <c r="X1314" s="214">
        <v>14</v>
      </c>
    </row>
    <row r="1315" spans="1:24" x14ac:dyDescent="0.25">
      <c r="A1315" s="94" t="s">
        <v>2240</v>
      </c>
      <c r="B1315" s="130" t="s">
        <v>7929</v>
      </c>
      <c r="C1315" s="94">
        <v>0</v>
      </c>
      <c r="D1315" s="96" t="s">
        <v>2252</v>
      </c>
      <c r="E1315" s="96" t="s">
        <v>2739</v>
      </c>
      <c r="F1315" s="96">
        <v>0.158</v>
      </c>
      <c r="G1315" s="96" t="s">
        <v>2740</v>
      </c>
      <c r="H1315" s="96" t="s">
        <v>2741</v>
      </c>
      <c r="I1315" s="96" t="s">
        <v>2742</v>
      </c>
      <c r="J1315" s="96" t="s">
        <v>2743</v>
      </c>
      <c r="K1315" s="96" t="s">
        <v>510</v>
      </c>
      <c r="W1315" s="213">
        <v>1315</v>
      </c>
      <c r="X1315" s="214">
        <v>14</v>
      </c>
    </row>
    <row r="1316" spans="1:24" x14ac:dyDescent="0.25">
      <c r="A1316" s="97" t="s">
        <v>2240</v>
      </c>
      <c r="B1316" s="98" t="s">
        <v>4764</v>
      </c>
      <c r="C1316" s="97">
        <v>0</v>
      </c>
      <c r="D1316" s="99" t="s">
        <v>4711</v>
      </c>
      <c r="E1316" s="99" t="s">
        <v>4765</v>
      </c>
      <c r="F1316" s="99">
        <v>0.107</v>
      </c>
      <c r="G1316" s="99" t="s">
        <v>4766</v>
      </c>
      <c r="H1316" s="99" t="s">
        <v>3341</v>
      </c>
      <c r="I1316" s="99" t="s">
        <v>4767</v>
      </c>
      <c r="J1316" s="99" t="s">
        <v>4768</v>
      </c>
      <c r="K1316" s="99" t="s">
        <v>510</v>
      </c>
      <c r="W1316" s="213">
        <v>1316</v>
      </c>
      <c r="X1316" s="214">
        <v>14</v>
      </c>
    </row>
    <row r="1317" spans="1:24" x14ac:dyDescent="0.25">
      <c r="A1317" s="94" t="s">
        <v>2240</v>
      </c>
      <c r="B1317" s="95" t="s">
        <v>4270</v>
      </c>
      <c r="C1317" s="94">
        <v>0</v>
      </c>
      <c r="D1317" s="96" t="s">
        <v>2529</v>
      </c>
      <c r="E1317" s="96" t="s">
        <v>4271</v>
      </c>
      <c r="F1317" s="96">
        <v>0.309</v>
      </c>
      <c r="G1317" s="96" t="s">
        <v>3509</v>
      </c>
      <c r="H1317" s="96" t="s">
        <v>4272</v>
      </c>
      <c r="I1317" s="96" t="s">
        <v>4273</v>
      </c>
      <c r="J1317" s="96" t="s">
        <v>4274</v>
      </c>
      <c r="K1317" s="96" t="s">
        <v>510</v>
      </c>
      <c r="W1317" s="213">
        <v>1317</v>
      </c>
      <c r="X1317" s="214">
        <v>14</v>
      </c>
    </row>
    <row r="1318" spans="1:24" x14ac:dyDescent="0.25">
      <c r="A1318" s="97" t="s">
        <v>2240</v>
      </c>
      <c r="B1318" s="98" t="s">
        <v>5911</v>
      </c>
      <c r="C1318" s="97">
        <v>0</v>
      </c>
      <c r="D1318" s="99" t="s">
        <v>1960</v>
      </c>
      <c r="E1318" s="99" t="s">
        <v>5912</v>
      </c>
      <c r="F1318" s="99">
        <v>0.26500000000000001</v>
      </c>
      <c r="G1318" s="99" t="s">
        <v>5913</v>
      </c>
      <c r="H1318" s="99" t="s">
        <v>5914</v>
      </c>
      <c r="I1318" s="99" t="s">
        <v>5915</v>
      </c>
      <c r="J1318" s="99" t="s">
        <v>2863</v>
      </c>
      <c r="K1318" s="99" t="s">
        <v>510</v>
      </c>
      <c r="W1318" s="213">
        <v>1318</v>
      </c>
      <c r="X1318" s="214">
        <v>14</v>
      </c>
    </row>
    <row r="1319" spans="1:24" x14ac:dyDescent="0.25">
      <c r="A1319" s="94" t="s">
        <v>2240</v>
      </c>
      <c r="B1319" s="95" t="s">
        <v>4475</v>
      </c>
      <c r="C1319" s="94">
        <v>0</v>
      </c>
      <c r="D1319" s="96" t="s">
        <v>3124</v>
      </c>
      <c r="E1319" s="96" t="s">
        <v>4477</v>
      </c>
      <c r="F1319" s="96">
        <v>6.5000000000000002E-2</v>
      </c>
      <c r="G1319" s="96" t="s">
        <v>4478</v>
      </c>
      <c r="H1319" s="96" t="s">
        <v>4479</v>
      </c>
      <c r="I1319" s="96" t="s">
        <v>4480</v>
      </c>
      <c r="J1319" s="96" t="s">
        <v>4481</v>
      </c>
      <c r="K1319" s="96" t="s">
        <v>510</v>
      </c>
      <c r="W1319" s="213">
        <v>1319</v>
      </c>
      <c r="X1319" s="214">
        <v>14</v>
      </c>
    </row>
    <row r="1320" spans="1:24" x14ac:dyDescent="0.25">
      <c r="A1320" s="97" t="s">
        <v>2240</v>
      </c>
      <c r="B1320" s="98" t="s">
        <v>6424</v>
      </c>
      <c r="C1320" s="97">
        <v>0</v>
      </c>
      <c r="D1320" s="99" t="s">
        <v>1016</v>
      </c>
      <c r="E1320" s="99" t="s">
        <v>6425</v>
      </c>
      <c r="F1320" s="99">
        <v>0.33500000000000002</v>
      </c>
      <c r="G1320" s="99" t="s">
        <v>6426</v>
      </c>
      <c r="H1320" s="99" t="s">
        <v>6427</v>
      </c>
      <c r="I1320" s="99" t="s">
        <v>6428</v>
      </c>
      <c r="J1320" s="99" t="s">
        <v>6429</v>
      </c>
      <c r="K1320" s="99" t="s">
        <v>510</v>
      </c>
      <c r="W1320" s="213">
        <v>1320</v>
      </c>
      <c r="X1320" s="214">
        <v>14</v>
      </c>
    </row>
    <row r="1321" spans="1:24" x14ac:dyDescent="0.25">
      <c r="A1321" s="94" t="s">
        <v>2240</v>
      </c>
      <c r="B1321" s="130" t="s">
        <v>8015</v>
      </c>
      <c r="C1321" s="94">
        <v>1</v>
      </c>
      <c r="D1321" s="96" t="s">
        <v>2744</v>
      </c>
      <c r="E1321" s="96" t="s">
        <v>2745</v>
      </c>
      <c r="F1321" s="96">
        <v>0.26500000000000001</v>
      </c>
      <c r="G1321" s="96" t="s">
        <v>2746</v>
      </c>
      <c r="H1321" s="96" t="s">
        <v>2747</v>
      </c>
      <c r="I1321" s="96" t="s">
        <v>2748</v>
      </c>
      <c r="J1321" s="96" t="s">
        <v>2749</v>
      </c>
      <c r="K1321" s="96" t="s">
        <v>9568</v>
      </c>
      <c r="W1321" s="213">
        <v>1321</v>
      </c>
      <c r="X1321" s="214">
        <v>14</v>
      </c>
    </row>
    <row r="1322" spans="1:24" ht="14.45" customHeight="1" x14ac:dyDescent="0.25">
      <c r="A1322" s="99" t="s">
        <v>0</v>
      </c>
      <c r="B1322" s="97" t="s">
        <v>32</v>
      </c>
      <c r="C1322" s="131" t="s">
        <v>2750</v>
      </c>
      <c r="D1322" s="99" t="s">
        <v>205</v>
      </c>
      <c r="E1322" s="99" t="s">
        <v>2751</v>
      </c>
      <c r="F1322" s="99">
        <v>0.21</v>
      </c>
      <c r="G1322" s="99" t="s">
        <v>510</v>
      </c>
      <c r="H1322" s="109"/>
      <c r="I1322" s="109"/>
      <c r="J1322" s="109"/>
      <c r="K1322" s="99" t="s">
        <v>510</v>
      </c>
      <c r="W1322" s="213">
        <v>1322</v>
      </c>
      <c r="X1322" s="214">
        <v>14</v>
      </c>
    </row>
    <row r="1323" spans="1:24" x14ac:dyDescent="0.25">
      <c r="A1323" s="94" t="s">
        <v>2240</v>
      </c>
      <c r="B1323" s="95" t="s">
        <v>4961</v>
      </c>
      <c r="C1323" s="94">
        <v>0</v>
      </c>
      <c r="D1323" s="96" t="s">
        <v>4258</v>
      </c>
      <c r="E1323" s="96" t="s">
        <v>4962</v>
      </c>
      <c r="F1323" s="96">
        <v>0.16600000000000001</v>
      </c>
      <c r="G1323" s="96" t="s">
        <v>4963</v>
      </c>
      <c r="H1323" s="96" t="s">
        <v>4964</v>
      </c>
      <c r="I1323" s="96" t="s">
        <v>4965</v>
      </c>
      <c r="J1323" s="96" t="s">
        <v>4966</v>
      </c>
      <c r="K1323" s="96" t="s">
        <v>510</v>
      </c>
      <c r="W1323" s="213">
        <v>1323</v>
      </c>
      <c r="X1323" s="214">
        <v>14</v>
      </c>
    </row>
    <row r="1324" spans="1:24" x14ac:dyDescent="0.25">
      <c r="A1324" s="97" t="s">
        <v>2240</v>
      </c>
      <c r="B1324" s="98" t="s">
        <v>6126</v>
      </c>
      <c r="C1324" s="97">
        <v>0</v>
      </c>
      <c r="D1324" s="99" t="s">
        <v>3161</v>
      </c>
      <c r="E1324" s="99" t="s">
        <v>4014</v>
      </c>
      <c r="F1324" s="99">
        <v>0.23</v>
      </c>
      <c r="G1324" s="99" t="s">
        <v>6127</v>
      </c>
      <c r="H1324" s="99" t="s">
        <v>6128</v>
      </c>
      <c r="I1324" s="99" t="s">
        <v>6129</v>
      </c>
      <c r="J1324" s="99" t="s">
        <v>6130</v>
      </c>
      <c r="K1324" s="99" t="s">
        <v>510</v>
      </c>
      <c r="W1324" s="213">
        <v>1324</v>
      </c>
      <c r="X1324" s="214">
        <v>14</v>
      </c>
    </row>
    <row r="1325" spans="1:24" x14ac:dyDescent="0.25">
      <c r="A1325" s="71" t="s">
        <v>1966</v>
      </c>
      <c r="B1325" s="73" t="s">
        <v>4013</v>
      </c>
      <c r="C1325" s="71">
        <v>0</v>
      </c>
      <c r="D1325" s="72" t="s">
        <v>286</v>
      </c>
      <c r="E1325" s="72" t="s">
        <v>4014</v>
      </c>
      <c r="F1325" s="72">
        <v>0.4</v>
      </c>
      <c r="G1325" s="72" t="s">
        <v>632</v>
      </c>
      <c r="H1325" s="72" t="s">
        <v>4015</v>
      </c>
      <c r="I1325" s="72" t="s">
        <v>4016</v>
      </c>
      <c r="J1325" s="72" t="s">
        <v>4017</v>
      </c>
      <c r="K1325" s="72" t="s">
        <v>510</v>
      </c>
      <c r="W1325" s="213">
        <v>1325</v>
      </c>
      <c r="X1325" s="214">
        <v>10</v>
      </c>
    </row>
    <row r="1326" spans="1:24" x14ac:dyDescent="0.25">
      <c r="A1326" s="67" t="s">
        <v>1966</v>
      </c>
      <c r="B1326" s="69" t="s">
        <v>4007</v>
      </c>
      <c r="C1326" s="67">
        <v>0</v>
      </c>
      <c r="D1326" s="68" t="s">
        <v>365</v>
      </c>
      <c r="E1326" s="68" t="s">
        <v>4008</v>
      </c>
      <c r="F1326" s="68">
        <v>0.39500000000000002</v>
      </c>
      <c r="G1326" s="68" t="s">
        <v>4009</v>
      </c>
      <c r="H1326" s="68" t="s">
        <v>4010</v>
      </c>
      <c r="I1326" s="68" t="s">
        <v>4011</v>
      </c>
      <c r="J1326" s="68" t="s">
        <v>4012</v>
      </c>
      <c r="K1326" s="68" t="s">
        <v>510</v>
      </c>
      <c r="W1326" s="213">
        <v>1326</v>
      </c>
      <c r="X1326" s="214">
        <v>10</v>
      </c>
    </row>
    <row r="1327" spans="1:24" x14ac:dyDescent="0.25">
      <c r="A1327" s="94" t="s">
        <v>2240</v>
      </c>
      <c r="B1327" s="95" t="s">
        <v>6385</v>
      </c>
      <c r="C1327" s="94">
        <v>0</v>
      </c>
      <c r="D1327" s="96" t="s">
        <v>3286</v>
      </c>
      <c r="E1327" s="96" t="s">
        <v>6386</v>
      </c>
      <c r="F1327" s="96">
        <v>0.14499999999999999</v>
      </c>
      <c r="G1327" s="96" t="s">
        <v>6387</v>
      </c>
      <c r="H1327" s="96" t="s">
        <v>1705</v>
      </c>
      <c r="I1327" s="96" t="s">
        <v>6388</v>
      </c>
      <c r="J1327" s="96" t="s">
        <v>6389</v>
      </c>
      <c r="K1327" s="96" t="s">
        <v>510</v>
      </c>
      <c r="W1327" s="213">
        <v>1327</v>
      </c>
      <c r="X1327" s="214">
        <v>14</v>
      </c>
    </row>
    <row r="1328" spans="1:24" x14ac:dyDescent="0.25">
      <c r="A1328" s="97" t="s">
        <v>2240</v>
      </c>
      <c r="B1328" s="98" t="s">
        <v>4534</v>
      </c>
      <c r="C1328" s="97">
        <v>0</v>
      </c>
      <c r="D1328" s="99" t="s">
        <v>4535</v>
      </c>
      <c r="E1328" s="99" t="s">
        <v>4536</v>
      </c>
      <c r="F1328" s="99">
        <v>0.27600000000000002</v>
      </c>
      <c r="G1328" s="99" t="s">
        <v>504</v>
      </c>
      <c r="H1328" s="99" t="s">
        <v>4537</v>
      </c>
      <c r="I1328" s="99" t="s">
        <v>4538</v>
      </c>
      <c r="J1328" s="99" t="s">
        <v>4539</v>
      </c>
      <c r="K1328" s="99" t="s">
        <v>510</v>
      </c>
      <c r="W1328" s="213">
        <v>1328</v>
      </c>
      <c r="X1328" s="214">
        <v>14</v>
      </c>
    </row>
    <row r="1329" spans="1:24" x14ac:dyDescent="0.25">
      <c r="A1329" s="94" t="s">
        <v>2240</v>
      </c>
      <c r="B1329" s="95" t="s">
        <v>5143</v>
      </c>
      <c r="C1329" s="94">
        <v>0</v>
      </c>
      <c r="D1329" s="96" t="s">
        <v>4711</v>
      </c>
      <c r="E1329" s="96" t="s">
        <v>4536</v>
      </c>
      <c r="F1329" s="96">
        <v>7.0999999999999994E-2</v>
      </c>
      <c r="G1329" s="96" t="s">
        <v>5144</v>
      </c>
      <c r="H1329" s="96" t="s">
        <v>5145</v>
      </c>
      <c r="I1329" s="96" t="s">
        <v>5146</v>
      </c>
      <c r="J1329" s="96" t="s">
        <v>5147</v>
      </c>
      <c r="K1329" s="96" t="s">
        <v>510</v>
      </c>
      <c r="W1329" s="213">
        <v>1329</v>
      </c>
      <c r="X1329" s="214">
        <v>14</v>
      </c>
    </row>
    <row r="1330" spans="1:24" x14ac:dyDescent="0.25">
      <c r="A1330" s="97" t="s">
        <v>2240</v>
      </c>
      <c r="B1330" s="131" t="s">
        <v>7930</v>
      </c>
      <c r="C1330" s="97">
        <v>0</v>
      </c>
      <c r="D1330" s="99" t="s">
        <v>7913</v>
      </c>
      <c r="E1330" s="99" t="s">
        <v>2753</v>
      </c>
      <c r="F1330" s="99">
        <v>0.21199999999999999</v>
      </c>
      <c r="G1330" s="99" t="s">
        <v>2754</v>
      </c>
      <c r="H1330" s="99" t="s">
        <v>2755</v>
      </c>
      <c r="I1330" s="99" t="s">
        <v>2756</v>
      </c>
      <c r="J1330" s="99" t="s">
        <v>2757</v>
      </c>
      <c r="K1330" s="99" t="s">
        <v>510</v>
      </c>
      <c r="W1330" s="213">
        <v>1330</v>
      </c>
      <c r="X1330" s="214">
        <v>14</v>
      </c>
    </row>
    <row r="1331" spans="1:24" x14ac:dyDescent="0.25">
      <c r="A1331" s="94" t="s">
        <v>2240</v>
      </c>
      <c r="B1331" s="130" t="s">
        <v>8078</v>
      </c>
      <c r="C1331" s="94">
        <v>0</v>
      </c>
      <c r="D1331" s="96" t="s">
        <v>7947</v>
      </c>
      <c r="E1331" s="96" t="s">
        <v>2758</v>
      </c>
      <c r="F1331" s="96">
        <v>0.22900000000000001</v>
      </c>
      <c r="G1331" s="96" t="s">
        <v>2759</v>
      </c>
      <c r="H1331" s="96" t="s">
        <v>2760</v>
      </c>
      <c r="I1331" s="96" t="s">
        <v>2761</v>
      </c>
      <c r="J1331" s="96" t="s">
        <v>2762</v>
      </c>
      <c r="K1331" s="96" t="s">
        <v>510</v>
      </c>
      <c r="W1331" s="213">
        <v>1331</v>
      </c>
      <c r="X1331" s="214">
        <v>14</v>
      </c>
    </row>
    <row r="1332" spans="1:24" x14ac:dyDescent="0.25">
      <c r="A1332" s="97" t="s">
        <v>2240</v>
      </c>
      <c r="B1332" s="98" t="s">
        <v>6641</v>
      </c>
      <c r="C1332" s="97">
        <v>0</v>
      </c>
      <c r="D1332" s="99" t="s">
        <v>261</v>
      </c>
      <c r="E1332" s="99" t="s">
        <v>6642</v>
      </c>
      <c r="F1332" s="99">
        <v>0.23699999999999999</v>
      </c>
      <c r="G1332" s="99" t="s">
        <v>6643</v>
      </c>
      <c r="H1332" s="99" t="s">
        <v>6644</v>
      </c>
      <c r="I1332" s="99" t="s">
        <v>6645</v>
      </c>
      <c r="J1332" s="99" t="s">
        <v>6646</v>
      </c>
      <c r="K1332" s="99" t="s">
        <v>510</v>
      </c>
      <c r="W1332" s="213">
        <v>1332</v>
      </c>
      <c r="X1332" s="214">
        <v>14</v>
      </c>
    </row>
    <row r="1333" spans="1:24" x14ac:dyDescent="0.25">
      <c r="A1333" s="94" t="s">
        <v>2240</v>
      </c>
      <c r="B1333" s="95" t="s">
        <v>6064</v>
      </c>
      <c r="C1333" s="94">
        <v>1</v>
      </c>
      <c r="D1333" s="96" t="s">
        <v>312</v>
      </c>
      <c r="E1333" s="96" t="s">
        <v>6065</v>
      </c>
      <c r="F1333" s="96">
        <v>0.25600000000000001</v>
      </c>
      <c r="G1333" s="96" t="s">
        <v>6066</v>
      </c>
      <c r="H1333" s="96" t="s">
        <v>2626</v>
      </c>
      <c r="I1333" s="96" t="s">
        <v>6067</v>
      </c>
      <c r="J1333" s="96" t="s">
        <v>6068</v>
      </c>
      <c r="K1333" s="96" t="s">
        <v>510</v>
      </c>
      <c r="W1333" s="213">
        <v>1333</v>
      </c>
      <c r="X1333" s="214">
        <v>14</v>
      </c>
    </row>
    <row r="1334" spans="1:24" ht="14.45" customHeight="1" x14ac:dyDescent="0.25">
      <c r="A1334" s="99" t="s">
        <v>0</v>
      </c>
      <c r="B1334" s="97" t="s">
        <v>32</v>
      </c>
      <c r="C1334" s="98" t="s">
        <v>6069</v>
      </c>
      <c r="D1334" s="99" t="s">
        <v>107</v>
      </c>
      <c r="E1334" s="99" t="s">
        <v>6070</v>
      </c>
      <c r="F1334" s="99" t="s">
        <v>510</v>
      </c>
      <c r="G1334" s="99" t="s">
        <v>510</v>
      </c>
      <c r="H1334" s="99"/>
      <c r="I1334" s="99"/>
      <c r="J1334" s="99"/>
      <c r="K1334" s="99" t="s">
        <v>510</v>
      </c>
      <c r="W1334" s="213">
        <v>1334</v>
      </c>
      <c r="X1334" s="214">
        <v>14</v>
      </c>
    </row>
    <row r="1335" spans="1:24" x14ac:dyDescent="0.25">
      <c r="A1335" s="94" t="s">
        <v>2240</v>
      </c>
      <c r="B1335" s="95" t="s">
        <v>7061</v>
      </c>
      <c r="C1335" s="94">
        <v>0</v>
      </c>
      <c r="D1335" s="96" t="s">
        <v>1318</v>
      </c>
      <c r="E1335" s="96" t="s">
        <v>7062</v>
      </c>
      <c r="F1335" s="96">
        <v>0.27</v>
      </c>
      <c r="G1335" s="96" t="s">
        <v>7063</v>
      </c>
      <c r="H1335" s="96" t="s">
        <v>7064</v>
      </c>
      <c r="I1335" s="96" t="s">
        <v>7065</v>
      </c>
      <c r="J1335" s="96" t="s">
        <v>7066</v>
      </c>
      <c r="K1335" s="96" t="s">
        <v>510</v>
      </c>
      <c r="W1335" s="213">
        <v>1335</v>
      </c>
      <c r="X1335" s="214">
        <v>14</v>
      </c>
    </row>
    <row r="1336" spans="1:24" x14ac:dyDescent="0.25">
      <c r="A1336" s="97" t="s">
        <v>2240</v>
      </c>
      <c r="B1336" s="98" t="s">
        <v>5650</v>
      </c>
      <c r="C1336" s="97">
        <v>0</v>
      </c>
      <c r="D1336" s="99" t="s">
        <v>3406</v>
      </c>
      <c r="E1336" s="99" t="s">
        <v>5651</v>
      </c>
      <c r="F1336" s="99">
        <v>0.191</v>
      </c>
      <c r="G1336" s="99" t="s">
        <v>5652</v>
      </c>
      <c r="H1336" s="99" t="s">
        <v>5653</v>
      </c>
      <c r="I1336" s="99" t="s">
        <v>5654</v>
      </c>
      <c r="J1336" s="99" t="s">
        <v>5655</v>
      </c>
      <c r="K1336" s="99" t="s">
        <v>510</v>
      </c>
      <c r="W1336" s="213">
        <v>1336</v>
      </c>
      <c r="X1336" s="214">
        <v>14</v>
      </c>
    </row>
    <row r="1337" spans="1:24" x14ac:dyDescent="0.25">
      <c r="A1337" s="71" t="s">
        <v>1966</v>
      </c>
      <c r="B1337" s="73" t="s">
        <v>3973</v>
      </c>
      <c r="C1337" s="71">
        <v>0</v>
      </c>
      <c r="D1337" s="72" t="s">
        <v>247</v>
      </c>
      <c r="E1337" s="72" t="s">
        <v>3974</v>
      </c>
      <c r="F1337" s="72">
        <v>0.46899999999999997</v>
      </c>
      <c r="G1337" s="72" t="s">
        <v>3975</v>
      </c>
      <c r="H1337" s="72" t="s">
        <v>3976</v>
      </c>
      <c r="I1337" s="72" t="s">
        <v>3977</v>
      </c>
      <c r="J1337" s="72" t="s">
        <v>3978</v>
      </c>
      <c r="K1337" s="72" t="s">
        <v>510</v>
      </c>
      <c r="W1337" s="213">
        <v>1337</v>
      </c>
      <c r="X1337" s="214">
        <v>10</v>
      </c>
    </row>
    <row r="1338" spans="1:24" x14ac:dyDescent="0.25">
      <c r="A1338" s="117" t="s">
        <v>2763</v>
      </c>
      <c r="B1338" s="116" t="s">
        <v>7055</v>
      </c>
      <c r="C1338" s="117">
        <v>0</v>
      </c>
      <c r="D1338" s="118" t="s">
        <v>1974</v>
      </c>
      <c r="E1338" s="118" t="s">
        <v>7056</v>
      </c>
      <c r="F1338" s="118">
        <v>0.26</v>
      </c>
      <c r="G1338" s="118" t="s">
        <v>7057</v>
      </c>
      <c r="H1338" s="118" t="s">
        <v>7058</v>
      </c>
      <c r="I1338" s="118" t="s">
        <v>7059</v>
      </c>
      <c r="J1338" s="118" t="s">
        <v>7060</v>
      </c>
      <c r="K1338" s="118" t="s">
        <v>510</v>
      </c>
      <c r="W1338" s="213">
        <v>1338</v>
      </c>
      <c r="X1338" s="214">
        <v>15</v>
      </c>
    </row>
    <row r="1339" spans="1:24" x14ac:dyDescent="0.25">
      <c r="A1339" s="94" t="s">
        <v>2240</v>
      </c>
      <c r="B1339" s="95" t="s">
        <v>4468</v>
      </c>
      <c r="C1339" s="94">
        <v>0</v>
      </c>
      <c r="D1339" s="96" t="s">
        <v>4469</v>
      </c>
      <c r="E1339" s="96" t="s">
        <v>4470</v>
      </c>
      <c r="F1339" s="96">
        <v>0.14399999999999999</v>
      </c>
      <c r="G1339" s="96" t="s">
        <v>4471</v>
      </c>
      <c r="H1339" s="96" t="s">
        <v>4472</v>
      </c>
      <c r="I1339" s="96" t="s">
        <v>4473</v>
      </c>
      <c r="J1339" s="96" t="s">
        <v>4474</v>
      </c>
      <c r="K1339" s="96" t="s">
        <v>510</v>
      </c>
      <c r="W1339" s="213">
        <v>1339</v>
      </c>
      <c r="X1339" s="214">
        <v>14</v>
      </c>
    </row>
    <row r="1340" spans="1:24" x14ac:dyDescent="0.25">
      <c r="A1340" s="97" t="s">
        <v>2240</v>
      </c>
      <c r="B1340" s="98" t="s">
        <v>6659</v>
      </c>
      <c r="C1340" s="97">
        <v>0</v>
      </c>
      <c r="D1340" s="99" t="s">
        <v>3161</v>
      </c>
      <c r="E1340" s="99" t="s">
        <v>6660</v>
      </c>
      <c r="F1340" s="99">
        <v>0.16800000000000001</v>
      </c>
      <c r="G1340" s="99" t="s">
        <v>6661</v>
      </c>
      <c r="H1340" s="99" t="s">
        <v>6662</v>
      </c>
      <c r="I1340" s="99" t="s">
        <v>6663</v>
      </c>
      <c r="J1340" s="99" t="s">
        <v>5713</v>
      </c>
      <c r="K1340" s="99" t="s">
        <v>510</v>
      </c>
      <c r="W1340" s="213">
        <v>1340</v>
      </c>
      <c r="X1340" s="214">
        <v>14</v>
      </c>
    </row>
    <row r="1341" spans="1:24" x14ac:dyDescent="0.25">
      <c r="A1341" s="114" t="s">
        <v>2763</v>
      </c>
      <c r="B1341" s="113" t="s">
        <v>5752</v>
      </c>
      <c r="C1341" s="114">
        <v>0</v>
      </c>
      <c r="D1341" s="115" t="s">
        <v>1388</v>
      </c>
      <c r="E1341" s="115" t="s">
        <v>5753</v>
      </c>
      <c r="F1341" s="115">
        <v>0.30299999999999999</v>
      </c>
      <c r="G1341" s="115" t="s">
        <v>5754</v>
      </c>
      <c r="H1341" s="115" t="s">
        <v>5755</v>
      </c>
      <c r="I1341" s="115" t="s">
        <v>5756</v>
      </c>
      <c r="J1341" s="115" t="s">
        <v>5597</v>
      </c>
      <c r="K1341" s="115" t="s">
        <v>510</v>
      </c>
      <c r="W1341" s="213">
        <v>1341</v>
      </c>
      <c r="X1341" s="214">
        <v>15</v>
      </c>
    </row>
    <row r="1342" spans="1:24" x14ac:dyDescent="0.25">
      <c r="A1342" s="97" t="s">
        <v>2240</v>
      </c>
      <c r="B1342" s="98" t="s">
        <v>4973</v>
      </c>
      <c r="C1342" s="97">
        <v>0</v>
      </c>
      <c r="D1342" s="99" t="s">
        <v>4258</v>
      </c>
      <c r="E1342" s="99" t="s">
        <v>4974</v>
      </c>
      <c r="F1342" s="99">
        <v>0.249</v>
      </c>
      <c r="G1342" s="99" t="s">
        <v>4975</v>
      </c>
      <c r="H1342" s="99" t="s">
        <v>4976</v>
      </c>
      <c r="I1342" s="99" t="s">
        <v>4977</v>
      </c>
      <c r="J1342" s="99" t="s">
        <v>4978</v>
      </c>
      <c r="K1342" s="99" t="s">
        <v>510</v>
      </c>
      <c r="W1342" s="213">
        <v>1342</v>
      </c>
      <c r="X1342" s="214">
        <v>14</v>
      </c>
    </row>
    <row r="1343" spans="1:24" x14ac:dyDescent="0.25">
      <c r="A1343" s="71" t="s">
        <v>1966</v>
      </c>
      <c r="B1343" s="73" t="s">
        <v>4589</v>
      </c>
      <c r="C1343" s="71">
        <v>0</v>
      </c>
      <c r="D1343" s="72" t="s">
        <v>3250</v>
      </c>
      <c r="E1343" s="72" t="s">
        <v>3325</v>
      </c>
      <c r="F1343" s="72">
        <v>0.54</v>
      </c>
      <c r="G1343" s="72" t="s">
        <v>3326</v>
      </c>
      <c r="H1343" s="72" t="s">
        <v>3327</v>
      </c>
      <c r="I1343" s="72" t="s">
        <v>3328</v>
      </c>
      <c r="J1343" s="72" t="s">
        <v>3329</v>
      </c>
      <c r="K1343" s="72" t="s">
        <v>510</v>
      </c>
      <c r="W1343" s="213">
        <v>1343</v>
      </c>
      <c r="X1343" s="214">
        <v>10</v>
      </c>
    </row>
    <row r="1344" spans="1:24" x14ac:dyDescent="0.25">
      <c r="A1344" s="117" t="s">
        <v>2763</v>
      </c>
      <c r="B1344" s="116" t="s">
        <v>7021</v>
      </c>
      <c r="C1344" s="117">
        <v>0</v>
      </c>
      <c r="D1344" s="118" t="s">
        <v>1974</v>
      </c>
      <c r="E1344" s="118" t="s">
        <v>7022</v>
      </c>
      <c r="F1344" s="118">
        <v>0.34200000000000003</v>
      </c>
      <c r="G1344" s="118" t="s">
        <v>7023</v>
      </c>
      <c r="H1344" s="118" t="s">
        <v>7024</v>
      </c>
      <c r="I1344" s="118" t="s">
        <v>7025</v>
      </c>
      <c r="J1344" s="118" t="s">
        <v>7026</v>
      </c>
      <c r="K1344" s="118" t="s">
        <v>510</v>
      </c>
      <c r="W1344" s="213">
        <v>1344</v>
      </c>
      <c r="X1344" s="214">
        <v>15</v>
      </c>
    </row>
    <row r="1345" spans="1:24" x14ac:dyDescent="0.25">
      <c r="A1345" s="94" t="s">
        <v>2240</v>
      </c>
      <c r="B1345" s="95" t="s">
        <v>4847</v>
      </c>
      <c r="C1345" s="94">
        <v>0</v>
      </c>
      <c r="D1345" s="96" t="s">
        <v>4597</v>
      </c>
      <c r="E1345" s="96" t="s">
        <v>4848</v>
      </c>
      <c r="F1345" s="96">
        <v>0.12</v>
      </c>
      <c r="G1345" s="96" t="s">
        <v>4849</v>
      </c>
      <c r="H1345" s="96" t="s">
        <v>4850</v>
      </c>
      <c r="I1345" s="96" t="s">
        <v>4851</v>
      </c>
      <c r="J1345" s="96" t="s">
        <v>4852</v>
      </c>
      <c r="K1345" s="96" t="s">
        <v>510</v>
      </c>
      <c r="W1345" s="213">
        <v>1345</v>
      </c>
      <c r="X1345" s="214">
        <v>14</v>
      </c>
    </row>
    <row r="1346" spans="1:24" x14ac:dyDescent="0.25">
      <c r="A1346" s="117" t="s">
        <v>2763</v>
      </c>
      <c r="B1346" s="133" t="s">
        <v>7892</v>
      </c>
      <c r="C1346" s="117">
        <v>0</v>
      </c>
      <c r="D1346" s="118" t="s">
        <v>2764</v>
      </c>
      <c r="E1346" s="118" t="s">
        <v>2769</v>
      </c>
      <c r="F1346" s="118">
        <v>0.246</v>
      </c>
      <c r="G1346" s="118" t="s">
        <v>2765</v>
      </c>
      <c r="H1346" s="118" t="s">
        <v>2766</v>
      </c>
      <c r="I1346" s="118" t="s">
        <v>2767</v>
      </c>
      <c r="J1346" s="118" t="s">
        <v>2768</v>
      </c>
      <c r="K1346" s="118" t="s">
        <v>510</v>
      </c>
      <c r="W1346" s="213">
        <v>1346</v>
      </c>
      <c r="X1346" s="214">
        <v>15</v>
      </c>
    </row>
    <row r="1347" spans="1:24" x14ac:dyDescent="0.25">
      <c r="A1347" s="114" t="s">
        <v>2763</v>
      </c>
      <c r="B1347" s="113" t="s">
        <v>4583</v>
      </c>
      <c r="C1347" s="114">
        <v>0</v>
      </c>
      <c r="D1347" s="115" t="s">
        <v>4258</v>
      </c>
      <c r="E1347" s="115" t="s">
        <v>4584</v>
      </c>
      <c r="F1347" s="115">
        <v>0.22600000000000001</v>
      </c>
      <c r="G1347" s="115" t="s">
        <v>4585</v>
      </c>
      <c r="H1347" s="115" t="s">
        <v>4586</v>
      </c>
      <c r="I1347" s="115" t="s">
        <v>4587</v>
      </c>
      <c r="J1347" s="115" t="s">
        <v>4588</v>
      </c>
      <c r="K1347" s="115" t="s">
        <v>510</v>
      </c>
      <c r="W1347" s="213">
        <v>1347</v>
      </c>
      <c r="X1347" s="214">
        <v>15</v>
      </c>
    </row>
    <row r="1348" spans="1:24" x14ac:dyDescent="0.25">
      <c r="A1348" s="117" t="s">
        <v>2763</v>
      </c>
      <c r="B1348" s="133" t="s">
        <v>7992</v>
      </c>
      <c r="C1348" s="117">
        <v>0</v>
      </c>
      <c r="D1348" s="118" t="s">
        <v>2971</v>
      </c>
      <c r="E1348" s="118" t="s">
        <v>2770</v>
      </c>
      <c r="F1348" s="118">
        <v>0.25600000000000001</v>
      </c>
      <c r="G1348" s="118" t="s">
        <v>2771</v>
      </c>
      <c r="H1348" s="118" t="s">
        <v>2772</v>
      </c>
      <c r="I1348" s="118" t="s">
        <v>2773</v>
      </c>
      <c r="J1348" s="118" t="s">
        <v>2774</v>
      </c>
      <c r="K1348" s="118" t="s">
        <v>510</v>
      </c>
      <c r="W1348" s="213">
        <v>1348</v>
      </c>
      <c r="X1348" s="214">
        <v>15</v>
      </c>
    </row>
    <row r="1349" spans="1:24" x14ac:dyDescent="0.25">
      <c r="A1349" s="114" t="s">
        <v>2763</v>
      </c>
      <c r="B1349" s="113" t="s">
        <v>5820</v>
      </c>
      <c r="C1349" s="114">
        <v>0</v>
      </c>
      <c r="D1349" s="115" t="s">
        <v>431</v>
      </c>
      <c r="E1349" s="115" t="s">
        <v>5821</v>
      </c>
      <c r="F1349" s="115">
        <v>0.308</v>
      </c>
      <c r="G1349" s="115" t="s">
        <v>5822</v>
      </c>
      <c r="H1349" s="115" t="s">
        <v>5823</v>
      </c>
      <c r="I1349" s="115" t="s">
        <v>5824</v>
      </c>
      <c r="J1349" s="115" t="s">
        <v>5825</v>
      </c>
      <c r="K1349" s="115" t="s">
        <v>510</v>
      </c>
      <c r="W1349" s="213">
        <v>1349</v>
      </c>
      <c r="X1349" s="214">
        <v>15</v>
      </c>
    </row>
    <row r="1350" spans="1:24" x14ac:dyDescent="0.25">
      <c r="A1350" s="67" t="s">
        <v>1966</v>
      </c>
      <c r="B1350" s="69" t="s">
        <v>4018</v>
      </c>
      <c r="C1350" s="67">
        <v>0</v>
      </c>
      <c r="D1350" s="68" t="s">
        <v>158</v>
      </c>
      <c r="E1350" s="68" t="s">
        <v>4019</v>
      </c>
      <c r="F1350" s="68">
        <v>0.54700000000000004</v>
      </c>
      <c r="G1350" s="68" t="s">
        <v>4020</v>
      </c>
      <c r="H1350" s="68" t="s">
        <v>4021</v>
      </c>
      <c r="I1350" s="68" t="s">
        <v>4022</v>
      </c>
      <c r="J1350" s="68" t="s">
        <v>4023</v>
      </c>
      <c r="K1350" s="68" t="s">
        <v>510</v>
      </c>
      <c r="W1350" s="213">
        <v>1350</v>
      </c>
      <c r="X1350" s="214">
        <v>10</v>
      </c>
    </row>
    <row r="1351" spans="1:24" x14ac:dyDescent="0.25">
      <c r="A1351" s="114" t="s">
        <v>2763</v>
      </c>
      <c r="B1351" s="132" t="s">
        <v>7993</v>
      </c>
      <c r="C1351" s="114">
        <v>0</v>
      </c>
      <c r="D1351" s="115" t="s">
        <v>2266</v>
      </c>
      <c r="E1351" s="115" t="s">
        <v>2775</v>
      </c>
      <c r="F1351" s="115">
        <v>0.246</v>
      </c>
      <c r="G1351" s="115" t="s">
        <v>2776</v>
      </c>
      <c r="H1351" s="115" t="s">
        <v>2777</v>
      </c>
      <c r="I1351" s="115" t="s">
        <v>2778</v>
      </c>
      <c r="J1351" s="115" t="s">
        <v>2779</v>
      </c>
      <c r="K1351" s="115" t="s">
        <v>510</v>
      </c>
      <c r="W1351" s="213">
        <v>1351</v>
      </c>
      <c r="X1351" s="214">
        <v>15</v>
      </c>
    </row>
    <row r="1352" spans="1:24" x14ac:dyDescent="0.25">
      <c r="A1352" s="117" t="s">
        <v>2763</v>
      </c>
      <c r="B1352" s="116" t="s">
        <v>6737</v>
      </c>
      <c r="C1352" s="117">
        <v>0</v>
      </c>
      <c r="D1352" s="118" t="s">
        <v>3161</v>
      </c>
      <c r="E1352" s="118" t="s">
        <v>6738</v>
      </c>
      <c r="F1352" s="118">
        <v>0.26200000000000001</v>
      </c>
      <c r="G1352" s="118" t="s">
        <v>6739</v>
      </c>
      <c r="H1352" s="118" t="s">
        <v>6740</v>
      </c>
      <c r="I1352" s="118" t="s">
        <v>6741</v>
      </c>
      <c r="J1352" s="118" t="s">
        <v>6742</v>
      </c>
      <c r="K1352" s="118" t="s">
        <v>510</v>
      </c>
      <c r="W1352" s="213">
        <v>1352</v>
      </c>
      <c r="X1352" s="214">
        <v>15</v>
      </c>
    </row>
    <row r="1353" spans="1:24" x14ac:dyDescent="0.25">
      <c r="A1353" s="114" t="s">
        <v>2763</v>
      </c>
      <c r="B1353" s="113" t="s">
        <v>6507</v>
      </c>
      <c r="C1353" s="114">
        <v>0</v>
      </c>
      <c r="D1353" s="115" t="s">
        <v>3161</v>
      </c>
      <c r="E1353" s="115" t="s">
        <v>6508</v>
      </c>
      <c r="F1353" s="115">
        <v>0.27500000000000002</v>
      </c>
      <c r="G1353" s="115" t="s">
        <v>6509</v>
      </c>
      <c r="H1353" s="115" t="s">
        <v>6510</v>
      </c>
      <c r="I1353" s="115" t="s">
        <v>6511</v>
      </c>
      <c r="J1353" s="115" t="s">
        <v>6512</v>
      </c>
      <c r="K1353" s="115" t="s">
        <v>510</v>
      </c>
      <c r="W1353" s="213">
        <v>1353</v>
      </c>
      <c r="X1353" s="214">
        <v>15</v>
      </c>
    </row>
    <row r="1354" spans="1:24" x14ac:dyDescent="0.25">
      <c r="A1354" s="117" t="s">
        <v>2763</v>
      </c>
      <c r="B1354" s="116" t="s">
        <v>4429</v>
      </c>
      <c r="C1354" s="117">
        <v>0</v>
      </c>
      <c r="D1354" s="118" t="s">
        <v>4265</v>
      </c>
      <c r="E1354" s="118" t="s">
        <v>4430</v>
      </c>
      <c r="F1354" s="118">
        <v>0.221</v>
      </c>
      <c r="G1354" s="118" t="s">
        <v>4431</v>
      </c>
      <c r="H1354" s="118" t="s">
        <v>4432</v>
      </c>
      <c r="I1354" s="118" t="s">
        <v>4433</v>
      </c>
      <c r="J1354" s="118" t="s">
        <v>4434</v>
      </c>
      <c r="K1354" s="118" t="s">
        <v>510</v>
      </c>
      <c r="W1354" s="213">
        <v>1354</v>
      </c>
      <c r="X1354" s="214">
        <v>15</v>
      </c>
    </row>
    <row r="1355" spans="1:24" x14ac:dyDescent="0.25">
      <c r="A1355" s="114" t="s">
        <v>2763</v>
      </c>
      <c r="B1355" s="113" t="s">
        <v>6229</v>
      </c>
      <c r="C1355" s="114">
        <v>0</v>
      </c>
      <c r="D1355" s="115" t="s">
        <v>219</v>
      </c>
      <c r="E1355" s="115" t="s">
        <v>6230</v>
      </c>
      <c r="F1355" s="115">
        <v>0.27600000000000002</v>
      </c>
      <c r="G1355" s="115" t="s">
        <v>6231</v>
      </c>
      <c r="H1355" s="115" t="s">
        <v>6232</v>
      </c>
      <c r="I1355" s="115" t="s">
        <v>6233</v>
      </c>
      <c r="J1355" s="115" t="s">
        <v>6234</v>
      </c>
      <c r="K1355" s="115" t="s">
        <v>510</v>
      </c>
      <c r="W1355" s="213">
        <v>1355</v>
      </c>
      <c r="X1355" s="214">
        <v>15</v>
      </c>
    </row>
    <row r="1356" spans="1:24" x14ac:dyDescent="0.25">
      <c r="A1356" s="117" t="s">
        <v>2763</v>
      </c>
      <c r="B1356" s="116" t="s">
        <v>5508</v>
      </c>
      <c r="C1356" s="117">
        <v>0</v>
      </c>
      <c r="D1356" s="118" t="s">
        <v>5497</v>
      </c>
      <c r="E1356" s="118" t="s">
        <v>5509</v>
      </c>
      <c r="F1356" s="118">
        <v>0.16300000000000001</v>
      </c>
      <c r="G1356" s="118" t="s">
        <v>5510</v>
      </c>
      <c r="H1356" s="118" t="s">
        <v>5511</v>
      </c>
      <c r="I1356" s="118" t="s">
        <v>5512</v>
      </c>
      <c r="J1356" s="118" t="s">
        <v>5513</v>
      </c>
      <c r="K1356" s="118" t="s">
        <v>510</v>
      </c>
      <c r="W1356" s="213">
        <v>1356</v>
      </c>
      <c r="X1356" s="214">
        <v>15</v>
      </c>
    </row>
    <row r="1357" spans="1:24" x14ac:dyDescent="0.25">
      <c r="A1357" s="114" t="s">
        <v>2763</v>
      </c>
      <c r="B1357" s="113" t="s">
        <v>6206</v>
      </c>
      <c r="C1357" s="114">
        <v>0</v>
      </c>
      <c r="D1357" s="115" t="s">
        <v>1974</v>
      </c>
      <c r="E1357" s="115" t="s">
        <v>6207</v>
      </c>
      <c r="F1357" s="115">
        <v>0.23899999999999999</v>
      </c>
      <c r="G1357" s="115" t="s">
        <v>6208</v>
      </c>
      <c r="H1357" s="115" t="s">
        <v>4921</v>
      </c>
      <c r="I1357" s="115" t="s">
        <v>6209</v>
      </c>
      <c r="J1357" s="115" t="s">
        <v>6210</v>
      </c>
      <c r="K1357" s="115" t="s">
        <v>510</v>
      </c>
      <c r="W1357" s="213">
        <v>1357</v>
      </c>
      <c r="X1357" s="214">
        <v>15</v>
      </c>
    </row>
    <row r="1358" spans="1:24" x14ac:dyDescent="0.25">
      <c r="A1358" s="117" t="s">
        <v>2763</v>
      </c>
      <c r="B1358" s="116" t="s">
        <v>4264</v>
      </c>
      <c r="C1358" s="117">
        <v>0</v>
      </c>
      <c r="D1358" s="118" t="s">
        <v>4265</v>
      </c>
      <c r="E1358" s="118" t="s">
        <v>4266</v>
      </c>
      <c r="F1358" s="118">
        <v>0.27900000000000003</v>
      </c>
      <c r="G1358" s="118" t="s">
        <v>209</v>
      </c>
      <c r="H1358" s="118" t="s">
        <v>4267</v>
      </c>
      <c r="I1358" s="118" t="s">
        <v>4268</v>
      </c>
      <c r="J1358" s="118" t="s">
        <v>4269</v>
      </c>
      <c r="K1358" s="118" t="s">
        <v>510</v>
      </c>
      <c r="W1358" s="213">
        <v>1358</v>
      </c>
      <c r="X1358" s="214">
        <v>15</v>
      </c>
    </row>
    <row r="1359" spans="1:24" x14ac:dyDescent="0.25">
      <c r="A1359" s="114" t="s">
        <v>2763</v>
      </c>
      <c r="B1359" s="113" t="s">
        <v>4930</v>
      </c>
      <c r="C1359" s="114">
        <v>0</v>
      </c>
      <c r="D1359" s="115" t="s">
        <v>4657</v>
      </c>
      <c r="E1359" s="115" t="s">
        <v>4266</v>
      </c>
      <c r="F1359" s="115">
        <v>0.28299999999999997</v>
      </c>
      <c r="G1359" s="115" t="s">
        <v>4931</v>
      </c>
      <c r="H1359" s="115" t="s">
        <v>4932</v>
      </c>
      <c r="I1359" s="115" t="s">
        <v>4933</v>
      </c>
      <c r="J1359" s="115" t="s">
        <v>4934</v>
      </c>
      <c r="K1359" s="115" t="s">
        <v>510</v>
      </c>
      <c r="W1359" s="213">
        <v>1359</v>
      </c>
      <c r="X1359" s="214">
        <v>15</v>
      </c>
    </row>
    <row r="1360" spans="1:24" x14ac:dyDescent="0.25">
      <c r="A1360" s="117" t="s">
        <v>2763</v>
      </c>
      <c r="B1360" s="116" t="s">
        <v>5988</v>
      </c>
      <c r="C1360" s="117">
        <v>0</v>
      </c>
      <c r="D1360" s="118" t="s">
        <v>450</v>
      </c>
      <c r="E1360" s="118" t="s">
        <v>5989</v>
      </c>
      <c r="F1360" s="118">
        <v>0.247</v>
      </c>
      <c r="G1360" s="118" t="s">
        <v>5990</v>
      </c>
      <c r="H1360" s="118" t="s">
        <v>5991</v>
      </c>
      <c r="I1360" s="118" t="s">
        <v>5992</v>
      </c>
      <c r="J1360" s="118" t="s">
        <v>5993</v>
      </c>
      <c r="K1360" s="118" t="s">
        <v>510</v>
      </c>
      <c r="W1360" s="213">
        <v>1360</v>
      </c>
      <c r="X1360" s="214">
        <v>15</v>
      </c>
    </row>
    <row r="1361" spans="1:24" x14ac:dyDescent="0.25">
      <c r="A1361" s="114" t="s">
        <v>2763</v>
      </c>
      <c r="B1361" s="132" t="s">
        <v>7931</v>
      </c>
      <c r="C1361" s="114">
        <v>0</v>
      </c>
      <c r="D1361" s="115" t="s">
        <v>7914</v>
      </c>
      <c r="E1361" s="115" t="s">
        <v>2781</v>
      </c>
      <c r="F1361" s="115">
        <v>0.21099999999999999</v>
      </c>
      <c r="G1361" s="115" t="s">
        <v>2782</v>
      </c>
      <c r="H1361" s="115" t="s">
        <v>2783</v>
      </c>
      <c r="I1361" s="115" t="s">
        <v>2784</v>
      </c>
      <c r="J1361" s="115" t="s">
        <v>2785</v>
      </c>
      <c r="K1361" s="115" t="s">
        <v>510</v>
      </c>
      <c r="W1361" s="213">
        <v>1361</v>
      </c>
      <c r="X1361" s="214">
        <v>15</v>
      </c>
    </row>
    <row r="1362" spans="1:24" x14ac:dyDescent="0.25">
      <c r="A1362" s="117" t="s">
        <v>2763</v>
      </c>
      <c r="B1362" s="116" t="s">
        <v>6553</v>
      </c>
      <c r="C1362" s="117">
        <v>0</v>
      </c>
      <c r="D1362" s="118" t="s">
        <v>3161</v>
      </c>
      <c r="E1362" s="118" t="s">
        <v>6554</v>
      </c>
      <c r="F1362" s="118">
        <v>0.32400000000000001</v>
      </c>
      <c r="G1362" s="118" t="s">
        <v>6555</v>
      </c>
      <c r="H1362" s="118" t="s">
        <v>6556</v>
      </c>
      <c r="I1362" s="118" t="s">
        <v>6557</v>
      </c>
      <c r="J1362" s="118" t="s">
        <v>6558</v>
      </c>
      <c r="K1362" s="118" t="s">
        <v>510</v>
      </c>
      <c r="W1362" s="213">
        <v>1362</v>
      </c>
      <c r="X1362" s="214">
        <v>15</v>
      </c>
    </row>
    <row r="1363" spans="1:24" x14ac:dyDescent="0.25">
      <c r="A1363" s="114" t="s">
        <v>2763</v>
      </c>
      <c r="B1363" s="113" t="s">
        <v>5696</v>
      </c>
      <c r="C1363" s="114">
        <v>0</v>
      </c>
      <c r="D1363" s="115" t="s">
        <v>4252</v>
      </c>
      <c r="E1363" s="115" t="s">
        <v>5697</v>
      </c>
      <c r="F1363" s="115">
        <v>0.25700000000000001</v>
      </c>
      <c r="G1363" s="115" t="s">
        <v>5698</v>
      </c>
      <c r="H1363" s="115" t="s">
        <v>5699</v>
      </c>
      <c r="I1363" s="115" t="s">
        <v>5700</v>
      </c>
      <c r="J1363" s="115" t="s">
        <v>5701</v>
      </c>
      <c r="K1363" s="115" t="s">
        <v>510</v>
      </c>
      <c r="W1363" s="213">
        <v>1363</v>
      </c>
      <c r="X1363" s="214">
        <v>15</v>
      </c>
    </row>
    <row r="1364" spans="1:24" x14ac:dyDescent="0.25">
      <c r="A1364" s="67" t="s">
        <v>1966</v>
      </c>
      <c r="B1364" s="69" t="s">
        <v>3330</v>
      </c>
      <c r="C1364" s="67">
        <v>0</v>
      </c>
      <c r="D1364" s="68" t="s">
        <v>3331</v>
      </c>
      <c r="E1364" s="68" t="s">
        <v>3332</v>
      </c>
      <c r="F1364" s="68">
        <v>0.46800000000000003</v>
      </c>
      <c r="G1364" s="68" t="s">
        <v>3333</v>
      </c>
      <c r="H1364" s="68" t="s">
        <v>3334</v>
      </c>
      <c r="I1364" s="68" t="s">
        <v>3335</v>
      </c>
      <c r="J1364" s="68" t="s">
        <v>3070</v>
      </c>
      <c r="K1364" s="68" t="s">
        <v>510</v>
      </c>
      <c r="W1364" s="213">
        <v>1364</v>
      </c>
      <c r="X1364" s="214">
        <v>10</v>
      </c>
    </row>
    <row r="1365" spans="1:24" x14ac:dyDescent="0.25">
      <c r="A1365" s="114" t="s">
        <v>2763</v>
      </c>
      <c r="B1365" s="113" t="s">
        <v>6813</v>
      </c>
      <c r="C1365" s="114">
        <v>0</v>
      </c>
      <c r="D1365" s="115" t="s">
        <v>2471</v>
      </c>
      <c r="E1365" s="115" t="s">
        <v>6814</v>
      </c>
      <c r="F1365" s="115">
        <v>0.218</v>
      </c>
      <c r="G1365" s="115" t="s">
        <v>6815</v>
      </c>
      <c r="H1365" s="115" t="s">
        <v>6816</v>
      </c>
      <c r="I1365" s="115" t="s">
        <v>6817</v>
      </c>
      <c r="J1365" s="115" t="s">
        <v>6818</v>
      </c>
      <c r="K1365" s="115" t="s">
        <v>510</v>
      </c>
      <c r="W1365" s="213">
        <v>1365</v>
      </c>
      <c r="X1365" s="214">
        <v>15</v>
      </c>
    </row>
    <row r="1366" spans="1:24" ht="15" customHeight="1" x14ac:dyDescent="0.25">
      <c r="A1366" s="117" t="s">
        <v>2763</v>
      </c>
      <c r="B1366" s="116" t="s">
        <v>6263</v>
      </c>
      <c r="C1366" s="117">
        <v>0</v>
      </c>
      <c r="D1366" s="118" t="s">
        <v>1974</v>
      </c>
      <c r="E1366" s="118" t="s">
        <v>6264</v>
      </c>
      <c r="F1366" s="118">
        <v>0.22900000000000001</v>
      </c>
      <c r="G1366" s="118" t="s">
        <v>6265</v>
      </c>
      <c r="H1366" s="118" t="s">
        <v>6266</v>
      </c>
      <c r="I1366" s="118" t="s">
        <v>6267</v>
      </c>
      <c r="J1366" s="118" t="s">
        <v>6268</v>
      </c>
      <c r="K1366" s="118" t="s">
        <v>510</v>
      </c>
      <c r="W1366" s="213">
        <v>1366</v>
      </c>
      <c r="X1366" s="214">
        <v>15</v>
      </c>
    </row>
    <row r="1367" spans="1:24" ht="15" customHeight="1" x14ac:dyDescent="0.25">
      <c r="A1367" s="114" t="s">
        <v>2763</v>
      </c>
      <c r="B1367" s="113" t="s">
        <v>5032</v>
      </c>
      <c r="C1367" s="114">
        <v>0</v>
      </c>
      <c r="D1367" s="115" t="s">
        <v>3406</v>
      </c>
      <c r="E1367" s="115" t="s">
        <v>5033</v>
      </c>
      <c r="F1367" s="115">
        <v>0.23300000000000001</v>
      </c>
      <c r="G1367" s="115" t="s">
        <v>5034</v>
      </c>
      <c r="H1367" s="115" t="s">
        <v>5035</v>
      </c>
      <c r="I1367" s="115" t="s">
        <v>5036</v>
      </c>
      <c r="J1367" s="115" t="s">
        <v>5037</v>
      </c>
      <c r="K1367" s="115" t="s">
        <v>510</v>
      </c>
      <c r="W1367" s="213">
        <v>1367</v>
      </c>
      <c r="X1367" s="214">
        <v>15</v>
      </c>
    </row>
    <row r="1368" spans="1:24" ht="15" customHeight="1" x14ac:dyDescent="0.25">
      <c r="A1368" s="117" t="s">
        <v>2763</v>
      </c>
      <c r="B1368" s="116" t="s">
        <v>5784</v>
      </c>
      <c r="C1368" s="117">
        <v>0</v>
      </c>
      <c r="D1368" s="118" t="s">
        <v>1960</v>
      </c>
      <c r="E1368" s="118" t="s">
        <v>5785</v>
      </c>
      <c r="F1368" s="118">
        <v>0.34300000000000003</v>
      </c>
      <c r="G1368" s="118" t="s">
        <v>5786</v>
      </c>
      <c r="H1368" s="118" t="s">
        <v>5787</v>
      </c>
      <c r="I1368" s="118" t="s">
        <v>5788</v>
      </c>
      <c r="J1368" s="118" t="s">
        <v>5789</v>
      </c>
      <c r="K1368" s="118" t="s">
        <v>510</v>
      </c>
      <c r="W1368" s="213">
        <v>1368</v>
      </c>
      <c r="X1368" s="214">
        <v>15</v>
      </c>
    </row>
    <row r="1369" spans="1:24" ht="15" customHeight="1" x14ac:dyDescent="0.25">
      <c r="A1369" s="71" t="s">
        <v>1966</v>
      </c>
      <c r="B1369" s="73" t="s">
        <v>4037</v>
      </c>
      <c r="C1369" s="71">
        <v>0</v>
      </c>
      <c r="D1369" s="72" t="s">
        <v>226</v>
      </c>
      <c r="E1369" s="72" t="s">
        <v>4038</v>
      </c>
      <c r="F1369" s="72">
        <v>0.50900000000000001</v>
      </c>
      <c r="G1369" s="72" t="s">
        <v>4039</v>
      </c>
      <c r="H1369" s="72" t="s">
        <v>4040</v>
      </c>
      <c r="I1369" s="72" t="s">
        <v>4041</v>
      </c>
      <c r="J1369" s="72" t="s">
        <v>4042</v>
      </c>
      <c r="K1369" s="72" t="s">
        <v>510</v>
      </c>
      <c r="W1369" s="213">
        <v>1369</v>
      </c>
      <c r="X1369" s="214">
        <v>10</v>
      </c>
    </row>
    <row r="1370" spans="1:24" ht="15" customHeight="1" x14ac:dyDescent="0.25">
      <c r="A1370" s="67" t="s">
        <v>1966</v>
      </c>
      <c r="B1370" s="69" t="s">
        <v>4031</v>
      </c>
      <c r="C1370" s="67">
        <v>0</v>
      </c>
      <c r="D1370" s="68" t="s">
        <v>2152</v>
      </c>
      <c r="E1370" s="68" t="s">
        <v>4032</v>
      </c>
      <c r="F1370" s="68">
        <v>0.49199999999999999</v>
      </c>
      <c r="G1370" s="68" t="s">
        <v>4033</v>
      </c>
      <c r="H1370" s="68" t="s">
        <v>4034</v>
      </c>
      <c r="I1370" s="68" t="s">
        <v>4035</v>
      </c>
      <c r="J1370" s="68" t="s">
        <v>4036</v>
      </c>
      <c r="K1370" s="68" t="s">
        <v>510</v>
      </c>
      <c r="W1370" s="213">
        <v>1370</v>
      </c>
      <c r="X1370" s="214">
        <v>10</v>
      </c>
    </row>
    <row r="1371" spans="1:24" ht="15" customHeight="1" x14ac:dyDescent="0.25">
      <c r="A1371" s="114" t="s">
        <v>2763</v>
      </c>
      <c r="B1371" s="132" t="s">
        <v>8014</v>
      </c>
      <c r="C1371" s="114">
        <v>0</v>
      </c>
      <c r="D1371" s="115" t="s">
        <v>2698</v>
      </c>
      <c r="E1371" s="115" t="s">
        <v>2787</v>
      </c>
      <c r="F1371" s="115">
        <v>0.28599999999999998</v>
      </c>
      <c r="G1371" s="115" t="s">
        <v>2788</v>
      </c>
      <c r="H1371" s="115" t="s">
        <v>2789</v>
      </c>
      <c r="I1371" s="115" t="s">
        <v>2790</v>
      </c>
      <c r="J1371" s="115" t="s">
        <v>2791</v>
      </c>
      <c r="K1371" s="115" t="s">
        <v>510</v>
      </c>
      <c r="W1371" s="213">
        <v>1371</v>
      </c>
      <c r="X1371" s="214">
        <v>15</v>
      </c>
    </row>
    <row r="1372" spans="1:24" ht="15" customHeight="1" x14ac:dyDescent="0.25">
      <c r="A1372" s="117" t="s">
        <v>2763</v>
      </c>
      <c r="B1372" s="116" t="s">
        <v>6559</v>
      </c>
      <c r="C1372" s="117">
        <v>0</v>
      </c>
      <c r="D1372" s="118" t="s">
        <v>3161</v>
      </c>
      <c r="E1372" s="118" t="s">
        <v>6560</v>
      </c>
      <c r="F1372" s="118">
        <v>0.29299999999999998</v>
      </c>
      <c r="G1372" s="118" t="s">
        <v>5517</v>
      </c>
      <c r="H1372" s="118" t="s">
        <v>6561</v>
      </c>
      <c r="I1372" s="118" t="s">
        <v>6562</v>
      </c>
      <c r="J1372" s="118" t="s">
        <v>6563</v>
      </c>
      <c r="K1372" s="118" t="s">
        <v>510</v>
      </c>
      <c r="W1372" s="213">
        <v>1372</v>
      </c>
      <c r="X1372" s="214">
        <v>15</v>
      </c>
    </row>
    <row r="1373" spans="1:24" ht="15" customHeight="1" x14ac:dyDescent="0.25">
      <c r="A1373" s="114" t="s">
        <v>2763</v>
      </c>
      <c r="B1373" s="113" t="s">
        <v>6535</v>
      </c>
      <c r="C1373" s="114">
        <v>0</v>
      </c>
      <c r="D1373" s="115" t="s">
        <v>1146</v>
      </c>
      <c r="E1373" s="115" t="s">
        <v>6536</v>
      </c>
      <c r="F1373" s="115">
        <v>0.36299999999999999</v>
      </c>
      <c r="G1373" s="115" t="s">
        <v>6537</v>
      </c>
      <c r="H1373" s="115" t="s">
        <v>6538</v>
      </c>
      <c r="I1373" s="115" t="s">
        <v>6539</v>
      </c>
      <c r="J1373" s="115" t="s">
        <v>6540</v>
      </c>
      <c r="K1373" s="115" t="s">
        <v>510</v>
      </c>
      <c r="W1373" s="213">
        <v>1373</v>
      </c>
      <c r="X1373" s="214">
        <v>15</v>
      </c>
    </row>
    <row r="1374" spans="1:24" ht="15" customHeight="1" x14ac:dyDescent="0.25">
      <c r="A1374" s="67" t="s">
        <v>1966</v>
      </c>
      <c r="B1374" s="69" t="s">
        <v>4043</v>
      </c>
      <c r="C1374" s="67">
        <v>0</v>
      </c>
      <c r="D1374" s="68" t="s">
        <v>107</v>
      </c>
      <c r="E1374" s="68" t="s">
        <v>4044</v>
      </c>
      <c r="F1374" s="68">
        <v>0.58799999999999997</v>
      </c>
      <c r="G1374" s="68" t="s">
        <v>4045</v>
      </c>
      <c r="H1374" s="68" t="s">
        <v>4046</v>
      </c>
      <c r="I1374" s="68" t="s">
        <v>4047</v>
      </c>
      <c r="J1374" s="68" t="s">
        <v>4048</v>
      </c>
      <c r="K1374" s="68" t="s">
        <v>510</v>
      </c>
      <c r="W1374" s="213">
        <v>1374</v>
      </c>
      <c r="X1374" s="214">
        <v>10</v>
      </c>
    </row>
    <row r="1375" spans="1:24" x14ac:dyDescent="0.25">
      <c r="A1375" s="114" t="s">
        <v>2763</v>
      </c>
      <c r="B1375" s="113" t="s">
        <v>5478</v>
      </c>
      <c r="C1375" s="114">
        <v>0</v>
      </c>
      <c r="D1375" s="115" t="s">
        <v>4252</v>
      </c>
      <c r="E1375" s="115" t="s">
        <v>5479</v>
      </c>
      <c r="F1375" s="115">
        <v>0.27100000000000002</v>
      </c>
      <c r="G1375" s="115" t="s">
        <v>5480</v>
      </c>
      <c r="H1375" s="115" t="s">
        <v>5481</v>
      </c>
      <c r="I1375" s="115" t="s">
        <v>5482</v>
      </c>
      <c r="J1375" s="115" t="s">
        <v>5483</v>
      </c>
      <c r="K1375" s="115" t="s">
        <v>510</v>
      </c>
      <c r="W1375" s="213">
        <v>1375</v>
      </c>
      <c r="X1375" s="214">
        <v>15</v>
      </c>
    </row>
    <row r="1376" spans="1:24" x14ac:dyDescent="0.25">
      <c r="A1376" s="117" t="s">
        <v>2763</v>
      </c>
      <c r="B1376" s="133" t="s">
        <v>7893</v>
      </c>
      <c r="C1376" s="117">
        <v>0</v>
      </c>
      <c r="D1376" s="118" t="s">
        <v>2792</v>
      </c>
      <c r="E1376" s="118" t="s">
        <v>2793</v>
      </c>
      <c r="F1376" s="118">
        <v>0.22900000000000001</v>
      </c>
      <c r="G1376" s="118" t="s">
        <v>2794</v>
      </c>
      <c r="H1376" s="118" t="s">
        <v>2795</v>
      </c>
      <c r="I1376" s="118" t="s">
        <v>2796</v>
      </c>
      <c r="J1376" s="118" t="s">
        <v>2797</v>
      </c>
      <c r="K1376" s="118" t="s">
        <v>510</v>
      </c>
      <c r="W1376" s="213">
        <v>1376</v>
      </c>
      <c r="X1376" s="214">
        <v>15</v>
      </c>
    </row>
    <row r="1377" spans="1:24" x14ac:dyDescent="0.25">
      <c r="A1377" s="114" t="s">
        <v>2763</v>
      </c>
      <c r="B1377" s="113" t="s">
        <v>6807</v>
      </c>
      <c r="C1377" s="114">
        <v>0</v>
      </c>
      <c r="D1377" s="115" t="s">
        <v>966</v>
      </c>
      <c r="E1377" s="115" t="s">
        <v>6808</v>
      </c>
      <c r="F1377" s="115">
        <v>0.29299999999999998</v>
      </c>
      <c r="G1377" s="115" t="s">
        <v>6809</v>
      </c>
      <c r="H1377" s="115" t="s">
        <v>6810</v>
      </c>
      <c r="I1377" s="115" t="s">
        <v>6811</v>
      </c>
      <c r="J1377" s="115" t="s">
        <v>6812</v>
      </c>
      <c r="K1377" s="115" t="s">
        <v>510</v>
      </c>
      <c r="W1377" s="213">
        <v>1377</v>
      </c>
      <c r="X1377" s="214">
        <v>15</v>
      </c>
    </row>
    <row r="1378" spans="1:24" x14ac:dyDescent="0.25">
      <c r="A1378" s="117" t="s">
        <v>2763</v>
      </c>
      <c r="B1378" s="116" t="s">
        <v>6475</v>
      </c>
      <c r="C1378" s="117">
        <v>0</v>
      </c>
      <c r="D1378" s="118" t="s">
        <v>450</v>
      </c>
      <c r="E1378" s="118" t="s">
        <v>6476</v>
      </c>
      <c r="F1378" s="118">
        <v>0.35299999999999998</v>
      </c>
      <c r="G1378" s="118" t="s">
        <v>6477</v>
      </c>
      <c r="H1378" s="118" t="s">
        <v>4638</v>
      </c>
      <c r="I1378" s="118" t="s">
        <v>6464</v>
      </c>
      <c r="J1378" s="118" t="s">
        <v>6478</v>
      </c>
      <c r="K1378" s="118" t="s">
        <v>510</v>
      </c>
      <c r="W1378" s="213">
        <v>1378</v>
      </c>
      <c r="X1378" s="214">
        <v>15</v>
      </c>
    </row>
    <row r="1379" spans="1:24" x14ac:dyDescent="0.25">
      <c r="A1379" s="114" t="s">
        <v>2763</v>
      </c>
      <c r="B1379" s="113" t="s">
        <v>7164</v>
      </c>
      <c r="C1379" s="114">
        <v>0</v>
      </c>
      <c r="D1379" s="115" t="s">
        <v>3415</v>
      </c>
      <c r="E1379" s="115" t="s">
        <v>7165</v>
      </c>
      <c r="F1379" s="115">
        <v>0.29599999999999999</v>
      </c>
      <c r="G1379" s="115" t="s">
        <v>7166</v>
      </c>
      <c r="H1379" s="115" t="s">
        <v>7167</v>
      </c>
      <c r="I1379" s="115" t="s">
        <v>7168</v>
      </c>
      <c r="J1379" s="115" t="s">
        <v>7169</v>
      </c>
      <c r="K1379" s="115" t="s">
        <v>510</v>
      </c>
      <c r="W1379" s="213">
        <v>1379</v>
      </c>
      <c r="X1379" s="214">
        <v>15</v>
      </c>
    </row>
    <row r="1380" spans="1:24" x14ac:dyDescent="0.25">
      <c r="A1380" s="117" t="s">
        <v>2763</v>
      </c>
      <c r="B1380" s="116" t="s">
        <v>8427</v>
      </c>
      <c r="C1380" s="117">
        <v>0</v>
      </c>
      <c r="D1380" s="118" t="s">
        <v>2333</v>
      </c>
      <c r="E1380" s="118" t="s">
        <v>2805</v>
      </c>
      <c r="F1380" s="118">
        <v>0.313</v>
      </c>
      <c r="G1380" s="118" t="s">
        <v>2806</v>
      </c>
      <c r="H1380" s="118" t="s">
        <v>2807</v>
      </c>
      <c r="I1380" s="118" t="s">
        <v>2808</v>
      </c>
      <c r="J1380" s="118" t="s">
        <v>2809</v>
      </c>
      <c r="K1380" s="118" t="s">
        <v>510</v>
      </c>
      <c r="W1380" s="213">
        <v>1380</v>
      </c>
      <c r="X1380" s="214">
        <v>15</v>
      </c>
    </row>
    <row r="1381" spans="1:24" x14ac:dyDescent="0.25">
      <c r="A1381" s="114" t="s">
        <v>2763</v>
      </c>
      <c r="B1381" s="132" t="s">
        <v>8079</v>
      </c>
      <c r="C1381" s="114">
        <v>1</v>
      </c>
      <c r="D1381" s="115" t="s">
        <v>966</v>
      </c>
      <c r="E1381" s="115" t="s">
        <v>2798</v>
      </c>
      <c r="F1381" s="115">
        <v>0.24</v>
      </c>
      <c r="G1381" s="115" t="s">
        <v>2799</v>
      </c>
      <c r="H1381" s="115" t="s">
        <v>2800</v>
      </c>
      <c r="I1381" s="115" t="s">
        <v>2801</v>
      </c>
      <c r="J1381" s="115" t="s">
        <v>2802</v>
      </c>
      <c r="K1381" s="115" t="s">
        <v>510</v>
      </c>
      <c r="W1381" s="213">
        <v>1381</v>
      </c>
      <c r="X1381" s="214">
        <v>15</v>
      </c>
    </row>
    <row r="1382" spans="1:24" ht="14.45" customHeight="1" x14ac:dyDescent="0.25">
      <c r="A1382" s="118" t="s">
        <v>0</v>
      </c>
      <c r="B1382" s="117" t="s">
        <v>32</v>
      </c>
      <c r="C1382" s="133" t="s">
        <v>2803</v>
      </c>
      <c r="D1382" s="118" t="s">
        <v>1588</v>
      </c>
      <c r="E1382" s="118" t="s">
        <v>2804</v>
      </c>
      <c r="F1382" s="118" t="s">
        <v>510</v>
      </c>
      <c r="G1382" s="118" t="s">
        <v>510</v>
      </c>
      <c r="H1382" s="119"/>
      <c r="I1382" s="119"/>
      <c r="J1382" s="119"/>
      <c r="K1382" s="118" t="s">
        <v>510</v>
      </c>
      <c r="W1382" s="213">
        <v>1382</v>
      </c>
      <c r="X1382" s="214">
        <v>15</v>
      </c>
    </row>
    <row r="1383" spans="1:24" x14ac:dyDescent="0.25">
      <c r="A1383" s="114" t="s">
        <v>2763</v>
      </c>
      <c r="B1383" s="113" t="s">
        <v>6465</v>
      </c>
      <c r="C1383" s="114">
        <v>0</v>
      </c>
      <c r="D1383" s="115" t="s">
        <v>1318</v>
      </c>
      <c r="E1383" s="115" t="s">
        <v>6466</v>
      </c>
      <c r="F1383" s="115">
        <v>0.318</v>
      </c>
      <c r="G1383" s="115" t="s">
        <v>6467</v>
      </c>
      <c r="H1383" s="115" t="s">
        <v>6468</v>
      </c>
      <c r="I1383" s="115" t="s">
        <v>4390</v>
      </c>
      <c r="J1383" s="115" t="s">
        <v>6469</v>
      </c>
      <c r="K1383" s="115" t="s">
        <v>510</v>
      </c>
      <c r="W1383" s="213">
        <v>1383</v>
      </c>
      <c r="X1383" s="214">
        <v>15</v>
      </c>
    </row>
    <row r="1384" spans="1:24" x14ac:dyDescent="0.25">
      <c r="A1384" s="117" t="s">
        <v>2763</v>
      </c>
      <c r="B1384" s="116" t="s">
        <v>6172</v>
      </c>
      <c r="C1384" s="117">
        <v>0</v>
      </c>
      <c r="D1384" s="118" t="s">
        <v>219</v>
      </c>
      <c r="E1384" s="118" t="s">
        <v>6173</v>
      </c>
      <c r="F1384" s="118">
        <v>0.26</v>
      </c>
      <c r="G1384" s="118" t="s">
        <v>6174</v>
      </c>
      <c r="H1384" s="118" t="s">
        <v>5739</v>
      </c>
      <c r="I1384" s="118" t="s">
        <v>6175</v>
      </c>
      <c r="J1384" s="118" t="s">
        <v>6176</v>
      </c>
      <c r="K1384" s="118" t="s">
        <v>510</v>
      </c>
      <c r="W1384" s="213">
        <v>1384</v>
      </c>
      <c r="X1384" s="214">
        <v>15</v>
      </c>
    </row>
    <row r="1385" spans="1:24" x14ac:dyDescent="0.25">
      <c r="A1385" s="71" t="s">
        <v>1966</v>
      </c>
      <c r="B1385" s="73" t="s">
        <v>4049</v>
      </c>
      <c r="C1385" s="71">
        <v>0</v>
      </c>
      <c r="D1385" s="72" t="s">
        <v>469</v>
      </c>
      <c r="E1385" s="72" t="s">
        <v>4050</v>
      </c>
      <c r="F1385" s="72">
        <v>0.64500000000000002</v>
      </c>
      <c r="G1385" s="72" t="s">
        <v>4051</v>
      </c>
      <c r="H1385" s="72" t="s">
        <v>4052</v>
      </c>
      <c r="I1385" s="72" t="s">
        <v>4053</v>
      </c>
      <c r="J1385" s="72" t="s">
        <v>4054</v>
      </c>
      <c r="K1385" s="72" t="s">
        <v>510</v>
      </c>
      <c r="W1385" s="213">
        <v>1385</v>
      </c>
      <c r="X1385" s="214">
        <v>10</v>
      </c>
    </row>
    <row r="1386" spans="1:24" x14ac:dyDescent="0.25">
      <c r="A1386" s="117" t="s">
        <v>2763</v>
      </c>
      <c r="B1386" s="133" t="s">
        <v>7994</v>
      </c>
      <c r="C1386" s="117">
        <v>0</v>
      </c>
      <c r="D1386" s="118" t="s">
        <v>2629</v>
      </c>
      <c r="E1386" s="118" t="s">
        <v>2810</v>
      </c>
      <c r="F1386" s="118">
        <v>0.22900000000000001</v>
      </c>
      <c r="G1386" s="118" t="s">
        <v>2811</v>
      </c>
      <c r="H1386" s="118" t="s">
        <v>2812</v>
      </c>
      <c r="I1386" s="118" t="s">
        <v>2813</v>
      </c>
      <c r="J1386" s="118" t="s">
        <v>2814</v>
      </c>
      <c r="K1386" s="118" t="s">
        <v>510</v>
      </c>
      <c r="W1386" s="213">
        <v>1386</v>
      </c>
      <c r="X1386" s="214">
        <v>15</v>
      </c>
    </row>
    <row r="1387" spans="1:24" x14ac:dyDescent="0.25">
      <c r="A1387" s="114" t="s">
        <v>2763</v>
      </c>
      <c r="B1387" s="132" t="s">
        <v>8017</v>
      </c>
      <c r="C1387" s="114">
        <v>1</v>
      </c>
      <c r="D1387" s="115" t="s">
        <v>3206</v>
      </c>
      <c r="E1387" s="115" t="s">
        <v>4872</v>
      </c>
      <c r="F1387" s="115">
        <v>0.34799999999999998</v>
      </c>
      <c r="G1387" s="115" t="s">
        <v>4873</v>
      </c>
      <c r="H1387" s="115" t="s">
        <v>4874</v>
      </c>
      <c r="I1387" s="115" t="s">
        <v>4875</v>
      </c>
      <c r="J1387" s="115" t="s">
        <v>4876</v>
      </c>
      <c r="K1387" s="115" t="s">
        <v>510</v>
      </c>
      <c r="W1387" s="213">
        <v>1387</v>
      </c>
      <c r="X1387" s="214">
        <v>15</v>
      </c>
    </row>
    <row r="1388" spans="1:24" ht="14.45" customHeight="1" x14ac:dyDescent="0.25">
      <c r="A1388" s="118" t="s">
        <v>0</v>
      </c>
      <c r="B1388" s="117" t="s">
        <v>32</v>
      </c>
      <c r="C1388" s="133" t="s">
        <v>4877</v>
      </c>
      <c r="D1388" s="118" t="s">
        <v>1375</v>
      </c>
      <c r="E1388" s="118" t="s">
        <v>2239</v>
      </c>
      <c r="F1388" s="118" t="s">
        <v>510</v>
      </c>
      <c r="G1388" s="118" t="s">
        <v>510</v>
      </c>
      <c r="H1388" s="118"/>
      <c r="I1388" s="118"/>
      <c r="J1388" s="118"/>
      <c r="K1388" s="118" t="s">
        <v>510</v>
      </c>
      <c r="W1388" s="213">
        <v>1388</v>
      </c>
      <c r="X1388" s="214">
        <v>15</v>
      </c>
    </row>
    <row r="1389" spans="1:24" x14ac:dyDescent="0.25">
      <c r="A1389" s="114" t="s">
        <v>2763</v>
      </c>
      <c r="B1389" s="113" t="s">
        <v>4902</v>
      </c>
      <c r="C1389" s="114">
        <v>0</v>
      </c>
      <c r="D1389" s="115" t="s">
        <v>4657</v>
      </c>
      <c r="E1389" s="115" t="s">
        <v>4903</v>
      </c>
      <c r="F1389" s="115">
        <v>0.38600000000000001</v>
      </c>
      <c r="G1389" s="115" t="s">
        <v>4904</v>
      </c>
      <c r="H1389" s="115" t="s">
        <v>4905</v>
      </c>
      <c r="I1389" s="115" t="s">
        <v>4906</v>
      </c>
      <c r="J1389" s="115" t="s">
        <v>4907</v>
      </c>
      <c r="K1389" s="115" t="s">
        <v>510</v>
      </c>
      <c r="W1389" s="213">
        <v>1389</v>
      </c>
      <c r="X1389" s="214">
        <v>15</v>
      </c>
    </row>
    <row r="1390" spans="1:24" x14ac:dyDescent="0.25">
      <c r="A1390" s="117" t="s">
        <v>2763</v>
      </c>
      <c r="B1390" s="116" t="s">
        <v>6461</v>
      </c>
      <c r="C1390" s="117">
        <v>0</v>
      </c>
      <c r="D1390" s="118" t="s">
        <v>3286</v>
      </c>
      <c r="E1390" s="118" t="s">
        <v>4903</v>
      </c>
      <c r="F1390" s="118">
        <v>0.36899999999999999</v>
      </c>
      <c r="G1390" s="118" t="s">
        <v>6462</v>
      </c>
      <c r="H1390" s="118" t="s">
        <v>6463</v>
      </c>
      <c r="I1390" s="118" t="s">
        <v>6464</v>
      </c>
      <c r="J1390" s="118" t="s">
        <v>2307</v>
      </c>
      <c r="K1390" s="118" t="s">
        <v>510</v>
      </c>
      <c r="W1390" s="213">
        <v>1390</v>
      </c>
      <c r="X1390" s="214">
        <v>15</v>
      </c>
    </row>
    <row r="1391" spans="1:24" x14ac:dyDescent="0.25">
      <c r="A1391" s="114" t="s">
        <v>2763</v>
      </c>
      <c r="B1391" s="113" t="s">
        <v>7406</v>
      </c>
      <c r="C1391" s="114">
        <v>0</v>
      </c>
      <c r="D1391" s="115" t="s">
        <v>172</v>
      </c>
      <c r="E1391" s="115" t="s">
        <v>7407</v>
      </c>
      <c r="F1391" s="115">
        <v>0.32800000000000001</v>
      </c>
      <c r="G1391" s="115" t="s">
        <v>7408</v>
      </c>
      <c r="H1391" s="115" t="s">
        <v>7409</v>
      </c>
      <c r="I1391" s="115" t="s">
        <v>7410</v>
      </c>
      <c r="J1391" s="115" t="s">
        <v>7411</v>
      </c>
      <c r="K1391" s="115" t="s">
        <v>510</v>
      </c>
      <c r="W1391" s="213">
        <v>1391</v>
      </c>
      <c r="X1391" s="214">
        <v>15</v>
      </c>
    </row>
    <row r="1392" spans="1:24" x14ac:dyDescent="0.25">
      <c r="A1392" s="117" t="s">
        <v>2763</v>
      </c>
      <c r="B1392" s="116" t="s">
        <v>6043</v>
      </c>
      <c r="C1392" s="117">
        <v>0</v>
      </c>
      <c r="D1392" s="118" t="s">
        <v>3161</v>
      </c>
      <c r="E1392" s="118" t="s">
        <v>6044</v>
      </c>
      <c r="F1392" s="118">
        <v>0.32500000000000001</v>
      </c>
      <c r="G1392" s="118" t="s">
        <v>6045</v>
      </c>
      <c r="H1392" s="118" t="s">
        <v>6046</v>
      </c>
      <c r="I1392" s="118" t="s">
        <v>4838</v>
      </c>
      <c r="J1392" s="118" t="s">
        <v>6047</v>
      </c>
      <c r="K1392" s="118" t="s">
        <v>510</v>
      </c>
      <c r="W1392" s="213">
        <v>1392</v>
      </c>
      <c r="X1392" s="214">
        <v>15</v>
      </c>
    </row>
    <row r="1393" spans="1:24" x14ac:dyDescent="0.25">
      <c r="A1393" s="114" t="s">
        <v>2763</v>
      </c>
      <c r="B1393" s="113" t="s">
        <v>4740</v>
      </c>
      <c r="C1393" s="114">
        <v>0</v>
      </c>
      <c r="D1393" s="115" t="s">
        <v>4663</v>
      </c>
      <c r="E1393" s="115" t="s">
        <v>4741</v>
      </c>
      <c r="F1393" s="115">
        <v>0.33100000000000002</v>
      </c>
      <c r="G1393" s="115" t="s">
        <v>4742</v>
      </c>
      <c r="H1393" s="115" t="s">
        <v>4743</v>
      </c>
      <c r="I1393" s="115" t="s">
        <v>4744</v>
      </c>
      <c r="J1393" s="115" t="s">
        <v>4745</v>
      </c>
      <c r="K1393" s="115" t="s">
        <v>510</v>
      </c>
      <c r="W1393" s="213">
        <v>1393</v>
      </c>
      <c r="X1393" s="214">
        <v>15</v>
      </c>
    </row>
    <row r="1394" spans="1:24" x14ac:dyDescent="0.25">
      <c r="A1394" s="117" t="s">
        <v>2763</v>
      </c>
      <c r="B1394" s="116" t="s">
        <v>5568</v>
      </c>
      <c r="C1394" s="117">
        <v>0</v>
      </c>
      <c r="D1394" s="118" t="s">
        <v>4252</v>
      </c>
      <c r="E1394" s="118" t="s">
        <v>5569</v>
      </c>
      <c r="F1394" s="118">
        <v>0.32700000000000001</v>
      </c>
      <c r="G1394" s="118" t="s">
        <v>5570</v>
      </c>
      <c r="H1394" s="118" t="s">
        <v>5571</v>
      </c>
      <c r="I1394" s="118" t="s">
        <v>5572</v>
      </c>
      <c r="J1394" s="118" t="s">
        <v>5573</v>
      </c>
      <c r="K1394" s="118" t="s">
        <v>510</v>
      </c>
      <c r="W1394" s="213">
        <v>1394</v>
      </c>
      <c r="X1394" s="214">
        <v>15</v>
      </c>
    </row>
    <row r="1395" spans="1:24" x14ac:dyDescent="0.25">
      <c r="A1395" s="114" t="s">
        <v>2763</v>
      </c>
      <c r="B1395" s="113" t="s">
        <v>6825</v>
      </c>
      <c r="C1395" s="114">
        <v>0</v>
      </c>
      <c r="D1395" s="115" t="s">
        <v>219</v>
      </c>
      <c r="E1395" s="115" t="s">
        <v>6826</v>
      </c>
      <c r="F1395" s="115">
        <v>0.29099999999999998</v>
      </c>
      <c r="G1395" s="115" t="s">
        <v>6827</v>
      </c>
      <c r="H1395" s="115" t="s">
        <v>6828</v>
      </c>
      <c r="I1395" s="115" t="s">
        <v>6288</v>
      </c>
      <c r="J1395" s="115" t="s">
        <v>4255</v>
      </c>
      <c r="K1395" s="115" t="s">
        <v>510</v>
      </c>
      <c r="W1395" s="213">
        <v>1395</v>
      </c>
      <c r="X1395" s="214">
        <v>15</v>
      </c>
    </row>
    <row r="1396" spans="1:24" x14ac:dyDescent="0.25">
      <c r="A1396" s="117" t="s">
        <v>2763</v>
      </c>
      <c r="B1396" s="116" t="s">
        <v>4251</v>
      </c>
      <c r="C1396" s="117">
        <v>0</v>
      </c>
      <c r="D1396" s="118" t="s">
        <v>4252</v>
      </c>
      <c r="E1396" s="118" t="s">
        <v>4253</v>
      </c>
      <c r="F1396" s="118">
        <v>0.33900000000000002</v>
      </c>
      <c r="G1396" s="118" t="s">
        <v>4254</v>
      </c>
      <c r="H1396" s="118" t="s">
        <v>4255</v>
      </c>
      <c r="I1396" s="118" t="s">
        <v>2863</v>
      </c>
      <c r="J1396" s="118" t="s">
        <v>4256</v>
      </c>
      <c r="K1396" s="118" t="s">
        <v>510</v>
      </c>
      <c r="W1396" s="213">
        <v>1396</v>
      </c>
      <c r="X1396" s="214">
        <v>15</v>
      </c>
    </row>
    <row r="1397" spans="1:24" x14ac:dyDescent="0.25">
      <c r="A1397" s="114" t="s">
        <v>2763</v>
      </c>
      <c r="B1397" s="113" t="s">
        <v>5078</v>
      </c>
      <c r="C1397" s="114">
        <v>0</v>
      </c>
      <c r="D1397" s="115" t="s">
        <v>4657</v>
      </c>
      <c r="E1397" s="115" t="s">
        <v>5079</v>
      </c>
      <c r="F1397" s="115">
        <v>0.28599999999999998</v>
      </c>
      <c r="G1397" s="115" t="s">
        <v>5080</v>
      </c>
      <c r="H1397" s="115" t="s">
        <v>5081</v>
      </c>
      <c r="I1397" s="115" t="s">
        <v>5082</v>
      </c>
      <c r="J1397" s="115" t="s">
        <v>5083</v>
      </c>
      <c r="K1397" s="115" t="s">
        <v>510</v>
      </c>
      <c r="W1397" s="213">
        <v>1397</v>
      </c>
      <c r="X1397" s="214">
        <v>15</v>
      </c>
    </row>
    <row r="1398" spans="1:24" x14ac:dyDescent="0.25">
      <c r="A1398" s="117" t="s">
        <v>2763</v>
      </c>
      <c r="B1398" s="116" t="s">
        <v>5258</v>
      </c>
      <c r="C1398" s="117">
        <v>0</v>
      </c>
      <c r="D1398" s="118" t="s">
        <v>5021</v>
      </c>
      <c r="E1398" s="118" t="s">
        <v>5259</v>
      </c>
      <c r="F1398" s="118">
        <v>0.33600000000000002</v>
      </c>
      <c r="G1398" s="118" t="s">
        <v>5260</v>
      </c>
      <c r="H1398" s="118" t="s">
        <v>5261</v>
      </c>
      <c r="I1398" s="118" t="s">
        <v>5262</v>
      </c>
      <c r="J1398" s="118" t="s">
        <v>5263</v>
      </c>
      <c r="K1398" s="118" t="s">
        <v>510</v>
      </c>
      <c r="W1398" s="213">
        <v>1398</v>
      </c>
      <c r="X1398" s="214">
        <v>15</v>
      </c>
    </row>
    <row r="1399" spans="1:24" x14ac:dyDescent="0.25">
      <c r="A1399" s="71" t="s">
        <v>1966</v>
      </c>
      <c r="B1399" s="73" t="s">
        <v>3319</v>
      </c>
      <c r="C1399" s="71">
        <v>0</v>
      </c>
      <c r="D1399" s="72" t="s">
        <v>2786</v>
      </c>
      <c r="E1399" s="72" t="s">
        <v>3320</v>
      </c>
      <c r="F1399" s="72">
        <v>0.35899999999999999</v>
      </c>
      <c r="G1399" s="72" t="s">
        <v>3321</v>
      </c>
      <c r="H1399" s="72" t="s">
        <v>3322</v>
      </c>
      <c r="I1399" s="72" t="s">
        <v>3323</v>
      </c>
      <c r="J1399" s="72" t="s">
        <v>3324</v>
      </c>
      <c r="K1399" s="72" t="s">
        <v>510</v>
      </c>
      <c r="W1399" s="213">
        <v>1399</v>
      </c>
      <c r="X1399" s="214">
        <v>10</v>
      </c>
    </row>
    <row r="1400" spans="1:24" x14ac:dyDescent="0.25">
      <c r="A1400" s="117" t="s">
        <v>2763</v>
      </c>
      <c r="B1400" s="116" t="s">
        <v>6235</v>
      </c>
      <c r="C1400" s="117">
        <v>0</v>
      </c>
      <c r="D1400" s="118" t="s">
        <v>219</v>
      </c>
      <c r="E1400" s="118" t="s">
        <v>6236</v>
      </c>
      <c r="F1400" s="118">
        <v>0.24199999999999999</v>
      </c>
      <c r="G1400" s="118" t="s">
        <v>6237</v>
      </c>
      <c r="H1400" s="118" t="s">
        <v>6238</v>
      </c>
      <c r="I1400" s="118" t="s">
        <v>6239</v>
      </c>
      <c r="J1400" s="118" t="s">
        <v>6240</v>
      </c>
      <c r="K1400" s="118" t="s">
        <v>510</v>
      </c>
      <c r="W1400" s="213">
        <v>1400</v>
      </c>
      <c r="X1400" s="214">
        <v>15</v>
      </c>
    </row>
    <row r="1401" spans="1:24" x14ac:dyDescent="0.25">
      <c r="A1401" s="114" t="s">
        <v>2763</v>
      </c>
      <c r="B1401" s="113" t="s">
        <v>6247</v>
      </c>
      <c r="C1401" s="114">
        <v>0</v>
      </c>
      <c r="D1401" s="115" t="s">
        <v>1848</v>
      </c>
      <c r="E1401" s="115" t="s">
        <v>6248</v>
      </c>
      <c r="F1401" s="115">
        <v>0.317</v>
      </c>
      <c r="G1401" s="115" t="s">
        <v>3762</v>
      </c>
      <c r="H1401" s="115" t="s">
        <v>6249</v>
      </c>
      <c r="I1401" s="115" t="s">
        <v>6250</v>
      </c>
      <c r="J1401" s="115" t="s">
        <v>6251</v>
      </c>
      <c r="K1401" s="115" t="s">
        <v>510</v>
      </c>
      <c r="W1401" s="213">
        <v>1401</v>
      </c>
      <c r="X1401" s="214">
        <v>15</v>
      </c>
    </row>
    <row r="1402" spans="1:24" x14ac:dyDescent="0.25">
      <c r="A1402" s="117" t="s">
        <v>2763</v>
      </c>
      <c r="B1402" s="116" t="s">
        <v>7176</v>
      </c>
      <c r="C1402" s="117">
        <v>0</v>
      </c>
      <c r="D1402" s="118" t="s">
        <v>1375</v>
      </c>
      <c r="E1402" s="118" t="s">
        <v>7177</v>
      </c>
      <c r="F1402" s="118">
        <v>0.36899999999999999</v>
      </c>
      <c r="G1402" s="118" t="s">
        <v>7178</v>
      </c>
      <c r="H1402" s="118" t="s">
        <v>7179</v>
      </c>
      <c r="I1402" s="118" t="s">
        <v>7180</v>
      </c>
      <c r="J1402" s="118" t="s">
        <v>3326</v>
      </c>
      <c r="K1402" s="118" t="s">
        <v>510</v>
      </c>
      <c r="W1402" s="213">
        <v>1402</v>
      </c>
      <c r="X1402" s="214">
        <v>15</v>
      </c>
    </row>
    <row r="1403" spans="1:24" x14ac:dyDescent="0.25">
      <c r="A1403" s="114" t="s">
        <v>2763</v>
      </c>
      <c r="B1403" s="113" t="s">
        <v>4435</v>
      </c>
      <c r="C1403" s="114">
        <v>0</v>
      </c>
      <c r="D1403" s="115" t="s">
        <v>4436</v>
      </c>
      <c r="E1403" s="115" t="s">
        <v>4437</v>
      </c>
      <c r="F1403" s="115">
        <v>0.33200000000000002</v>
      </c>
      <c r="G1403" s="115" t="s">
        <v>4438</v>
      </c>
      <c r="H1403" s="115" t="s">
        <v>4439</v>
      </c>
      <c r="I1403" s="115" t="s">
        <v>4440</v>
      </c>
      <c r="J1403" s="115" t="s">
        <v>4441</v>
      </c>
      <c r="K1403" s="115" t="s">
        <v>510</v>
      </c>
      <c r="W1403" s="213">
        <v>1403</v>
      </c>
      <c r="X1403" s="214">
        <v>15</v>
      </c>
    </row>
    <row r="1404" spans="1:24" x14ac:dyDescent="0.25">
      <c r="A1404" s="117" t="s">
        <v>2763</v>
      </c>
      <c r="B1404" s="116" t="s">
        <v>4710</v>
      </c>
      <c r="C1404" s="117">
        <v>0</v>
      </c>
      <c r="D1404" s="118" t="s">
        <v>4711</v>
      </c>
      <c r="E1404" s="118" t="s">
        <v>4712</v>
      </c>
      <c r="F1404" s="118">
        <v>0.27900000000000003</v>
      </c>
      <c r="G1404" s="118" t="s">
        <v>4713</v>
      </c>
      <c r="H1404" s="118" t="s">
        <v>4714</v>
      </c>
      <c r="I1404" s="118" t="s">
        <v>4715</v>
      </c>
      <c r="J1404" s="118" t="s">
        <v>4716</v>
      </c>
      <c r="K1404" s="118" t="s">
        <v>510</v>
      </c>
      <c r="W1404" s="213">
        <v>1404</v>
      </c>
      <c r="X1404" s="214">
        <v>15</v>
      </c>
    </row>
    <row r="1405" spans="1:24" x14ac:dyDescent="0.25">
      <c r="A1405" s="114" t="s">
        <v>2763</v>
      </c>
      <c r="B1405" s="113" t="s">
        <v>5470</v>
      </c>
      <c r="C1405" s="114">
        <v>0</v>
      </c>
      <c r="D1405" s="115" t="s">
        <v>3250</v>
      </c>
      <c r="E1405" s="115" t="s">
        <v>5471</v>
      </c>
      <c r="F1405" s="115">
        <v>0.35099999999999998</v>
      </c>
      <c r="G1405" s="115" t="s">
        <v>2340</v>
      </c>
      <c r="H1405" s="115" t="s">
        <v>5472</v>
      </c>
      <c r="I1405" s="115" t="s">
        <v>5473</v>
      </c>
      <c r="J1405" s="115" t="s">
        <v>5474</v>
      </c>
      <c r="K1405" s="115" t="s">
        <v>510</v>
      </c>
      <c r="W1405" s="213">
        <v>1405</v>
      </c>
      <c r="X1405" s="214">
        <v>15</v>
      </c>
    </row>
    <row r="1406" spans="1:24" x14ac:dyDescent="0.25">
      <c r="A1406" s="117" t="s">
        <v>2763</v>
      </c>
      <c r="B1406" s="116" t="s">
        <v>5552</v>
      </c>
      <c r="C1406" s="117">
        <v>0</v>
      </c>
      <c r="D1406" s="118" t="s">
        <v>4252</v>
      </c>
      <c r="E1406" s="118" t="s">
        <v>5553</v>
      </c>
      <c r="F1406" s="118">
        <v>0.33500000000000002</v>
      </c>
      <c r="G1406" s="118" t="s">
        <v>5554</v>
      </c>
      <c r="H1406" s="118" t="s">
        <v>5555</v>
      </c>
      <c r="I1406" s="118" t="s">
        <v>5556</v>
      </c>
      <c r="J1406" s="118" t="s">
        <v>5013</v>
      </c>
      <c r="K1406" s="118" t="s">
        <v>510</v>
      </c>
      <c r="W1406" s="213">
        <v>1406</v>
      </c>
      <c r="X1406" s="214">
        <v>15</v>
      </c>
    </row>
    <row r="1407" spans="1:24" x14ac:dyDescent="0.25">
      <c r="A1407" s="114" t="s">
        <v>2763</v>
      </c>
      <c r="B1407" s="113" t="s">
        <v>5520</v>
      </c>
      <c r="C1407" s="114">
        <v>0</v>
      </c>
      <c r="D1407" s="115" t="s">
        <v>3250</v>
      </c>
      <c r="E1407" s="115" t="s">
        <v>5521</v>
      </c>
      <c r="F1407" s="115">
        <v>0.374</v>
      </c>
      <c r="G1407" s="115" t="s">
        <v>5522</v>
      </c>
      <c r="H1407" s="115" t="s">
        <v>5523</v>
      </c>
      <c r="I1407" s="115" t="s">
        <v>5524</v>
      </c>
      <c r="J1407" s="115" t="s">
        <v>5525</v>
      </c>
      <c r="K1407" s="115" t="s">
        <v>510</v>
      </c>
      <c r="W1407" s="213">
        <v>1407</v>
      </c>
      <c r="X1407" s="214">
        <v>15</v>
      </c>
    </row>
    <row r="1408" spans="1:24" x14ac:dyDescent="0.25">
      <c r="A1408" s="117" t="s">
        <v>2763</v>
      </c>
      <c r="B1408" s="116" t="s">
        <v>7402</v>
      </c>
      <c r="C1408" s="117">
        <v>0</v>
      </c>
      <c r="D1408" s="118" t="s">
        <v>743</v>
      </c>
      <c r="E1408" s="118" t="s">
        <v>7403</v>
      </c>
      <c r="F1408" s="118">
        <v>0.42699999999999999</v>
      </c>
      <c r="G1408" s="118" t="s">
        <v>4852</v>
      </c>
      <c r="H1408" s="118" t="s">
        <v>7404</v>
      </c>
      <c r="I1408" s="118" t="s">
        <v>7405</v>
      </c>
      <c r="J1408" s="118" t="s">
        <v>2937</v>
      </c>
      <c r="K1408" s="118" t="s">
        <v>510</v>
      </c>
      <c r="W1408" s="213">
        <v>1408</v>
      </c>
      <c r="X1408" s="214">
        <v>15</v>
      </c>
    </row>
    <row r="1409" spans="1:24" x14ac:dyDescent="0.25">
      <c r="A1409" s="114" t="s">
        <v>2763</v>
      </c>
      <c r="B1409" s="113" t="s">
        <v>7181</v>
      </c>
      <c r="C1409" s="114">
        <v>0</v>
      </c>
      <c r="D1409" s="115" t="s">
        <v>261</v>
      </c>
      <c r="E1409" s="115" t="s">
        <v>7182</v>
      </c>
      <c r="F1409" s="115">
        <v>0.27300000000000002</v>
      </c>
      <c r="G1409" s="115" t="s">
        <v>7183</v>
      </c>
      <c r="H1409" s="115" t="s">
        <v>7184</v>
      </c>
      <c r="I1409" s="115" t="s">
        <v>7185</v>
      </c>
      <c r="J1409" s="115" t="s">
        <v>7186</v>
      </c>
      <c r="K1409" s="115" t="s">
        <v>510</v>
      </c>
      <c r="W1409" s="213">
        <v>1409</v>
      </c>
      <c r="X1409" s="214">
        <v>15</v>
      </c>
    </row>
    <row r="1410" spans="1:24" x14ac:dyDescent="0.25">
      <c r="A1410" s="117" t="s">
        <v>2763</v>
      </c>
      <c r="B1410" s="116" t="s">
        <v>5999</v>
      </c>
      <c r="C1410" s="117">
        <v>0</v>
      </c>
      <c r="D1410" s="118" t="s">
        <v>3250</v>
      </c>
      <c r="E1410" s="118" t="s">
        <v>6000</v>
      </c>
      <c r="F1410" s="118">
        <v>0.314</v>
      </c>
      <c r="G1410" s="118" t="s">
        <v>6001</v>
      </c>
      <c r="H1410" s="118" t="s">
        <v>6002</v>
      </c>
      <c r="I1410" s="118" t="s">
        <v>6003</v>
      </c>
      <c r="J1410" s="118" t="s">
        <v>3591</v>
      </c>
      <c r="K1410" s="118" t="s">
        <v>510</v>
      </c>
      <c r="W1410" s="213">
        <v>1410</v>
      </c>
      <c r="X1410" s="214">
        <v>15</v>
      </c>
    </row>
    <row r="1411" spans="1:24" x14ac:dyDescent="0.25">
      <c r="A1411" s="114" t="s">
        <v>2763</v>
      </c>
      <c r="B1411" s="113" t="s">
        <v>5458</v>
      </c>
      <c r="C1411" s="114">
        <v>0</v>
      </c>
      <c r="D1411" s="115" t="s">
        <v>450</v>
      </c>
      <c r="E1411" s="115" t="s">
        <v>5459</v>
      </c>
      <c r="F1411" s="115">
        <v>0.35599999999999998</v>
      </c>
      <c r="G1411" s="115" t="s">
        <v>5460</v>
      </c>
      <c r="H1411" s="115" t="s">
        <v>5461</v>
      </c>
      <c r="I1411" s="115" t="s">
        <v>5462</v>
      </c>
      <c r="J1411" s="115" t="s">
        <v>5463</v>
      </c>
      <c r="K1411" s="115" t="s">
        <v>510</v>
      </c>
      <c r="W1411" s="213">
        <v>1411</v>
      </c>
      <c r="X1411" s="214">
        <v>15</v>
      </c>
    </row>
    <row r="1412" spans="1:24" x14ac:dyDescent="0.25">
      <c r="A1412" s="117" t="s">
        <v>2763</v>
      </c>
      <c r="B1412" s="116" t="s">
        <v>4853</v>
      </c>
      <c r="C1412" s="117">
        <v>0</v>
      </c>
      <c r="D1412" s="118" t="s">
        <v>1409</v>
      </c>
      <c r="E1412" s="118" t="s">
        <v>4854</v>
      </c>
      <c r="F1412" s="118">
        <v>0.28999999999999998</v>
      </c>
      <c r="G1412" s="118" t="s">
        <v>4855</v>
      </c>
      <c r="H1412" s="118" t="s">
        <v>4856</v>
      </c>
      <c r="I1412" s="118" t="s">
        <v>4857</v>
      </c>
      <c r="J1412" s="118" t="s">
        <v>4858</v>
      </c>
      <c r="K1412" s="118" t="s">
        <v>510</v>
      </c>
      <c r="W1412" s="213">
        <v>1412</v>
      </c>
      <c r="X1412" s="214">
        <v>15</v>
      </c>
    </row>
    <row r="1413" spans="1:24" x14ac:dyDescent="0.25">
      <c r="A1413" s="114" t="s">
        <v>2763</v>
      </c>
      <c r="B1413" s="113" t="s">
        <v>5067</v>
      </c>
      <c r="C1413" s="114">
        <v>0</v>
      </c>
      <c r="D1413" s="115" t="s">
        <v>4694</v>
      </c>
      <c r="E1413" s="115" t="s">
        <v>5068</v>
      </c>
      <c r="F1413" s="115">
        <v>0.34599999999999997</v>
      </c>
      <c r="G1413" s="115" t="s">
        <v>5069</v>
      </c>
      <c r="H1413" s="115" t="s">
        <v>5070</v>
      </c>
      <c r="I1413" s="115" t="s">
        <v>5071</v>
      </c>
      <c r="J1413" s="115" t="s">
        <v>5072</v>
      </c>
      <c r="K1413" s="115" t="s">
        <v>510</v>
      </c>
      <c r="W1413" s="213">
        <v>1413</v>
      </c>
      <c r="X1413" s="214">
        <v>15</v>
      </c>
    </row>
    <row r="1414" spans="1:24" x14ac:dyDescent="0.25">
      <c r="A1414" s="117" t="s">
        <v>2763</v>
      </c>
      <c r="B1414" s="116" t="s">
        <v>5994</v>
      </c>
      <c r="C1414" s="117">
        <v>0</v>
      </c>
      <c r="D1414" s="118" t="s">
        <v>3206</v>
      </c>
      <c r="E1414" s="118" t="s">
        <v>5068</v>
      </c>
      <c r="F1414" s="118">
        <v>0.41299999999999998</v>
      </c>
      <c r="G1414" s="118" t="s">
        <v>5995</v>
      </c>
      <c r="H1414" s="118" t="s">
        <v>5996</v>
      </c>
      <c r="I1414" s="118" t="s">
        <v>5997</v>
      </c>
      <c r="J1414" s="118" t="s">
        <v>5998</v>
      </c>
      <c r="K1414" s="118" t="s">
        <v>510</v>
      </c>
      <c r="W1414" s="213">
        <v>1414</v>
      </c>
      <c r="X1414" s="214">
        <v>15</v>
      </c>
    </row>
    <row r="1415" spans="1:24" x14ac:dyDescent="0.25">
      <c r="A1415" s="114" t="s">
        <v>2763</v>
      </c>
      <c r="B1415" s="132" t="s">
        <v>7995</v>
      </c>
      <c r="C1415" s="114">
        <v>0</v>
      </c>
      <c r="D1415" s="115" t="s">
        <v>7950</v>
      </c>
      <c r="E1415" s="115" t="s">
        <v>2815</v>
      </c>
      <c r="F1415" s="115">
        <v>0.25</v>
      </c>
      <c r="G1415" s="115" t="s">
        <v>2816</v>
      </c>
      <c r="H1415" s="115" t="s">
        <v>2817</v>
      </c>
      <c r="I1415" s="115" t="s">
        <v>2818</v>
      </c>
      <c r="J1415" s="115" t="s">
        <v>2819</v>
      </c>
      <c r="K1415" s="115" t="s">
        <v>510</v>
      </c>
      <c r="W1415" s="213">
        <v>1415</v>
      </c>
      <c r="X1415" s="214">
        <v>15</v>
      </c>
    </row>
    <row r="1416" spans="1:24" x14ac:dyDescent="0.25">
      <c r="A1416" s="117" t="s">
        <v>2763</v>
      </c>
      <c r="B1416" s="116" t="s">
        <v>6547</v>
      </c>
      <c r="C1416" s="117">
        <v>0</v>
      </c>
      <c r="D1416" s="118" t="s">
        <v>3161</v>
      </c>
      <c r="E1416" s="118" t="s">
        <v>6548</v>
      </c>
      <c r="F1416" s="118">
        <v>0.26800000000000002</v>
      </c>
      <c r="G1416" s="118" t="s">
        <v>6549</v>
      </c>
      <c r="H1416" s="118" t="s">
        <v>6550</v>
      </c>
      <c r="I1416" s="118" t="s">
        <v>6551</v>
      </c>
      <c r="J1416" s="118" t="s">
        <v>6552</v>
      </c>
      <c r="K1416" s="118" t="s">
        <v>510</v>
      </c>
      <c r="W1416" s="213">
        <v>1416</v>
      </c>
      <c r="X1416" s="214">
        <v>15</v>
      </c>
    </row>
    <row r="1417" spans="1:24" x14ac:dyDescent="0.25">
      <c r="A1417" s="114" t="s">
        <v>2763</v>
      </c>
      <c r="B1417" s="132" t="s">
        <v>7932</v>
      </c>
      <c r="C1417" s="114">
        <v>0</v>
      </c>
      <c r="D1417" s="115" t="s">
        <v>7913</v>
      </c>
      <c r="E1417" s="115" t="s">
        <v>2821</v>
      </c>
      <c r="F1417" s="115">
        <v>0.29099999999999998</v>
      </c>
      <c r="G1417" s="115" t="s">
        <v>2822</v>
      </c>
      <c r="H1417" s="115" t="s">
        <v>2823</v>
      </c>
      <c r="I1417" s="115" t="s">
        <v>2824</v>
      </c>
      <c r="J1417" s="115" t="s">
        <v>2825</v>
      </c>
      <c r="K1417" s="115" t="s">
        <v>510</v>
      </c>
      <c r="W1417" s="213">
        <v>1417</v>
      </c>
      <c r="X1417" s="214">
        <v>15</v>
      </c>
    </row>
    <row r="1418" spans="1:24" x14ac:dyDescent="0.25">
      <c r="A1418" s="117" t="s">
        <v>2763</v>
      </c>
      <c r="B1418" s="133" t="s">
        <v>7996</v>
      </c>
      <c r="C1418" s="117">
        <v>0</v>
      </c>
      <c r="D1418" s="118" t="s">
        <v>2031</v>
      </c>
      <c r="E1418" s="118" t="s">
        <v>2827</v>
      </c>
      <c r="F1418" s="118">
        <v>0.185</v>
      </c>
      <c r="G1418" s="118" t="s">
        <v>2828</v>
      </c>
      <c r="H1418" s="118" t="s">
        <v>2829</v>
      </c>
      <c r="I1418" s="118" t="s">
        <v>2830</v>
      </c>
      <c r="J1418" s="118" t="s">
        <v>2831</v>
      </c>
      <c r="K1418" s="118" t="s">
        <v>510</v>
      </c>
      <c r="W1418" s="213">
        <v>1418</v>
      </c>
      <c r="X1418" s="214">
        <v>15</v>
      </c>
    </row>
    <row r="1419" spans="1:24" x14ac:dyDescent="0.25">
      <c r="A1419" s="114" t="s">
        <v>2763</v>
      </c>
      <c r="B1419" s="113" t="s">
        <v>6749</v>
      </c>
      <c r="C1419" s="114">
        <v>0</v>
      </c>
      <c r="D1419" s="115" t="s">
        <v>3415</v>
      </c>
      <c r="E1419" s="115" t="s">
        <v>6750</v>
      </c>
      <c r="F1419" s="115">
        <v>0.57099999999999995</v>
      </c>
      <c r="G1419" s="115" t="s">
        <v>6751</v>
      </c>
      <c r="H1419" s="115" t="s">
        <v>6752</v>
      </c>
      <c r="I1419" s="115" t="s">
        <v>6753</v>
      </c>
      <c r="J1419" s="115" t="s">
        <v>6754</v>
      </c>
      <c r="K1419" s="115" t="s">
        <v>510</v>
      </c>
      <c r="W1419" s="213">
        <v>1419</v>
      </c>
      <c r="X1419" s="214">
        <v>15</v>
      </c>
    </row>
    <row r="1420" spans="1:24" x14ac:dyDescent="0.25">
      <c r="A1420" s="117" t="s">
        <v>2763</v>
      </c>
      <c r="B1420" s="116" t="s">
        <v>5264</v>
      </c>
      <c r="C1420" s="117">
        <v>0</v>
      </c>
      <c r="D1420" s="118" t="s">
        <v>1388</v>
      </c>
      <c r="E1420" s="118" t="s">
        <v>5265</v>
      </c>
      <c r="F1420" s="118">
        <v>0.32800000000000001</v>
      </c>
      <c r="G1420" s="118" t="s">
        <v>5266</v>
      </c>
      <c r="H1420" s="118" t="s">
        <v>5267</v>
      </c>
      <c r="I1420" s="118" t="s">
        <v>5268</v>
      </c>
      <c r="J1420" s="118" t="s">
        <v>5269</v>
      </c>
      <c r="K1420" s="118" t="s">
        <v>510</v>
      </c>
      <c r="W1420" s="213">
        <v>1420</v>
      </c>
      <c r="X1420" s="214">
        <v>15</v>
      </c>
    </row>
    <row r="1421" spans="1:24" x14ac:dyDescent="0.25">
      <c r="A1421" s="114" t="s">
        <v>2763</v>
      </c>
      <c r="B1421" s="113" t="s">
        <v>5808</v>
      </c>
      <c r="C1421" s="114">
        <v>0</v>
      </c>
      <c r="D1421" s="115" t="s">
        <v>431</v>
      </c>
      <c r="E1421" s="115" t="s">
        <v>5809</v>
      </c>
      <c r="F1421" s="115">
        <v>0.38400000000000001</v>
      </c>
      <c r="G1421" s="115" t="s">
        <v>5810</v>
      </c>
      <c r="H1421" s="115" t="s">
        <v>5811</v>
      </c>
      <c r="I1421" s="115" t="s">
        <v>5812</v>
      </c>
      <c r="J1421" s="115" t="s">
        <v>5813</v>
      </c>
      <c r="K1421" s="115" t="s">
        <v>510</v>
      </c>
      <c r="W1421" s="213">
        <v>1421</v>
      </c>
      <c r="X1421" s="214">
        <v>15</v>
      </c>
    </row>
    <row r="1422" spans="1:24" x14ac:dyDescent="0.25">
      <c r="A1422" s="117" t="s">
        <v>2763</v>
      </c>
      <c r="B1422" s="116" t="s">
        <v>6490</v>
      </c>
      <c r="C1422" s="117">
        <v>0</v>
      </c>
      <c r="D1422" s="118" t="s">
        <v>165</v>
      </c>
      <c r="E1422" s="118" t="s">
        <v>6491</v>
      </c>
      <c r="F1422" s="118">
        <v>0.40400000000000003</v>
      </c>
      <c r="G1422" s="118" t="s">
        <v>6066</v>
      </c>
      <c r="H1422" s="118" t="s">
        <v>6492</v>
      </c>
      <c r="I1422" s="118" t="s">
        <v>6493</v>
      </c>
      <c r="J1422" s="118" t="s">
        <v>6494</v>
      </c>
      <c r="K1422" s="118" t="s">
        <v>510</v>
      </c>
      <c r="W1422" s="213">
        <v>1422</v>
      </c>
      <c r="X1422" s="214">
        <v>15</v>
      </c>
    </row>
    <row r="1423" spans="1:24" x14ac:dyDescent="0.25">
      <c r="A1423" s="71" t="s">
        <v>1966</v>
      </c>
      <c r="B1423" s="73" t="s">
        <v>3354</v>
      </c>
      <c r="C1423" s="71">
        <v>0</v>
      </c>
      <c r="D1423" s="72" t="s">
        <v>2471</v>
      </c>
      <c r="E1423" s="72" t="s">
        <v>3355</v>
      </c>
      <c r="F1423" s="72">
        <v>0.41699999999999998</v>
      </c>
      <c r="G1423" s="72" t="s">
        <v>3356</v>
      </c>
      <c r="H1423" s="72" t="s">
        <v>3357</v>
      </c>
      <c r="I1423" s="72" t="s">
        <v>3358</v>
      </c>
      <c r="J1423" s="72" t="s">
        <v>3359</v>
      </c>
      <c r="K1423" s="72" t="s">
        <v>510</v>
      </c>
      <c r="W1423" s="213">
        <v>1423</v>
      </c>
      <c r="X1423" s="214">
        <v>10</v>
      </c>
    </row>
    <row r="1424" spans="1:24" x14ac:dyDescent="0.25">
      <c r="A1424" s="117" t="s">
        <v>2763</v>
      </c>
      <c r="B1424" s="116" t="s">
        <v>4918</v>
      </c>
      <c r="C1424" s="117">
        <v>0</v>
      </c>
      <c r="D1424" s="118" t="s">
        <v>4258</v>
      </c>
      <c r="E1424" s="118" t="s">
        <v>4919</v>
      </c>
      <c r="F1424" s="118">
        <v>0.41199999999999998</v>
      </c>
      <c r="G1424" s="118" t="s">
        <v>4920</v>
      </c>
      <c r="H1424" s="118" t="s">
        <v>4921</v>
      </c>
      <c r="I1424" s="118" t="s">
        <v>4922</v>
      </c>
      <c r="J1424" s="118" t="s">
        <v>4923</v>
      </c>
      <c r="K1424" s="118" t="s">
        <v>510</v>
      </c>
      <c r="W1424" s="213">
        <v>1424</v>
      </c>
      <c r="X1424" s="214">
        <v>15</v>
      </c>
    </row>
    <row r="1425" spans="1:24" x14ac:dyDescent="0.25">
      <c r="A1425" s="114" t="s">
        <v>2763</v>
      </c>
      <c r="B1425" s="113" t="s">
        <v>4596</v>
      </c>
      <c r="C1425" s="114">
        <v>0</v>
      </c>
      <c r="D1425" s="115" t="s">
        <v>4597</v>
      </c>
      <c r="E1425" s="115" t="s">
        <v>4598</v>
      </c>
      <c r="F1425" s="115">
        <v>0.375</v>
      </c>
      <c r="G1425" s="115" t="s">
        <v>4599</v>
      </c>
      <c r="H1425" s="115" t="s">
        <v>4600</v>
      </c>
      <c r="I1425" s="115" t="s">
        <v>4601</v>
      </c>
      <c r="J1425" s="115" t="s">
        <v>1596</v>
      </c>
      <c r="K1425" s="115" t="s">
        <v>510</v>
      </c>
      <c r="W1425" s="213">
        <v>1425</v>
      </c>
      <c r="X1425" s="214">
        <v>15</v>
      </c>
    </row>
    <row r="1426" spans="1:24" x14ac:dyDescent="0.25">
      <c r="A1426" s="117" t="s">
        <v>2763</v>
      </c>
      <c r="B1426" s="116" t="s">
        <v>4717</v>
      </c>
      <c r="C1426" s="117">
        <v>0</v>
      </c>
      <c r="D1426" s="118" t="s">
        <v>4718</v>
      </c>
      <c r="E1426" s="118" t="s">
        <v>4719</v>
      </c>
      <c r="F1426" s="118">
        <v>0.41499999999999998</v>
      </c>
      <c r="G1426" s="118" t="s">
        <v>4720</v>
      </c>
      <c r="H1426" s="118" t="s">
        <v>4721</v>
      </c>
      <c r="I1426" s="118" t="s">
        <v>4722</v>
      </c>
      <c r="J1426" s="118" t="s">
        <v>4723</v>
      </c>
      <c r="K1426" s="118" t="s">
        <v>510</v>
      </c>
      <c r="W1426" s="213">
        <v>1426</v>
      </c>
      <c r="X1426" s="214">
        <v>15</v>
      </c>
    </row>
    <row r="1427" spans="1:24" x14ac:dyDescent="0.25">
      <c r="A1427" s="114" t="s">
        <v>2763</v>
      </c>
      <c r="B1427" s="113" t="s">
        <v>4565</v>
      </c>
      <c r="C1427" s="114">
        <v>0</v>
      </c>
      <c r="D1427" s="115" t="s">
        <v>4566</v>
      </c>
      <c r="E1427" s="115" t="s">
        <v>4567</v>
      </c>
      <c r="F1427" s="115">
        <v>0.28100000000000003</v>
      </c>
      <c r="G1427" s="115" t="s">
        <v>4568</v>
      </c>
      <c r="H1427" s="115" t="s">
        <v>4569</v>
      </c>
      <c r="I1427" s="115" t="s">
        <v>1627</v>
      </c>
      <c r="J1427" s="115" t="s">
        <v>4570</v>
      </c>
      <c r="K1427" s="115" t="s">
        <v>510</v>
      </c>
      <c r="W1427" s="213">
        <v>1427</v>
      </c>
      <c r="X1427" s="214">
        <v>15</v>
      </c>
    </row>
    <row r="1428" spans="1:24" x14ac:dyDescent="0.25">
      <c r="A1428" s="117" t="s">
        <v>2763</v>
      </c>
      <c r="B1428" s="116" t="s">
        <v>6519</v>
      </c>
      <c r="C1428" s="117">
        <v>0</v>
      </c>
      <c r="D1428" s="118" t="s">
        <v>293</v>
      </c>
      <c r="E1428" s="118" t="s">
        <v>6520</v>
      </c>
      <c r="F1428" s="118">
        <v>0.22900000000000001</v>
      </c>
      <c r="G1428" s="118" t="s">
        <v>5500</v>
      </c>
      <c r="H1428" s="118" t="s">
        <v>6521</v>
      </c>
      <c r="I1428" s="118" t="s">
        <v>6522</v>
      </c>
      <c r="J1428" s="118" t="s">
        <v>6523</v>
      </c>
      <c r="K1428" s="118" t="s">
        <v>510</v>
      </c>
      <c r="W1428" s="213">
        <v>1428</v>
      </c>
      <c r="X1428" s="214">
        <v>15</v>
      </c>
    </row>
    <row r="1429" spans="1:24" x14ac:dyDescent="0.25">
      <c r="A1429" s="114" t="s">
        <v>2763</v>
      </c>
      <c r="B1429" s="113" t="s">
        <v>5557</v>
      </c>
      <c r="C1429" s="114">
        <v>0</v>
      </c>
      <c r="D1429" s="115" t="s">
        <v>4252</v>
      </c>
      <c r="E1429" s="115" t="s">
        <v>5558</v>
      </c>
      <c r="F1429" s="115">
        <v>0.25900000000000001</v>
      </c>
      <c r="G1429" s="115" t="s">
        <v>5559</v>
      </c>
      <c r="H1429" s="115" t="s">
        <v>5060</v>
      </c>
      <c r="I1429" s="115" t="s">
        <v>5560</v>
      </c>
      <c r="J1429" s="115" t="s">
        <v>5561</v>
      </c>
      <c r="K1429" s="115" t="s">
        <v>510</v>
      </c>
      <c r="W1429" s="213">
        <v>1429</v>
      </c>
      <c r="X1429" s="214">
        <v>15</v>
      </c>
    </row>
    <row r="1430" spans="1:24" x14ac:dyDescent="0.25">
      <c r="A1430" s="117" t="s">
        <v>2763</v>
      </c>
      <c r="B1430" s="116" t="s">
        <v>5757</v>
      </c>
      <c r="C1430" s="117">
        <v>0</v>
      </c>
      <c r="D1430" s="118" t="s">
        <v>822</v>
      </c>
      <c r="E1430" s="118" t="s">
        <v>5558</v>
      </c>
      <c r="F1430" s="118">
        <v>0.42799999999999999</v>
      </c>
      <c r="G1430" s="118" t="s">
        <v>5758</v>
      </c>
      <c r="H1430" s="118" t="s">
        <v>5759</v>
      </c>
      <c r="I1430" s="118" t="s">
        <v>5760</v>
      </c>
      <c r="J1430" s="118" t="s">
        <v>5761</v>
      </c>
      <c r="K1430" s="118" t="s">
        <v>510</v>
      </c>
      <c r="W1430" s="213">
        <v>1430</v>
      </c>
      <c r="X1430" s="214">
        <v>15</v>
      </c>
    </row>
    <row r="1431" spans="1:24" x14ac:dyDescent="0.25">
      <c r="A1431" s="114" t="s">
        <v>2763</v>
      </c>
      <c r="B1431" s="132" t="s">
        <v>7904</v>
      </c>
      <c r="C1431" s="114">
        <v>0</v>
      </c>
      <c r="D1431" s="115" t="s">
        <v>2832</v>
      </c>
      <c r="E1431" s="115" t="s">
        <v>2833</v>
      </c>
      <c r="F1431" s="115">
        <v>0.35699999999999998</v>
      </c>
      <c r="G1431" s="115" t="s">
        <v>2834</v>
      </c>
      <c r="H1431" s="115" t="s">
        <v>2835</v>
      </c>
      <c r="I1431" s="115" t="s">
        <v>2836</v>
      </c>
      <c r="J1431" s="115" t="s">
        <v>2837</v>
      </c>
      <c r="K1431" s="115" t="s">
        <v>510</v>
      </c>
      <c r="W1431" s="213">
        <v>1431</v>
      </c>
      <c r="X1431" s="214">
        <v>15</v>
      </c>
    </row>
    <row r="1432" spans="1:24" x14ac:dyDescent="0.25">
      <c r="A1432" s="117" t="s">
        <v>2763</v>
      </c>
      <c r="B1432" s="116" t="s">
        <v>5916</v>
      </c>
      <c r="C1432" s="117">
        <v>1</v>
      </c>
      <c r="D1432" s="118" t="s">
        <v>99</v>
      </c>
      <c r="E1432" s="118" t="s">
        <v>5917</v>
      </c>
      <c r="F1432" s="118">
        <v>0.40600000000000003</v>
      </c>
      <c r="G1432" s="118" t="s">
        <v>5918</v>
      </c>
      <c r="H1432" s="118" t="s">
        <v>5919</v>
      </c>
      <c r="I1432" s="118" t="s">
        <v>5920</v>
      </c>
      <c r="J1432" s="118" t="s">
        <v>5921</v>
      </c>
      <c r="K1432" s="118" t="s">
        <v>9555</v>
      </c>
      <c r="W1432" s="213">
        <v>1432</v>
      </c>
      <c r="X1432" s="214">
        <v>15</v>
      </c>
    </row>
    <row r="1433" spans="1:24" ht="14.45" customHeight="1" x14ac:dyDescent="0.25">
      <c r="A1433" s="115" t="s">
        <v>0</v>
      </c>
      <c r="B1433" s="114" t="s">
        <v>32</v>
      </c>
      <c r="C1433" s="113" t="s">
        <v>5922</v>
      </c>
      <c r="D1433" s="115" t="s">
        <v>107</v>
      </c>
      <c r="E1433" s="115" t="s">
        <v>5923</v>
      </c>
      <c r="F1433" s="115" t="s">
        <v>510</v>
      </c>
      <c r="G1433" s="115" t="s">
        <v>510</v>
      </c>
      <c r="H1433" s="115"/>
      <c r="I1433" s="115"/>
      <c r="J1433" s="115"/>
      <c r="K1433" s="115" t="s">
        <v>510</v>
      </c>
      <c r="W1433" s="213">
        <v>1433</v>
      </c>
      <c r="X1433" s="214">
        <v>15</v>
      </c>
    </row>
    <row r="1434" spans="1:24" x14ac:dyDescent="0.25">
      <c r="A1434" s="117" t="s">
        <v>2763</v>
      </c>
      <c r="B1434" s="133" t="s">
        <v>7933</v>
      </c>
      <c r="C1434" s="117">
        <v>0</v>
      </c>
      <c r="D1434" s="118" t="s">
        <v>7915</v>
      </c>
      <c r="E1434" s="118" t="s">
        <v>2838</v>
      </c>
      <c r="F1434" s="118">
        <v>0.38700000000000001</v>
      </c>
      <c r="G1434" s="118" t="s">
        <v>2839</v>
      </c>
      <c r="H1434" s="118" t="s">
        <v>2840</v>
      </c>
      <c r="I1434" s="118" t="s">
        <v>2841</v>
      </c>
      <c r="J1434" s="118" t="s">
        <v>2842</v>
      </c>
      <c r="K1434" s="118" t="s">
        <v>510</v>
      </c>
      <c r="W1434" s="213">
        <v>1434</v>
      </c>
      <c r="X1434" s="214">
        <v>15</v>
      </c>
    </row>
    <row r="1435" spans="1:24" x14ac:dyDescent="0.25">
      <c r="A1435" s="114" t="s">
        <v>2763</v>
      </c>
      <c r="B1435" s="132" t="s">
        <v>7997</v>
      </c>
      <c r="C1435" s="114">
        <v>0</v>
      </c>
      <c r="D1435" s="115" t="s">
        <v>2698</v>
      </c>
      <c r="E1435" s="115" t="s">
        <v>2843</v>
      </c>
      <c r="F1435" s="115">
        <v>0.42299999999999999</v>
      </c>
      <c r="G1435" s="115" t="s">
        <v>2844</v>
      </c>
      <c r="H1435" s="115" t="s">
        <v>2845</v>
      </c>
      <c r="I1435" s="115" t="s">
        <v>2846</v>
      </c>
      <c r="J1435" s="115" t="s">
        <v>2847</v>
      </c>
      <c r="K1435" s="115" t="s">
        <v>510</v>
      </c>
      <c r="W1435" s="213">
        <v>1435</v>
      </c>
      <c r="X1435" s="214">
        <v>15</v>
      </c>
    </row>
    <row r="1436" spans="1:24" x14ac:dyDescent="0.25">
      <c r="A1436" s="117" t="s">
        <v>2763</v>
      </c>
      <c r="B1436" s="133" t="s">
        <v>7998</v>
      </c>
      <c r="C1436" s="117">
        <v>0</v>
      </c>
      <c r="D1436" s="118" t="s">
        <v>2297</v>
      </c>
      <c r="E1436" s="118" t="s">
        <v>2849</v>
      </c>
      <c r="F1436" s="118">
        <v>0.34</v>
      </c>
      <c r="G1436" s="118" t="s">
        <v>2850</v>
      </c>
      <c r="H1436" s="118" t="s">
        <v>2851</v>
      </c>
      <c r="I1436" s="118" t="s">
        <v>2852</v>
      </c>
      <c r="J1436" s="118" t="s">
        <v>2853</v>
      </c>
      <c r="K1436" s="118" t="s">
        <v>510</v>
      </c>
      <c r="W1436" s="213">
        <v>1436</v>
      </c>
      <c r="X1436" s="214">
        <v>15</v>
      </c>
    </row>
    <row r="1437" spans="1:24" x14ac:dyDescent="0.25">
      <c r="A1437" s="114" t="s">
        <v>2763</v>
      </c>
      <c r="B1437" s="113" t="s">
        <v>5038</v>
      </c>
      <c r="C1437" s="114">
        <v>0</v>
      </c>
      <c r="D1437" s="115" t="s">
        <v>5039</v>
      </c>
      <c r="E1437" s="115" t="s">
        <v>2849</v>
      </c>
      <c r="F1437" s="115">
        <v>0.44</v>
      </c>
      <c r="G1437" s="115" t="s">
        <v>5040</v>
      </c>
      <c r="H1437" s="115" t="s">
        <v>5041</v>
      </c>
      <c r="I1437" s="115" t="s">
        <v>4621</v>
      </c>
      <c r="J1437" s="115" t="s">
        <v>5042</v>
      </c>
      <c r="K1437" s="115" t="s">
        <v>510</v>
      </c>
      <c r="W1437" s="213">
        <v>1437</v>
      </c>
      <c r="X1437" s="214">
        <v>15</v>
      </c>
    </row>
    <row r="1438" spans="1:24" ht="14.45" customHeight="1" x14ac:dyDescent="0.25">
      <c r="A1438" s="117" t="s">
        <v>2763</v>
      </c>
      <c r="B1438" s="118" t="s">
        <v>6211</v>
      </c>
      <c r="C1438" s="117">
        <v>0</v>
      </c>
      <c r="D1438" s="118" t="s">
        <v>2471</v>
      </c>
      <c r="E1438" s="118" t="s">
        <v>6212</v>
      </c>
      <c r="F1438" s="118">
        <v>0.41499999999999998</v>
      </c>
      <c r="G1438" s="118" t="s">
        <v>6213</v>
      </c>
      <c r="H1438" s="118" t="s">
        <v>6214</v>
      </c>
      <c r="I1438" s="118" t="s">
        <v>6215</v>
      </c>
      <c r="J1438" s="118" t="s">
        <v>6216</v>
      </c>
      <c r="K1438" s="118" t="s">
        <v>510</v>
      </c>
      <c r="W1438" s="213">
        <v>1438</v>
      </c>
      <c r="X1438" s="214">
        <v>15</v>
      </c>
    </row>
    <row r="1439" spans="1:24" x14ac:dyDescent="0.25">
      <c r="A1439" s="114" t="s">
        <v>2763</v>
      </c>
      <c r="B1439" s="113" t="s">
        <v>5772</v>
      </c>
      <c r="C1439" s="114">
        <v>0</v>
      </c>
      <c r="D1439" s="115" t="s">
        <v>431</v>
      </c>
      <c r="E1439" s="115" t="s">
        <v>5773</v>
      </c>
      <c r="F1439" s="115">
        <v>0.36299999999999999</v>
      </c>
      <c r="G1439" s="115" t="s">
        <v>5774</v>
      </c>
      <c r="H1439" s="115" t="s">
        <v>5775</v>
      </c>
      <c r="I1439" s="115" t="s">
        <v>5776</v>
      </c>
      <c r="J1439" s="115" t="s">
        <v>5777</v>
      </c>
      <c r="K1439" s="115" t="s">
        <v>510</v>
      </c>
      <c r="W1439" s="213">
        <v>1439</v>
      </c>
      <c r="X1439" s="214">
        <v>15</v>
      </c>
    </row>
    <row r="1440" spans="1:24" x14ac:dyDescent="0.25">
      <c r="A1440" s="117" t="s">
        <v>2763</v>
      </c>
      <c r="B1440" s="116" t="s">
        <v>6166</v>
      </c>
      <c r="C1440" s="117">
        <v>0</v>
      </c>
      <c r="D1440" s="118" t="s">
        <v>1318</v>
      </c>
      <c r="E1440" s="118" t="s">
        <v>6167</v>
      </c>
      <c r="F1440" s="118">
        <v>0.42099999999999999</v>
      </c>
      <c r="G1440" s="118" t="s">
        <v>6168</v>
      </c>
      <c r="H1440" s="118" t="s">
        <v>6169</v>
      </c>
      <c r="I1440" s="118" t="s">
        <v>6170</v>
      </c>
      <c r="J1440" s="118" t="s">
        <v>6171</v>
      </c>
      <c r="K1440" s="118" t="s">
        <v>510</v>
      </c>
      <c r="W1440" s="213">
        <v>1440</v>
      </c>
      <c r="X1440" s="214">
        <v>15</v>
      </c>
    </row>
    <row r="1441" spans="1:24" x14ac:dyDescent="0.25">
      <c r="A1441" s="71" t="s">
        <v>1966</v>
      </c>
      <c r="B1441" s="73" t="s">
        <v>4055</v>
      </c>
      <c r="C1441" s="71">
        <v>0</v>
      </c>
      <c r="D1441" s="72" t="s">
        <v>482</v>
      </c>
      <c r="E1441" s="72" t="s">
        <v>4056</v>
      </c>
      <c r="F1441" s="72">
        <v>0.60899999999999999</v>
      </c>
      <c r="G1441" s="72" t="s">
        <v>4057</v>
      </c>
      <c r="H1441" s="72" t="s">
        <v>4058</v>
      </c>
      <c r="I1441" s="72" t="s">
        <v>4059</v>
      </c>
      <c r="J1441" s="72" t="s">
        <v>4060</v>
      </c>
      <c r="K1441" s="72" t="s">
        <v>510</v>
      </c>
      <c r="W1441" s="213">
        <v>1441</v>
      </c>
      <c r="X1441" s="214">
        <v>10</v>
      </c>
    </row>
    <row r="1442" spans="1:24" x14ac:dyDescent="0.25">
      <c r="A1442" s="117" t="s">
        <v>2763</v>
      </c>
      <c r="B1442" s="116" t="s">
        <v>6275</v>
      </c>
      <c r="C1442" s="117">
        <v>0</v>
      </c>
      <c r="D1442" s="118" t="s">
        <v>3161</v>
      </c>
      <c r="E1442" s="118" t="s">
        <v>6276</v>
      </c>
      <c r="F1442" s="118">
        <v>0.36499999999999999</v>
      </c>
      <c r="G1442" s="118" t="s">
        <v>6277</v>
      </c>
      <c r="H1442" s="118" t="s">
        <v>6278</v>
      </c>
      <c r="I1442" s="118" t="s">
        <v>6279</v>
      </c>
      <c r="J1442" s="118" t="s">
        <v>6280</v>
      </c>
      <c r="K1442" s="118" t="s">
        <v>510</v>
      </c>
      <c r="W1442" s="213">
        <v>1442</v>
      </c>
      <c r="X1442" s="214">
        <v>15</v>
      </c>
    </row>
    <row r="1443" spans="1:24" x14ac:dyDescent="0.25">
      <c r="A1443" s="114" t="s">
        <v>2763</v>
      </c>
      <c r="B1443" s="113" t="s">
        <v>5790</v>
      </c>
      <c r="C1443" s="114">
        <v>0</v>
      </c>
      <c r="D1443" s="115" t="s">
        <v>1960</v>
      </c>
      <c r="E1443" s="115" t="s">
        <v>5791</v>
      </c>
      <c r="F1443" s="115">
        <v>0.41499999999999998</v>
      </c>
      <c r="G1443" s="115" t="s">
        <v>5792</v>
      </c>
      <c r="H1443" s="115" t="s">
        <v>5793</v>
      </c>
      <c r="I1443" s="115" t="s">
        <v>5794</v>
      </c>
      <c r="J1443" s="115" t="s">
        <v>5795</v>
      </c>
      <c r="K1443" s="115" t="s">
        <v>510</v>
      </c>
      <c r="W1443" s="213">
        <v>1443</v>
      </c>
      <c r="X1443" s="214">
        <v>15</v>
      </c>
    </row>
    <row r="1444" spans="1:24" x14ac:dyDescent="0.25">
      <c r="A1444" s="117" t="s">
        <v>2763</v>
      </c>
      <c r="B1444" s="116" t="s">
        <v>6967</v>
      </c>
      <c r="C1444" s="117">
        <v>0</v>
      </c>
      <c r="D1444" s="118" t="s">
        <v>219</v>
      </c>
      <c r="E1444" s="118" t="s">
        <v>6968</v>
      </c>
      <c r="F1444" s="118">
        <v>0.317</v>
      </c>
      <c r="G1444" s="118" t="s">
        <v>6969</v>
      </c>
      <c r="H1444" s="118" t="s">
        <v>6970</v>
      </c>
      <c r="I1444" s="118" t="s">
        <v>6971</v>
      </c>
      <c r="J1444" s="118" t="s">
        <v>6972</v>
      </c>
      <c r="K1444" s="118" t="s">
        <v>510</v>
      </c>
      <c r="W1444" s="213">
        <v>1444</v>
      </c>
      <c r="X1444" s="214">
        <v>15</v>
      </c>
    </row>
    <row r="1445" spans="1:24" x14ac:dyDescent="0.25">
      <c r="A1445" s="114" t="s">
        <v>2763</v>
      </c>
      <c r="B1445" s="113" t="s">
        <v>6031</v>
      </c>
      <c r="C1445" s="114">
        <v>0</v>
      </c>
      <c r="D1445" s="115" t="s">
        <v>5924</v>
      </c>
      <c r="E1445" s="115" t="s">
        <v>6032</v>
      </c>
      <c r="F1445" s="115">
        <v>0.31900000000000001</v>
      </c>
      <c r="G1445" s="115" t="s">
        <v>6033</v>
      </c>
      <c r="H1445" s="115" t="s">
        <v>6034</v>
      </c>
      <c r="I1445" s="115" t="s">
        <v>6035</v>
      </c>
      <c r="J1445" s="115" t="s">
        <v>6036</v>
      </c>
      <c r="K1445" s="115" t="s">
        <v>510</v>
      </c>
      <c r="W1445" s="213">
        <v>1445</v>
      </c>
      <c r="X1445" s="214">
        <v>15</v>
      </c>
    </row>
    <row r="1446" spans="1:24" x14ac:dyDescent="0.25">
      <c r="A1446" s="117" t="s">
        <v>2763</v>
      </c>
      <c r="B1446" s="116" t="s">
        <v>4730</v>
      </c>
      <c r="C1446" s="117">
        <v>0</v>
      </c>
      <c r="D1446" s="118" t="s">
        <v>2564</v>
      </c>
      <c r="E1446" s="118" t="s">
        <v>4731</v>
      </c>
      <c r="F1446" s="118">
        <v>0.36</v>
      </c>
      <c r="G1446" s="118" t="s">
        <v>3225</v>
      </c>
      <c r="H1446" s="118" t="s">
        <v>203</v>
      </c>
      <c r="I1446" s="118" t="s">
        <v>4732</v>
      </c>
      <c r="J1446" s="118" t="s">
        <v>4733</v>
      </c>
      <c r="K1446" s="118" t="s">
        <v>510</v>
      </c>
      <c r="W1446" s="213">
        <v>1446</v>
      </c>
      <c r="X1446" s="214">
        <v>15</v>
      </c>
    </row>
    <row r="1447" spans="1:24" x14ac:dyDescent="0.25">
      <c r="A1447" s="114" t="s">
        <v>2763</v>
      </c>
      <c r="B1447" s="113" t="s">
        <v>4884</v>
      </c>
      <c r="C1447" s="114">
        <v>0</v>
      </c>
      <c r="D1447" s="115" t="s">
        <v>4609</v>
      </c>
      <c r="E1447" s="115" t="s">
        <v>4885</v>
      </c>
      <c r="F1447" s="115">
        <v>0.40500000000000003</v>
      </c>
      <c r="G1447" s="115" t="s">
        <v>4886</v>
      </c>
      <c r="H1447" s="115" t="s">
        <v>4887</v>
      </c>
      <c r="I1447" s="115" t="s">
        <v>4888</v>
      </c>
      <c r="J1447" s="115" t="s">
        <v>4889</v>
      </c>
      <c r="K1447" s="115" t="s">
        <v>510</v>
      </c>
      <c r="W1447" s="213">
        <v>1447</v>
      </c>
      <c r="X1447" s="214">
        <v>15</v>
      </c>
    </row>
    <row r="1448" spans="1:24" x14ac:dyDescent="0.25">
      <c r="A1448" s="117" t="s">
        <v>2763</v>
      </c>
      <c r="B1448" s="133" t="s">
        <v>7934</v>
      </c>
      <c r="C1448" s="117">
        <v>0</v>
      </c>
      <c r="D1448" s="118" t="s">
        <v>2291</v>
      </c>
      <c r="E1448" s="118" t="s">
        <v>2855</v>
      </c>
      <c r="F1448" s="118">
        <v>0.107</v>
      </c>
      <c r="G1448" s="118" t="s">
        <v>2856</v>
      </c>
      <c r="H1448" s="118" t="s">
        <v>2857</v>
      </c>
      <c r="I1448" s="118" t="s">
        <v>2858</v>
      </c>
      <c r="J1448" s="118" t="s">
        <v>2859</v>
      </c>
      <c r="K1448" s="118" t="s">
        <v>510</v>
      </c>
      <c r="W1448" s="213">
        <v>1448</v>
      </c>
      <c r="X1448" s="214">
        <v>15</v>
      </c>
    </row>
    <row r="1449" spans="1:24" x14ac:dyDescent="0.25">
      <c r="A1449" s="114" t="s">
        <v>2763</v>
      </c>
      <c r="B1449" s="132" t="s">
        <v>8016</v>
      </c>
      <c r="C1449" s="114">
        <v>1</v>
      </c>
      <c r="D1449" s="115" t="s">
        <v>1016</v>
      </c>
      <c r="E1449" s="115" t="s">
        <v>2860</v>
      </c>
      <c r="F1449" s="115">
        <v>0.28599999999999998</v>
      </c>
      <c r="G1449" s="115" t="s">
        <v>2861</v>
      </c>
      <c r="H1449" s="115" t="s">
        <v>2862</v>
      </c>
      <c r="I1449" s="115" t="s">
        <v>2863</v>
      </c>
      <c r="J1449" s="115" t="s">
        <v>2864</v>
      </c>
      <c r="K1449" s="115" t="s">
        <v>510</v>
      </c>
      <c r="W1449" s="213">
        <v>1449</v>
      </c>
      <c r="X1449" s="214">
        <v>15</v>
      </c>
    </row>
    <row r="1450" spans="1:24" ht="14.45" customHeight="1" x14ac:dyDescent="0.25">
      <c r="A1450" s="118" t="s">
        <v>0</v>
      </c>
      <c r="B1450" s="117" t="s">
        <v>32</v>
      </c>
      <c r="C1450" s="133" t="s">
        <v>2865</v>
      </c>
      <c r="D1450" s="118" t="s">
        <v>2866</v>
      </c>
      <c r="E1450" s="118" t="s">
        <v>2867</v>
      </c>
      <c r="F1450" s="118" t="s">
        <v>510</v>
      </c>
      <c r="G1450" s="118" t="s">
        <v>510</v>
      </c>
      <c r="H1450" s="119"/>
      <c r="I1450" s="119"/>
      <c r="J1450" s="119"/>
      <c r="K1450" s="118" t="s">
        <v>510</v>
      </c>
      <c r="W1450" s="213">
        <v>1450</v>
      </c>
      <c r="X1450" s="214">
        <v>15</v>
      </c>
    </row>
    <row r="1451" spans="1:24" x14ac:dyDescent="0.25">
      <c r="A1451" s="114" t="s">
        <v>2763</v>
      </c>
      <c r="B1451" s="113" t="s">
        <v>4686</v>
      </c>
      <c r="C1451" s="114">
        <v>0</v>
      </c>
      <c r="D1451" s="115" t="s">
        <v>4687</v>
      </c>
      <c r="E1451" s="115" t="s">
        <v>4688</v>
      </c>
      <c r="F1451" s="115">
        <v>0.39</v>
      </c>
      <c r="G1451" s="115" t="s">
        <v>4689</v>
      </c>
      <c r="H1451" s="115" t="s">
        <v>4690</v>
      </c>
      <c r="I1451" s="115" t="s">
        <v>4691</v>
      </c>
      <c r="J1451" s="115" t="s">
        <v>4692</v>
      </c>
      <c r="K1451" s="115" t="s">
        <v>510</v>
      </c>
      <c r="W1451" s="213">
        <v>1451</v>
      </c>
      <c r="X1451" s="214">
        <v>15</v>
      </c>
    </row>
    <row r="1452" spans="1:24" x14ac:dyDescent="0.25">
      <c r="A1452" s="67" t="s">
        <v>1966</v>
      </c>
      <c r="B1452" s="69" t="s">
        <v>4067</v>
      </c>
      <c r="C1452" s="67">
        <v>0</v>
      </c>
      <c r="D1452" s="68" t="s">
        <v>247</v>
      </c>
      <c r="E1452" s="68" t="s">
        <v>4068</v>
      </c>
      <c r="F1452" s="68">
        <v>0.71899999999999997</v>
      </c>
      <c r="G1452" s="68" t="s">
        <v>4069</v>
      </c>
      <c r="H1452" s="68" t="s">
        <v>4070</v>
      </c>
      <c r="I1452" s="68" t="s">
        <v>4071</v>
      </c>
      <c r="J1452" s="68" t="s">
        <v>4072</v>
      </c>
      <c r="K1452" s="68" t="s">
        <v>510</v>
      </c>
      <c r="W1452" s="213">
        <v>1452</v>
      </c>
      <c r="X1452" s="214">
        <v>10</v>
      </c>
    </row>
    <row r="1453" spans="1:24" x14ac:dyDescent="0.25">
      <c r="A1453" s="114" t="s">
        <v>2763</v>
      </c>
      <c r="B1453" s="113" t="s">
        <v>4693</v>
      </c>
      <c r="C1453" s="114">
        <v>0</v>
      </c>
      <c r="D1453" s="115" t="s">
        <v>4694</v>
      </c>
      <c r="E1453" s="115" t="s">
        <v>4695</v>
      </c>
      <c r="F1453" s="115">
        <v>0.32500000000000001</v>
      </c>
      <c r="G1453" s="115" t="s">
        <v>4696</v>
      </c>
      <c r="H1453" s="115" t="s">
        <v>4697</v>
      </c>
      <c r="I1453" s="115" t="s">
        <v>4698</v>
      </c>
      <c r="J1453" s="115" t="s">
        <v>4699</v>
      </c>
      <c r="K1453" s="115" t="s">
        <v>510</v>
      </c>
      <c r="W1453" s="213">
        <v>1453</v>
      </c>
      <c r="X1453" s="214">
        <v>15</v>
      </c>
    </row>
    <row r="1454" spans="1:24" x14ac:dyDescent="0.25">
      <c r="A1454" s="117" t="s">
        <v>2763</v>
      </c>
      <c r="B1454" s="116" t="s">
        <v>4602</v>
      </c>
      <c r="C1454" s="117">
        <v>0</v>
      </c>
      <c r="D1454" s="118" t="s">
        <v>4603</v>
      </c>
      <c r="E1454" s="118" t="s">
        <v>4604</v>
      </c>
      <c r="F1454" s="118">
        <v>0.36799999999999999</v>
      </c>
      <c r="G1454" s="118" t="s">
        <v>4605</v>
      </c>
      <c r="H1454" s="118" t="s">
        <v>4606</v>
      </c>
      <c r="I1454" s="118" t="s">
        <v>4607</v>
      </c>
      <c r="J1454" s="118" t="s">
        <v>4342</v>
      </c>
      <c r="K1454" s="118" t="s">
        <v>510</v>
      </c>
      <c r="W1454" s="213">
        <v>1454</v>
      </c>
      <c r="X1454" s="214">
        <v>15</v>
      </c>
    </row>
    <row r="1455" spans="1:24" x14ac:dyDescent="0.25">
      <c r="A1455" s="114" t="s">
        <v>2763</v>
      </c>
      <c r="B1455" s="113" t="s">
        <v>6004</v>
      </c>
      <c r="C1455" s="114">
        <v>0</v>
      </c>
      <c r="D1455" s="115" t="s">
        <v>450</v>
      </c>
      <c r="E1455" s="115" t="s">
        <v>6005</v>
      </c>
      <c r="F1455" s="115">
        <v>0.36599999999999999</v>
      </c>
      <c r="G1455" s="115" t="s">
        <v>6006</v>
      </c>
      <c r="H1455" s="115" t="s">
        <v>6007</v>
      </c>
      <c r="I1455" s="115" t="s">
        <v>6008</v>
      </c>
      <c r="J1455" s="115" t="s">
        <v>6009</v>
      </c>
      <c r="K1455" s="115" t="s">
        <v>510</v>
      </c>
      <c r="W1455" s="213">
        <v>1455</v>
      </c>
      <c r="X1455" s="214">
        <v>15</v>
      </c>
    </row>
    <row r="1456" spans="1:24" x14ac:dyDescent="0.25">
      <c r="A1456" s="117" t="s">
        <v>2763</v>
      </c>
      <c r="B1456" s="116" t="s">
        <v>4331</v>
      </c>
      <c r="C1456" s="117">
        <v>0</v>
      </c>
      <c r="D1456" s="118" t="s">
        <v>4332</v>
      </c>
      <c r="E1456" s="118" t="s">
        <v>4333</v>
      </c>
      <c r="F1456" s="118">
        <v>0.38900000000000001</v>
      </c>
      <c r="G1456" s="118" t="s">
        <v>4334</v>
      </c>
      <c r="H1456" s="118" t="s">
        <v>4335</v>
      </c>
      <c r="I1456" s="118" t="s">
        <v>4336</v>
      </c>
      <c r="J1456" s="118" t="s">
        <v>4337</v>
      </c>
      <c r="K1456" s="118" t="s">
        <v>510</v>
      </c>
      <c r="W1456" s="213">
        <v>1456</v>
      </c>
      <c r="X1456" s="214">
        <v>15</v>
      </c>
    </row>
    <row r="1457" spans="1:24" x14ac:dyDescent="0.25">
      <c r="A1457" s="114" t="s">
        <v>2763</v>
      </c>
      <c r="B1457" s="113" t="s">
        <v>5229</v>
      </c>
      <c r="C1457" s="114">
        <v>0</v>
      </c>
      <c r="D1457" s="115" t="s">
        <v>219</v>
      </c>
      <c r="E1457" s="115" t="s">
        <v>5230</v>
      </c>
      <c r="F1457" s="115">
        <v>0.34499999999999997</v>
      </c>
      <c r="G1457" s="115" t="s">
        <v>5231</v>
      </c>
      <c r="H1457" s="115" t="s">
        <v>5232</v>
      </c>
      <c r="I1457" s="115" t="s">
        <v>5233</v>
      </c>
      <c r="J1457" s="115" t="s">
        <v>5234</v>
      </c>
      <c r="K1457" s="115" t="s">
        <v>510</v>
      </c>
      <c r="W1457" s="213">
        <v>1457</v>
      </c>
      <c r="X1457" s="214">
        <v>15</v>
      </c>
    </row>
    <row r="1458" spans="1:24" ht="14.45" customHeight="1" x14ac:dyDescent="0.25">
      <c r="A1458" s="117" t="s">
        <v>2763</v>
      </c>
      <c r="B1458" s="148" t="s">
        <v>7898</v>
      </c>
      <c r="C1458" s="117">
        <v>1</v>
      </c>
      <c r="D1458" s="118" t="s">
        <v>2868</v>
      </c>
      <c r="E1458" s="118" t="s">
        <v>2869</v>
      </c>
      <c r="F1458" s="118">
        <v>0.39900000000000002</v>
      </c>
      <c r="G1458" s="118" t="s">
        <v>2870</v>
      </c>
      <c r="H1458" s="118" t="s">
        <v>2871</v>
      </c>
      <c r="I1458" s="118" t="s">
        <v>2872</v>
      </c>
      <c r="J1458" s="118" t="s">
        <v>2873</v>
      </c>
      <c r="K1458" s="118" t="s">
        <v>510</v>
      </c>
      <c r="W1458" s="213">
        <v>1458</v>
      </c>
      <c r="X1458" s="214">
        <v>15</v>
      </c>
    </row>
    <row r="1459" spans="1:24" x14ac:dyDescent="0.25">
      <c r="A1459" s="115" t="s">
        <v>0</v>
      </c>
      <c r="B1459" s="114" t="s">
        <v>32</v>
      </c>
      <c r="C1459" s="132" t="s">
        <v>2874</v>
      </c>
      <c r="D1459" s="115" t="s">
        <v>1154</v>
      </c>
      <c r="E1459" s="115" t="s">
        <v>2875</v>
      </c>
      <c r="F1459" s="115" t="s">
        <v>510</v>
      </c>
      <c r="G1459" s="115" t="s">
        <v>510</v>
      </c>
      <c r="H1459" s="120"/>
      <c r="I1459" s="120"/>
      <c r="J1459" s="120"/>
      <c r="K1459" s="115" t="s">
        <v>510</v>
      </c>
      <c r="W1459" s="213">
        <v>1459</v>
      </c>
      <c r="X1459" s="214">
        <v>15</v>
      </c>
    </row>
    <row r="1460" spans="1:24" x14ac:dyDescent="0.25">
      <c r="A1460" s="117" t="s">
        <v>2763</v>
      </c>
      <c r="B1460" s="116" t="s">
        <v>5276</v>
      </c>
      <c r="C1460" s="117">
        <v>0</v>
      </c>
      <c r="D1460" s="118" t="s">
        <v>3406</v>
      </c>
      <c r="E1460" s="118" t="s">
        <v>5277</v>
      </c>
      <c r="F1460" s="118">
        <v>0.39400000000000002</v>
      </c>
      <c r="G1460" s="118" t="s">
        <v>5278</v>
      </c>
      <c r="H1460" s="118" t="s">
        <v>5279</v>
      </c>
      <c r="I1460" s="118" t="s">
        <v>5280</v>
      </c>
      <c r="J1460" s="118" t="s">
        <v>5281</v>
      </c>
      <c r="K1460" s="118" t="s">
        <v>510</v>
      </c>
      <c r="W1460" s="213">
        <v>1460</v>
      </c>
      <c r="X1460" s="214">
        <v>15</v>
      </c>
    </row>
    <row r="1461" spans="1:24" x14ac:dyDescent="0.25">
      <c r="A1461" s="114" t="s">
        <v>2763</v>
      </c>
      <c r="B1461" s="113" t="s">
        <v>4455</v>
      </c>
      <c r="C1461" s="114">
        <v>0</v>
      </c>
      <c r="D1461" s="115" t="s">
        <v>4436</v>
      </c>
      <c r="E1461" s="115" t="s">
        <v>4456</v>
      </c>
      <c r="F1461" s="115">
        <v>0.376</v>
      </c>
      <c r="G1461" s="115" t="s">
        <v>4457</v>
      </c>
      <c r="H1461" s="115" t="s">
        <v>4458</v>
      </c>
      <c r="I1461" s="115" t="s">
        <v>4459</v>
      </c>
      <c r="J1461" s="115" t="s">
        <v>4460</v>
      </c>
      <c r="K1461" s="115" t="s">
        <v>510</v>
      </c>
      <c r="W1461" s="213">
        <v>1461</v>
      </c>
      <c r="X1461" s="214">
        <v>15</v>
      </c>
    </row>
    <row r="1462" spans="1:24" x14ac:dyDescent="0.25">
      <c r="A1462" s="117" t="s">
        <v>2763</v>
      </c>
      <c r="B1462" s="116" t="s">
        <v>5449</v>
      </c>
      <c r="C1462" s="117">
        <v>0</v>
      </c>
      <c r="D1462" s="118" t="s">
        <v>515</v>
      </c>
      <c r="E1462" s="118" t="s">
        <v>5450</v>
      </c>
      <c r="F1462" s="118">
        <v>0.40899999999999997</v>
      </c>
      <c r="G1462" s="118" t="s">
        <v>5451</v>
      </c>
      <c r="H1462" s="118" t="s">
        <v>5452</v>
      </c>
      <c r="I1462" s="118" t="s">
        <v>5453</v>
      </c>
      <c r="J1462" s="118" t="s">
        <v>5454</v>
      </c>
      <c r="K1462" s="118" t="s">
        <v>510</v>
      </c>
      <c r="W1462" s="213">
        <v>1462</v>
      </c>
      <c r="X1462" s="214">
        <v>15</v>
      </c>
    </row>
    <row r="1463" spans="1:24" ht="14.45" customHeight="1" x14ac:dyDescent="0.25">
      <c r="A1463" s="115" t="s">
        <v>0</v>
      </c>
      <c r="B1463" s="114" t="s">
        <v>32</v>
      </c>
      <c r="C1463" s="113" t="s">
        <v>5455</v>
      </c>
      <c r="D1463" s="115" t="s">
        <v>5456</v>
      </c>
      <c r="E1463" s="115" t="s">
        <v>5457</v>
      </c>
      <c r="F1463" s="115" t="s">
        <v>510</v>
      </c>
      <c r="G1463" s="115" t="s">
        <v>510</v>
      </c>
      <c r="H1463" s="115"/>
      <c r="I1463" s="115"/>
      <c r="J1463" s="115"/>
      <c r="K1463" s="115" t="s">
        <v>510</v>
      </c>
      <c r="W1463" s="213">
        <v>1463</v>
      </c>
      <c r="X1463" s="214">
        <v>15</v>
      </c>
    </row>
    <row r="1464" spans="1:24" x14ac:dyDescent="0.25">
      <c r="A1464" s="117" t="s">
        <v>2763</v>
      </c>
      <c r="B1464" s="116" t="s">
        <v>4866</v>
      </c>
      <c r="C1464" s="117">
        <v>0</v>
      </c>
      <c r="D1464" s="118" t="s">
        <v>4687</v>
      </c>
      <c r="E1464" s="118" t="s">
        <v>4867</v>
      </c>
      <c r="F1464" s="118">
        <v>0.38700000000000001</v>
      </c>
      <c r="G1464" s="118" t="s">
        <v>4868</v>
      </c>
      <c r="H1464" s="118" t="s">
        <v>4869</v>
      </c>
      <c r="I1464" s="118" t="s">
        <v>4870</v>
      </c>
      <c r="J1464" s="118" t="s">
        <v>4871</v>
      </c>
      <c r="K1464" s="118" t="s">
        <v>510</v>
      </c>
      <c r="W1464" s="213">
        <v>1464</v>
      </c>
      <c r="X1464" s="214">
        <v>15</v>
      </c>
    </row>
    <row r="1465" spans="1:24" x14ac:dyDescent="0.25">
      <c r="A1465" s="114" t="s">
        <v>2763</v>
      </c>
      <c r="B1465" s="113" t="s">
        <v>6501</v>
      </c>
      <c r="C1465" s="114">
        <v>0</v>
      </c>
      <c r="D1465" s="115" t="s">
        <v>3286</v>
      </c>
      <c r="E1465" s="115" t="s">
        <v>6502</v>
      </c>
      <c r="F1465" s="115">
        <v>0.57699999999999996</v>
      </c>
      <c r="G1465" s="115" t="s">
        <v>6503</v>
      </c>
      <c r="H1465" s="115" t="s">
        <v>6504</v>
      </c>
      <c r="I1465" s="115" t="s">
        <v>6505</v>
      </c>
      <c r="J1465" s="115" t="s">
        <v>6506</v>
      </c>
      <c r="K1465" s="115" t="s">
        <v>510</v>
      </c>
      <c r="W1465" s="213">
        <v>1465</v>
      </c>
      <c r="X1465" s="214">
        <v>15</v>
      </c>
    </row>
    <row r="1466" spans="1:24" x14ac:dyDescent="0.25">
      <c r="A1466" s="117" t="s">
        <v>2763</v>
      </c>
      <c r="B1466" s="133" t="s">
        <v>7999</v>
      </c>
      <c r="C1466" s="117">
        <v>0</v>
      </c>
      <c r="D1466" s="118" t="s">
        <v>7951</v>
      </c>
      <c r="E1466" s="118" t="s">
        <v>2876</v>
      </c>
      <c r="F1466" s="118">
        <v>0.43</v>
      </c>
      <c r="G1466" s="118" t="s">
        <v>2877</v>
      </c>
      <c r="H1466" s="118" t="s">
        <v>2878</v>
      </c>
      <c r="I1466" s="118" t="s">
        <v>2879</v>
      </c>
      <c r="J1466" s="118" t="s">
        <v>2880</v>
      </c>
      <c r="K1466" s="118" t="s">
        <v>510</v>
      </c>
      <c r="W1466" s="213">
        <v>1466</v>
      </c>
      <c r="X1466" s="214">
        <v>15</v>
      </c>
    </row>
    <row r="1467" spans="1:24" x14ac:dyDescent="0.25">
      <c r="A1467" s="114" t="s">
        <v>2763</v>
      </c>
      <c r="B1467" s="113" t="s">
        <v>4448</v>
      </c>
      <c r="C1467" s="114">
        <v>0</v>
      </c>
      <c r="D1467" s="115" t="s">
        <v>4449</v>
      </c>
      <c r="E1467" s="115" t="s">
        <v>4450</v>
      </c>
      <c r="F1467" s="115">
        <v>0.35099999999999998</v>
      </c>
      <c r="G1467" s="115" t="s">
        <v>4451</v>
      </c>
      <c r="H1467" s="115" t="s">
        <v>4452</v>
      </c>
      <c r="I1467" s="115" t="s">
        <v>4453</v>
      </c>
      <c r="J1467" s="115" t="s">
        <v>4454</v>
      </c>
      <c r="K1467" s="115" t="s">
        <v>510</v>
      </c>
      <c r="W1467" s="213">
        <v>1467</v>
      </c>
      <c r="X1467" s="214">
        <v>15</v>
      </c>
    </row>
    <row r="1468" spans="1:24" x14ac:dyDescent="0.25">
      <c r="A1468" s="117" t="s">
        <v>2763</v>
      </c>
      <c r="B1468" s="116" t="s">
        <v>4924</v>
      </c>
      <c r="C1468" s="117">
        <v>0</v>
      </c>
      <c r="D1468" s="118" t="s">
        <v>4609</v>
      </c>
      <c r="E1468" s="118" t="s">
        <v>4925</v>
      </c>
      <c r="F1468" s="118">
        <v>0.36</v>
      </c>
      <c r="G1468" s="118" t="s">
        <v>4926</v>
      </c>
      <c r="H1468" s="118" t="s">
        <v>4927</v>
      </c>
      <c r="I1468" s="118" t="s">
        <v>4928</v>
      </c>
      <c r="J1468" s="118" t="s">
        <v>4929</v>
      </c>
      <c r="K1468" s="118" t="s">
        <v>510</v>
      </c>
      <c r="W1468" s="213">
        <v>1468</v>
      </c>
      <c r="X1468" s="214">
        <v>15</v>
      </c>
    </row>
    <row r="1469" spans="1:24" x14ac:dyDescent="0.25">
      <c r="A1469" s="114" t="s">
        <v>2763</v>
      </c>
      <c r="B1469" s="113" t="s">
        <v>7203</v>
      </c>
      <c r="C1469" s="114">
        <v>0</v>
      </c>
      <c r="D1469" s="115" t="s">
        <v>502</v>
      </c>
      <c r="E1469" s="115" t="s">
        <v>7204</v>
      </c>
      <c r="F1469" s="115">
        <v>0.35399999999999998</v>
      </c>
      <c r="G1469" s="115" t="s">
        <v>7205</v>
      </c>
      <c r="H1469" s="115" t="s">
        <v>7206</v>
      </c>
      <c r="I1469" s="115" t="s">
        <v>7207</v>
      </c>
      <c r="J1469" s="115" t="s">
        <v>7208</v>
      </c>
      <c r="K1469" s="115" t="s">
        <v>510</v>
      </c>
      <c r="W1469" s="213">
        <v>1469</v>
      </c>
      <c r="X1469" s="214">
        <v>15</v>
      </c>
    </row>
    <row r="1470" spans="1:24" x14ac:dyDescent="0.25">
      <c r="A1470" s="117" t="s">
        <v>2763</v>
      </c>
      <c r="B1470" s="116" t="s">
        <v>7129</v>
      </c>
      <c r="C1470" s="117">
        <v>0</v>
      </c>
      <c r="D1470" s="118" t="s">
        <v>293</v>
      </c>
      <c r="E1470" s="118" t="s">
        <v>7130</v>
      </c>
      <c r="F1470" s="118">
        <v>0.44400000000000001</v>
      </c>
      <c r="G1470" s="118" t="s">
        <v>7131</v>
      </c>
      <c r="H1470" s="118" t="s">
        <v>7132</v>
      </c>
      <c r="I1470" s="118" t="s">
        <v>7133</v>
      </c>
      <c r="J1470" s="118" t="s">
        <v>7134</v>
      </c>
      <c r="K1470" s="118" t="s">
        <v>510</v>
      </c>
      <c r="W1470" s="213">
        <v>1470</v>
      </c>
      <c r="X1470" s="214">
        <v>15</v>
      </c>
    </row>
    <row r="1471" spans="1:24" x14ac:dyDescent="0.25">
      <c r="A1471" s="114" t="s">
        <v>2763</v>
      </c>
      <c r="B1471" s="113" t="s">
        <v>5484</v>
      </c>
      <c r="C1471" s="114">
        <v>0</v>
      </c>
      <c r="D1471" s="115" t="s">
        <v>3250</v>
      </c>
      <c r="E1471" s="115" t="s">
        <v>5485</v>
      </c>
      <c r="F1471" s="115">
        <v>0.38300000000000001</v>
      </c>
      <c r="G1471" s="115" t="s">
        <v>5486</v>
      </c>
      <c r="H1471" s="115" t="s">
        <v>5487</v>
      </c>
      <c r="I1471" s="115" t="s">
        <v>5488</v>
      </c>
      <c r="J1471" s="115" t="s">
        <v>5489</v>
      </c>
      <c r="K1471" s="115" t="s">
        <v>510</v>
      </c>
      <c r="W1471" s="213">
        <v>1471</v>
      </c>
      <c r="X1471" s="214">
        <v>15</v>
      </c>
    </row>
    <row r="1472" spans="1:24" x14ac:dyDescent="0.25">
      <c r="A1472" s="67" t="s">
        <v>1966</v>
      </c>
      <c r="B1472" s="69" t="s">
        <v>4079</v>
      </c>
      <c r="C1472" s="67">
        <v>0</v>
      </c>
      <c r="D1472" s="68" t="s">
        <v>129</v>
      </c>
      <c r="E1472" s="68" t="s">
        <v>4080</v>
      </c>
      <c r="F1472" s="68">
        <v>0.55900000000000005</v>
      </c>
      <c r="G1472" s="68" t="s">
        <v>4081</v>
      </c>
      <c r="H1472" s="68" t="s">
        <v>4082</v>
      </c>
      <c r="I1472" s="68" t="s">
        <v>4083</v>
      </c>
      <c r="J1472" s="68" t="s">
        <v>4084</v>
      </c>
      <c r="K1472" s="68" t="s">
        <v>510</v>
      </c>
      <c r="W1472" s="213">
        <v>1472</v>
      </c>
      <c r="X1472" s="214">
        <v>10</v>
      </c>
    </row>
    <row r="1473" spans="1:24" x14ac:dyDescent="0.25">
      <c r="A1473" s="114" t="s">
        <v>2763</v>
      </c>
      <c r="B1473" s="113" t="s">
        <v>7197</v>
      </c>
      <c r="C1473" s="114">
        <v>0</v>
      </c>
      <c r="D1473" s="115" t="s">
        <v>502</v>
      </c>
      <c r="E1473" s="115" t="s">
        <v>7198</v>
      </c>
      <c r="F1473" s="115">
        <v>0.42499999999999999</v>
      </c>
      <c r="G1473" s="115" t="s">
        <v>7199</v>
      </c>
      <c r="H1473" s="115" t="s">
        <v>7200</v>
      </c>
      <c r="I1473" s="115" t="s">
        <v>7201</v>
      </c>
      <c r="J1473" s="115" t="s">
        <v>7202</v>
      </c>
      <c r="K1473" s="115" t="s">
        <v>510</v>
      </c>
      <c r="W1473" s="213">
        <v>1473</v>
      </c>
      <c r="X1473" s="214">
        <v>15</v>
      </c>
    </row>
    <row r="1474" spans="1:24" x14ac:dyDescent="0.25">
      <c r="A1474" s="67" t="s">
        <v>1966</v>
      </c>
      <c r="B1474" s="69" t="s">
        <v>4073</v>
      </c>
      <c r="C1474" s="67">
        <v>0</v>
      </c>
      <c r="D1474" s="68" t="s">
        <v>286</v>
      </c>
      <c r="E1474" s="68" t="s">
        <v>4074</v>
      </c>
      <c r="F1474" s="68">
        <v>0.69</v>
      </c>
      <c r="G1474" s="68" t="s">
        <v>4075</v>
      </c>
      <c r="H1474" s="68" t="s">
        <v>4076</v>
      </c>
      <c r="I1474" s="68" t="s">
        <v>4077</v>
      </c>
      <c r="J1474" s="68" t="s">
        <v>4078</v>
      </c>
      <c r="K1474" s="68" t="s">
        <v>510</v>
      </c>
      <c r="W1474" s="213">
        <v>1474</v>
      </c>
      <c r="X1474" s="214">
        <v>10</v>
      </c>
    </row>
    <row r="1475" spans="1:24" x14ac:dyDescent="0.25">
      <c r="A1475" s="114" t="s">
        <v>2763</v>
      </c>
      <c r="B1475" s="113" t="s">
        <v>5490</v>
      </c>
      <c r="C1475" s="114">
        <v>0</v>
      </c>
      <c r="D1475" s="115" t="s">
        <v>4252</v>
      </c>
      <c r="E1475" s="115" t="s">
        <v>5491</v>
      </c>
      <c r="F1475" s="115">
        <v>0.42499999999999999</v>
      </c>
      <c r="G1475" s="115" t="s">
        <v>5492</v>
      </c>
      <c r="H1475" s="115" t="s">
        <v>5493</v>
      </c>
      <c r="I1475" s="115" t="s">
        <v>5494</v>
      </c>
      <c r="J1475" s="115" t="s">
        <v>5495</v>
      </c>
      <c r="K1475" s="115" t="s">
        <v>510</v>
      </c>
      <c r="W1475" s="213">
        <v>1475</v>
      </c>
      <c r="X1475" s="214">
        <v>15</v>
      </c>
    </row>
    <row r="1476" spans="1:24" ht="15" customHeight="1" x14ac:dyDescent="0.25">
      <c r="A1476" s="67" t="s">
        <v>1966</v>
      </c>
      <c r="B1476" s="69" t="s">
        <v>4085</v>
      </c>
      <c r="C1476" s="67">
        <v>0</v>
      </c>
      <c r="D1476" s="68" t="s">
        <v>107</v>
      </c>
      <c r="E1476" s="68" t="s">
        <v>4086</v>
      </c>
      <c r="F1476" s="68">
        <v>0.65800000000000003</v>
      </c>
      <c r="G1476" s="68" t="s">
        <v>4087</v>
      </c>
      <c r="H1476" s="68" t="s">
        <v>4088</v>
      </c>
      <c r="I1476" s="68" t="s">
        <v>4089</v>
      </c>
      <c r="J1476" s="68" t="s">
        <v>4090</v>
      </c>
      <c r="K1476" s="68" t="s">
        <v>510</v>
      </c>
      <c r="W1476" s="213">
        <v>1476</v>
      </c>
      <c r="X1476" s="214">
        <v>10</v>
      </c>
    </row>
    <row r="1477" spans="1:24" x14ac:dyDescent="0.25">
      <c r="A1477" s="114" t="s">
        <v>2763</v>
      </c>
      <c r="B1477" s="113" t="s">
        <v>7158</v>
      </c>
      <c r="C1477" s="114">
        <v>0</v>
      </c>
      <c r="D1477" s="115" t="s">
        <v>502</v>
      </c>
      <c r="E1477" s="115" t="s">
        <v>7159</v>
      </c>
      <c r="F1477" s="115">
        <v>0.40699999999999997</v>
      </c>
      <c r="G1477" s="115" t="s">
        <v>7160</v>
      </c>
      <c r="H1477" s="115" t="s">
        <v>7161</v>
      </c>
      <c r="I1477" s="115" t="s">
        <v>7162</v>
      </c>
      <c r="J1477" s="115" t="s">
        <v>7163</v>
      </c>
      <c r="K1477" s="115" t="s">
        <v>510</v>
      </c>
      <c r="W1477" s="213">
        <v>1477</v>
      </c>
      <c r="X1477" s="214">
        <v>15</v>
      </c>
    </row>
    <row r="1478" spans="1:24" x14ac:dyDescent="0.25">
      <c r="A1478" s="117" t="s">
        <v>2763</v>
      </c>
      <c r="B1478" s="116" t="s">
        <v>7423</v>
      </c>
      <c r="C1478" s="117">
        <v>0</v>
      </c>
      <c r="D1478" s="118" t="s">
        <v>352</v>
      </c>
      <c r="E1478" s="118" t="s">
        <v>7424</v>
      </c>
      <c r="F1478" s="118">
        <v>0.379</v>
      </c>
      <c r="G1478" s="118" t="s">
        <v>2167</v>
      </c>
      <c r="H1478" s="118" t="s">
        <v>7425</v>
      </c>
      <c r="I1478" s="118" t="s">
        <v>7426</v>
      </c>
      <c r="J1478" s="118" t="s">
        <v>7427</v>
      </c>
      <c r="K1478" s="118" t="s">
        <v>510</v>
      </c>
      <c r="W1478" s="213">
        <v>1478</v>
      </c>
      <c r="X1478" s="214">
        <v>15</v>
      </c>
    </row>
    <row r="1479" spans="1:24" x14ac:dyDescent="0.25">
      <c r="A1479" s="114" t="s">
        <v>2763</v>
      </c>
      <c r="B1479" s="113" t="s">
        <v>5982</v>
      </c>
      <c r="C1479" s="114">
        <v>0</v>
      </c>
      <c r="D1479" s="115" t="s">
        <v>1960</v>
      </c>
      <c r="E1479" s="115" t="s">
        <v>5983</v>
      </c>
      <c r="F1479" s="115">
        <v>0.39900000000000002</v>
      </c>
      <c r="G1479" s="115" t="s">
        <v>5984</v>
      </c>
      <c r="H1479" s="115" t="s">
        <v>5985</v>
      </c>
      <c r="I1479" s="115" t="s">
        <v>5986</v>
      </c>
      <c r="J1479" s="115" t="s">
        <v>5987</v>
      </c>
      <c r="K1479" s="115" t="s">
        <v>510</v>
      </c>
      <c r="W1479" s="213">
        <v>1479</v>
      </c>
      <c r="X1479" s="214">
        <v>15</v>
      </c>
    </row>
    <row r="1480" spans="1:24" x14ac:dyDescent="0.25">
      <c r="A1480" s="117" t="s">
        <v>2763</v>
      </c>
      <c r="B1480" s="133" t="s">
        <v>8000</v>
      </c>
      <c r="C1480" s="117">
        <v>0</v>
      </c>
      <c r="D1480" s="118" t="s">
        <v>2912</v>
      </c>
      <c r="E1480" s="118" t="s">
        <v>2881</v>
      </c>
      <c r="F1480" s="118">
        <v>0.42199999999999999</v>
      </c>
      <c r="G1480" s="118" t="s">
        <v>2882</v>
      </c>
      <c r="H1480" s="118" t="s">
        <v>2883</v>
      </c>
      <c r="I1480" s="118" t="s">
        <v>2884</v>
      </c>
      <c r="J1480" s="118" t="s">
        <v>2885</v>
      </c>
      <c r="K1480" s="118" t="s">
        <v>510</v>
      </c>
      <c r="W1480" s="213">
        <v>1480</v>
      </c>
      <c r="X1480" s="214">
        <v>15</v>
      </c>
    </row>
    <row r="1481" spans="1:24" x14ac:dyDescent="0.25">
      <c r="A1481" s="71" t="s">
        <v>1966</v>
      </c>
      <c r="B1481" s="73" t="s">
        <v>4091</v>
      </c>
      <c r="C1481" s="71">
        <v>0</v>
      </c>
      <c r="D1481" s="72" t="s">
        <v>515</v>
      </c>
      <c r="E1481" s="72" t="s">
        <v>4092</v>
      </c>
      <c r="F1481" s="72">
        <v>0.55800000000000005</v>
      </c>
      <c r="G1481" s="72" t="s">
        <v>4093</v>
      </c>
      <c r="H1481" s="72" t="s">
        <v>4094</v>
      </c>
      <c r="I1481" s="72" t="s">
        <v>4095</v>
      </c>
      <c r="J1481" s="72" t="s">
        <v>4096</v>
      </c>
      <c r="K1481" s="72" t="s">
        <v>510</v>
      </c>
      <c r="W1481" s="213">
        <v>1481</v>
      </c>
      <c r="X1481" s="214">
        <v>10</v>
      </c>
    </row>
    <row r="1482" spans="1:24" x14ac:dyDescent="0.25">
      <c r="A1482" s="117" t="s">
        <v>2763</v>
      </c>
      <c r="B1482" s="133" t="s">
        <v>8001</v>
      </c>
      <c r="C1482" s="117">
        <v>0</v>
      </c>
      <c r="D1482" s="118" t="s">
        <v>7944</v>
      </c>
      <c r="E1482" s="118" t="s">
        <v>2886</v>
      </c>
      <c r="F1482" s="118">
        <v>0.432</v>
      </c>
      <c r="G1482" s="118" t="s">
        <v>2887</v>
      </c>
      <c r="H1482" s="118" t="s">
        <v>2888</v>
      </c>
      <c r="I1482" s="118" t="s">
        <v>2889</v>
      </c>
      <c r="J1482" s="118" t="s">
        <v>2890</v>
      </c>
      <c r="K1482" s="118" t="s">
        <v>510</v>
      </c>
      <c r="W1482" s="213">
        <v>1482</v>
      </c>
      <c r="X1482" s="214">
        <v>15</v>
      </c>
    </row>
    <row r="1483" spans="1:24" x14ac:dyDescent="0.25">
      <c r="A1483" s="114" t="s">
        <v>2763</v>
      </c>
      <c r="B1483" s="113" t="s">
        <v>4422</v>
      </c>
      <c r="C1483" s="114">
        <v>0</v>
      </c>
      <c r="D1483" s="115" t="s">
        <v>4423</v>
      </c>
      <c r="E1483" s="115" t="s">
        <v>4424</v>
      </c>
      <c r="F1483" s="115">
        <v>0.40400000000000003</v>
      </c>
      <c r="G1483" s="115" t="s">
        <v>4425</v>
      </c>
      <c r="H1483" s="115" t="s">
        <v>4426</v>
      </c>
      <c r="I1483" s="115" t="s">
        <v>4427</v>
      </c>
      <c r="J1483" s="115" t="s">
        <v>4428</v>
      </c>
      <c r="K1483" s="115" t="s">
        <v>510</v>
      </c>
      <c r="W1483" s="213">
        <v>1483</v>
      </c>
      <c r="X1483" s="214">
        <v>15</v>
      </c>
    </row>
    <row r="1484" spans="1:24" x14ac:dyDescent="0.25">
      <c r="A1484" s="117" t="s">
        <v>2763</v>
      </c>
      <c r="B1484" s="116" t="s">
        <v>5043</v>
      </c>
      <c r="C1484" s="117">
        <v>0</v>
      </c>
      <c r="D1484" s="118" t="s">
        <v>1258</v>
      </c>
      <c r="E1484" s="118" t="s">
        <v>5044</v>
      </c>
      <c r="F1484" s="118">
        <v>0.42599999999999999</v>
      </c>
      <c r="G1484" s="118" t="s">
        <v>5045</v>
      </c>
      <c r="H1484" s="118" t="s">
        <v>5046</v>
      </c>
      <c r="I1484" s="118" t="s">
        <v>5047</v>
      </c>
      <c r="J1484" s="118" t="s">
        <v>5048</v>
      </c>
      <c r="K1484" s="118" t="s">
        <v>510</v>
      </c>
      <c r="W1484" s="213">
        <v>1484</v>
      </c>
      <c r="X1484" s="214">
        <v>15</v>
      </c>
    </row>
    <row r="1485" spans="1:24" x14ac:dyDescent="0.25">
      <c r="A1485" s="114" t="s">
        <v>2763</v>
      </c>
      <c r="B1485" s="113" t="s">
        <v>5061</v>
      </c>
      <c r="C1485" s="114">
        <v>0</v>
      </c>
      <c r="D1485" s="115" t="s">
        <v>384</v>
      </c>
      <c r="E1485" s="115" t="s">
        <v>5062</v>
      </c>
      <c r="F1485" s="115">
        <v>0.42599999999999999</v>
      </c>
      <c r="G1485" s="115" t="s">
        <v>5063</v>
      </c>
      <c r="H1485" s="115" t="s">
        <v>5064</v>
      </c>
      <c r="I1485" s="115" t="s">
        <v>5065</v>
      </c>
      <c r="J1485" s="115" t="s">
        <v>5066</v>
      </c>
      <c r="K1485" s="115" t="s">
        <v>510</v>
      </c>
      <c r="W1485" s="213">
        <v>1485</v>
      </c>
      <c r="X1485" s="214">
        <v>15</v>
      </c>
    </row>
    <row r="1486" spans="1:24" x14ac:dyDescent="0.25">
      <c r="A1486" s="117" t="s">
        <v>2763</v>
      </c>
      <c r="B1486" s="133" t="s">
        <v>7905</v>
      </c>
      <c r="C1486" s="117">
        <v>0</v>
      </c>
      <c r="D1486" s="118" t="s">
        <v>4476</v>
      </c>
      <c r="E1486" s="118" t="s">
        <v>2891</v>
      </c>
      <c r="F1486" s="118">
        <v>0.32800000000000001</v>
      </c>
      <c r="G1486" s="118" t="s">
        <v>2892</v>
      </c>
      <c r="H1486" s="118" t="s">
        <v>2893</v>
      </c>
      <c r="I1486" s="118" t="s">
        <v>2894</v>
      </c>
      <c r="J1486" s="118" t="s">
        <v>2895</v>
      </c>
      <c r="K1486" s="118" t="s">
        <v>510</v>
      </c>
      <c r="W1486" s="213">
        <v>1486</v>
      </c>
      <c r="X1486" s="214">
        <v>15</v>
      </c>
    </row>
    <row r="1487" spans="1:24" x14ac:dyDescent="0.25">
      <c r="A1487" s="114" t="s">
        <v>2763</v>
      </c>
      <c r="B1487" s="113" t="s">
        <v>5288</v>
      </c>
      <c r="C1487" s="114">
        <v>0</v>
      </c>
      <c r="D1487" s="115" t="s">
        <v>3250</v>
      </c>
      <c r="E1487" s="115" t="s">
        <v>5289</v>
      </c>
      <c r="F1487" s="115">
        <v>0.45700000000000002</v>
      </c>
      <c r="G1487" s="115" t="s">
        <v>5290</v>
      </c>
      <c r="H1487" s="115" t="s">
        <v>5291</v>
      </c>
      <c r="I1487" s="115" t="s">
        <v>5292</v>
      </c>
      <c r="J1487" s="115" t="s">
        <v>5293</v>
      </c>
      <c r="K1487" s="115" t="s">
        <v>510</v>
      </c>
      <c r="W1487" s="213">
        <v>1487</v>
      </c>
      <c r="X1487" s="214">
        <v>15</v>
      </c>
    </row>
    <row r="1488" spans="1:24" x14ac:dyDescent="0.25">
      <c r="A1488" s="117" t="s">
        <v>2763</v>
      </c>
      <c r="B1488" s="116" t="s">
        <v>7147</v>
      </c>
      <c r="C1488" s="117">
        <v>0</v>
      </c>
      <c r="D1488" s="118" t="s">
        <v>502</v>
      </c>
      <c r="E1488" s="118" t="s">
        <v>7148</v>
      </c>
      <c r="F1488" s="118">
        <v>0.36399999999999999</v>
      </c>
      <c r="G1488" s="118" t="s">
        <v>7149</v>
      </c>
      <c r="H1488" s="118" t="s">
        <v>7150</v>
      </c>
      <c r="I1488" s="118" t="s">
        <v>7151</v>
      </c>
      <c r="J1488" s="118" t="s">
        <v>7152</v>
      </c>
      <c r="K1488" s="118" t="s">
        <v>510</v>
      </c>
      <c r="W1488" s="213">
        <v>1488</v>
      </c>
      <c r="X1488" s="214">
        <v>15</v>
      </c>
    </row>
    <row r="1489" spans="1:24" x14ac:dyDescent="0.25">
      <c r="A1489" s="114" t="s">
        <v>2763</v>
      </c>
      <c r="B1489" s="132" t="s">
        <v>8002</v>
      </c>
      <c r="C1489" s="114">
        <v>0</v>
      </c>
      <c r="D1489" s="115" t="s">
        <v>3076</v>
      </c>
      <c r="E1489" s="115" t="s">
        <v>2896</v>
      </c>
      <c r="F1489" s="115">
        <v>0.36899999999999999</v>
      </c>
      <c r="G1489" s="115" t="s">
        <v>2897</v>
      </c>
      <c r="H1489" s="115" t="s">
        <v>2898</v>
      </c>
      <c r="I1489" s="115" t="s">
        <v>2899</v>
      </c>
      <c r="J1489" s="115" t="s">
        <v>2900</v>
      </c>
      <c r="K1489" s="115" t="s">
        <v>510</v>
      </c>
      <c r="W1489" s="213">
        <v>1489</v>
      </c>
      <c r="X1489" s="214">
        <v>15</v>
      </c>
    </row>
    <row r="1490" spans="1:24" x14ac:dyDescent="0.25">
      <c r="A1490" s="117" t="s">
        <v>2763</v>
      </c>
      <c r="B1490" s="116" t="s">
        <v>6796</v>
      </c>
      <c r="C1490" s="117">
        <v>0</v>
      </c>
      <c r="D1490" s="118" t="s">
        <v>652</v>
      </c>
      <c r="E1490" s="118" t="s">
        <v>7141</v>
      </c>
      <c r="F1490" s="118">
        <v>0.39500000000000002</v>
      </c>
      <c r="G1490" s="118" t="s">
        <v>6797</v>
      </c>
      <c r="H1490" s="118" t="s">
        <v>6798</v>
      </c>
      <c r="I1490" s="118" t="s">
        <v>6799</v>
      </c>
      <c r="J1490" s="118" t="s">
        <v>6800</v>
      </c>
      <c r="K1490" s="118" t="s">
        <v>510</v>
      </c>
      <c r="W1490" s="213">
        <v>1490</v>
      </c>
      <c r="X1490" s="214">
        <v>15</v>
      </c>
    </row>
    <row r="1491" spans="1:24" x14ac:dyDescent="0.25">
      <c r="A1491" s="114" t="s">
        <v>2763</v>
      </c>
      <c r="B1491" s="113" t="s">
        <v>7142</v>
      </c>
      <c r="C1491" s="114">
        <v>0</v>
      </c>
      <c r="D1491" s="115" t="s">
        <v>502</v>
      </c>
      <c r="E1491" s="115" t="s">
        <v>7143</v>
      </c>
      <c r="F1491" s="115">
        <v>0.45600000000000002</v>
      </c>
      <c r="G1491" s="115" t="s">
        <v>7144</v>
      </c>
      <c r="H1491" s="115" t="s">
        <v>7145</v>
      </c>
      <c r="I1491" s="115" t="s">
        <v>7146</v>
      </c>
      <c r="J1491" s="115" t="s">
        <v>5629</v>
      </c>
      <c r="K1491" s="115" t="s">
        <v>510</v>
      </c>
      <c r="W1491" s="213">
        <v>1491</v>
      </c>
      <c r="X1491" s="214">
        <v>15</v>
      </c>
    </row>
    <row r="1492" spans="1:24" x14ac:dyDescent="0.25">
      <c r="A1492" s="117" t="s">
        <v>2763</v>
      </c>
      <c r="B1492" s="116" t="s">
        <v>5270</v>
      </c>
      <c r="C1492" s="117">
        <v>0</v>
      </c>
      <c r="D1492" s="118" t="s">
        <v>4252</v>
      </c>
      <c r="E1492" s="118" t="s">
        <v>5271</v>
      </c>
      <c r="F1492" s="118">
        <v>0.27200000000000002</v>
      </c>
      <c r="G1492" s="118" t="s">
        <v>5272</v>
      </c>
      <c r="H1492" s="118" t="s">
        <v>5273</v>
      </c>
      <c r="I1492" s="118" t="s">
        <v>5274</v>
      </c>
      <c r="J1492" s="118" t="s">
        <v>5275</v>
      </c>
      <c r="K1492" s="118" t="s">
        <v>510</v>
      </c>
      <c r="W1492" s="213">
        <v>1492</v>
      </c>
      <c r="X1492" s="214">
        <v>15</v>
      </c>
    </row>
    <row r="1493" spans="1:24" x14ac:dyDescent="0.25">
      <c r="A1493" s="114" t="s">
        <v>2763</v>
      </c>
      <c r="B1493" s="113" t="s">
        <v>5300</v>
      </c>
      <c r="C1493" s="114">
        <v>0</v>
      </c>
      <c r="D1493" s="115" t="s">
        <v>2351</v>
      </c>
      <c r="E1493" s="115" t="s">
        <v>5301</v>
      </c>
      <c r="F1493" s="115">
        <v>0.44800000000000001</v>
      </c>
      <c r="G1493" s="115" t="s">
        <v>4827</v>
      </c>
      <c r="H1493" s="115" t="s">
        <v>5302</v>
      </c>
      <c r="I1493" s="115" t="s">
        <v>5303</v>
      </c>
      <c r="J1493" s="115" t="s">
        <v>5304</v>
      </c>
      <c r="K1493" s="115" t="s">
        <v>510</v>
      </c>
      <c r="W1493" s="213">
        <v>1493</v>
      </c>
      <c r="X1493" s="214">
        <v>15</v>
      </c>
    </row>
    <row r="1494" spans="1:24" x14ac:dyDescent="0.25">
      <c r="A1494" s="117" t="s">
        <v>2763</v>
      </c>
      <c r="B1494" s="116" t="s">
        <v>4734</v>
      </c>
      <c r="C1494" s="117">
        <v>0</v>
      </c>
      <c r="D1494" s="118" t="s">
        <v>3009</v>
      </c>
      <c r="E1494" s="118" t="s">
        <v>4735</v>
      </c>
      <c r="F1494" s="118">
        <v>0.27100000000000002</v>
      </c>
      <c r="G1494" s="118" t="s">
        <v>4736</v>
      </c>
      <c r="H1494" s="118" t="s">
        <v>4737</v>
      </c>
      <c r="I1494" s="118" t="s">
        <v>4738</v>
      </c>
      <c r="J1494" s="118" t="s">
        <v>4739</v>
      </c>
      <c r="K1494" s="118" t="s">
        <v>510</v>
      </c>
      <c r="W1494" s="213">
        <v>1494</v>
      </c>
      <c r="X1494" s="214">
        <v>15</v>
      </c>
    </row>
    <row r="1495" spans="1:24" x14ac:dyDescent="0.25">
      <c r="A1495" s="114" t="s">
        <v>2763</v>
      </c>
      <c r="B1495" s="113" t="s">
        <v>5814</v>
      </c>
      <c r="C1495" s="114">
        <v>0</v>
      </c>
      <c r="D1495" s="115" t="s">
        <v>2094</v>
      </c>
      <c r="E1495" s="115" t="s">
        <v>5815</v>
      </c>
      <c r="F1495" s="115">
        <v>0.32300000000000001</v>
      </c>
      <c r="G1495" s="115" t="s">
        <v>5816</v>
      </c>
      <c r="H1495" s="115" t="s">
        <v>5817</v>
      </c>
      <c r="I1495" s="115" t="s">
        <v>5818</v>
      </c>
      <c r="J1495" s="115" t="s">
        <v>5819</v>
      </c>
      <c r="K1495" s="115" t="s">
        <v>510</v>
      </c>
      <c r="W1495" s="213">
        <v>1495</v>
      </c>
      <c r="X1495" s="214">
        <v>15</v>
      </c>
    </row>
    <row r="1496" spans="1:24" x14ac:dyDescent="0.25">
      <c r="A1496" s="117" t="s">
        <v>2763</v>
      </c>
      <c r="B1496" s="116" t="s">
        <v>6743</v>
      </c>
      <c r="C1496" s="117">
        <v>0</v>
      </c>
      <c r="D1496" s="118" t="s">
        <v>966</v>
      </c>
      <c r="E1496" s="118" t="s">
        <v>6744</v>
      </c>
      <c r="F1496" s="118">
        <v>0.34899999999999998</v>
      </c>
      <c r="G1496" s="118" t="s">
        <v>6745</v>
      </c>
      <c r="H1496" s="118" t="s">
        <v>6746</v>
      </c>
      <c r="I1496" s="118" t="s">
        <v>6747</v>
      </c>
      <c r="J1496" s="118" t="s">
        <v>6748</v>
      </c>
      <c r="K1496" s="118" t="s">
        <v>510</v>
      </c>
      <c r="W1496" s="213">
        <v>1496</v>
      </c>
      <c r="X1496" s="214">
        <v>15</v>
      </c>
    </row>
    <row r="1497" spans="1:24" x14ac:dyDescent="0.25">
      <c r="A1497" s="114" t="s">
        <v>2763</v>
      </c>
      <c r="B1497" s="113" t="s">
        <v>6524</v>
      </c>
      <c r="C1497" s="114">
        <v>0</v>
      </c>
      <c r="D1497" s="115" t="s">
        <v>3161</v>
      </c>
      <c r="E1497" s="115" t="s">
        <v>6530</v>
      </c>
      <c r="F1497" s="115">
        <v>0.438</v>
      </c>
      <c r="G1497" s="115" t="s">
        <v>6531</v>
      </c>
      <c r="H1497" s="115" t="s">
        <v>6532</v>
      </c>
      <c r="I1497" s="115" t="s">
        <v>6533</v>
      </c>
      <c r="J1497" s="115" t="s">
        <v>6534</v>
      </c>
      <c r="K1497" s="115" t="s">
        <v>510</v>
      </c>
      <c r="W1497" s="213">
        <v>1497</v>
      </c>
      <c r="X1497" s="214">
        <v>15</v>
      </c>
    </row>
    <row r="1498" spans="1:24" x14ac:dyDescent="0.25">
      <c r="A1498" s="117" t="s">
        <v>2763</v>
      </c>
      <c r="B1498" s="116" t="s">
        <v>6037</v>
      </c>
      <c r="C1498" s="117">
        <v>0</v>
      </c>
      <c r="D1498" s="118" t="s">
        <v>561</v>
      </c>
      <c r="E1498" s="118" t="s">
        <v>6038</v>
      </c>
      <c r="F1498" s="118">
        <v>0.44500000000000001</v>
      </c>
      <c r="G1498" s="118" t="s">
        <v>6039</v>
      </c>
      <c r="H1498" s="118" t="s">
        <v>6040</v>
      </c>
      <c r="I1498" s="118" t="s">
        <v>6041</v>
      </c>
      <c r="J1498" s="118" t="s">
        <v>6042</v>
      </c>
      <c r="K1498" s="118" t="s">
        <v>510</v>
      </c>
      <c r="W1498" s="213">
        <v>1498</v>
      </c>
      <c r="X1498" s="214">
        <v>15</v>
      </c>
    </row>
    <row r="1499" spans="1:24" x14ac:dyDescent="0.25">
      <c r="A1499" s="114" t="s">
        <v>2763</v>
      </c>
      <c r="B1499" s="113" t="s">
        <v>6223</v>
      </c>
      <c r="C1499" s="114">
        <v>0</v>
      </c>
      <c r="D1499" s="115" t="s">
        <v>3206</v>
      </c>
      <c r="E1499" s="115" t="s">
        <v>6224</v>
      </c>
      <c r="F1499" s="115">
        <v>0.41499999999999998</v>
      </c>
      <c r="G1499" s="115" t="s">
        <v>6225</v>
      </c>
      <c r="H1499" s="115" t="s">
        <v>6226</v>
      </c>
      <c r="I1499" s="115" t="s">
        <v>6227</v>
      </c>
      <c r="J1499" s="115" t="s">
        <v>6228</v>
      </c>
      <c r="K1499" s="115" t="s">
        <v>510</v>
      </c>
      <c r="W1499" s="213">
        <v>1499</v>
      </c>
      <c r="X1499" s="214">
        <v>15</v>
      </c>
    </row>
    <row r="1500" spans="1:24" x14ac:dyDescent="0.25">
      <c r="A1500" s="117" t="s">
        <v>2763</v>
      </c>
      <c r="B1500" s="116" t="s">
        <v>5294</v>
      </c>
      <c r="C1500" s="117">
        <v>0</v>
      </c>
      <c r="D1500" s="118" t="s">
        <v>3331</v>
      </c>
      <c r="E1500" s="118" t="s">
        <v>5295</v>
      </c>
      <c r="F1500" s="118">
        <v>0.437</v>
      </c>
      <c r="G1500" s="118" t="s">
        <v>5296</v>
      </c>
      <c r="H1500" s="118" t="s">
        <v>5297</v>
      </c>
      <c r="I1500" s="118" t="s">
        <v>5298</v>
      </c>
      <c r="J1500" s="118" t="s">
        <v>5299</v>
      </c>
      <c r="K1500" s="118" t="s">
        <v>510</v>
      </c>
      <c r="W1500" s="213">
        <v>1500</v>
      </c>
      <c r="X1500" s="214">
        <v>15</v>
      </c>
    </row>
    <row r="1501" spans="1:24" x14ac:dyDescent="0.25">
      <c r="A1501" s="71" t="s">
        <v>1966</v>
      </c>
      <c r="B1501" s="73" t="s">
        <v>3336</v>
      </c>
      <c r="C1501" s="71">
        <v>0</v>
      </c>
      <c r="D1501" s="72" t="s">
        <v>1318</v>
      </c>
      <c r="E1501" s="72" t="s">
        <v>3337</v>
      </c>
      <c r="F1501" s="72">
        <v>0.53200000000000003</v>
      </c>
      <c r="G1501" s="72" t="s">
        <v>3338</v>
      </c>
      <c r="H1501" s="72" t="s">
        <v>3339</v>
      </c>
      <c r="I1501" s="72" t="s">
        <v>3340</v>
      </c>
      <c r="J1501" s="72" t="s">
        <v>3341</v>
      </c>
      <c r="K1501" s="72" t="s">
        <v>510</v>
      </c>
      <c r="W1501" s="213">
        <v>1501</v>
      </c>
      <c r="X1501" s="214">
        <v>10</v>
      </c>
    </row>
    <row r="1502" spans="1:24" x14ac:dyDescent="0.25">
      <c r="A1502" s="67" t="s">
        <v>1966</v>
      </c>
      <c r="B1502" s="69" t="s">
        <v>3342</v>
      </c>
      <c r="C1502" s="67">
        <v>0</v>
      </c>
      <c r="D1502" s="68" t="s">
        <v>2471</v>
      </c>
      <c r="E1502" s="68" t="s">
        <v>3343</v>
      </c>
      <c r="F1502" s="68">
        <v>0.56699999999999995</v>
      </c>
      <c r="G1502" s="68" t="s">
        <v>3344</v>
      </c>
      <c r="H1502" s="68" t="s">
        <v>3345</v>
      </c>
      <c r="I1502" s="68" t="s">
        <v>3346</v>
      </c>
      <c r="J1502" s="68" t="s">
        <v>3347</v>
      </c>
      <c r="K1502" s="68" t="s">
        <v>510</v>
      </c>
      <c r="W1502" s="213">
        <v>1502</v>
      </c>
      <c r="X1502" s="214">
        <v>10</v>
      </c>
    </row>
    <row r="1503" spans="1:24" x14ac:dyDescent="0.25">
      <c r="A1503" s="114" t="s">
        <v>2763</v>
      </c>
      <c r="B1503" s="113" t="s">
        <v>6010</v>
      </c>
      <c r="C1503" s="114">
        <v>0</v>
      </c>
      <c r="D1503" s="115" t="s">
        <v>3250</v>
      </c>
      <c r="E1503" s="115" t="s">
        <v>6011</v>
      </c>
      <c r="F1503" s="115">
        <v>0.42399999999999999</v>
      </c>
      <c r="G1503" s="115" t="s">
        <v>6012</v>
      </c>
      <c r="H1503" s="115" t="s">
        <v>6013</v>
      </c>
      <c r="I1503" s="115" t="s">
        <v>6014</v>
      </c>
      <c r="J1503" s="115" t="s">
        <v>6015</v>
      </c>
      <c r="K1503" s="115" t="s">
        <v>510</v>
      </c>
      <c r="W1503" s="213">
        <v>1503</v>
      </c>
      <c r="X1503" s="214">
        <v>15</v>
      </c>
    </row>
    <row r="1504" spans="1:24" x14ac:dyDescent="0.25">
      <c r="A1504" s="117" t="s">
        <v>2763</v>
      </c>
      <c r="B1504" s="116" t="s">
        <v>6513</v>
      </c>
      <c r="C1504" s="117">
        <v>0</v>
      </c>
      <c r="D1504" s="118" t="s">
        <v>1146</v>
      </c>
      <c r="E1504" s="118" t="s">
        <v>6514</v>
      </c>
      <c r="F1504" s="118">
        <v>0.41499999999999998</v>
      </c>
      <c r="G1504" s="118" t="s">
        <v>6515</v>
      </c>
      <c r="H1504" s="118" t="s">
        <v>6516</v>
      </c>
      <c r="I1504" s="118" t="s">
        <v>6517</v>
      </c>
      <c r="J1504" s="118" t="s">
        <v>6518</v>
      </c>
      <c r="K1504" s="118" t="s">
        <v>510</v>
      </c>
      <c r="W1504" s="213">
        <v>1504</v>
      </c>
      <c r="X1504" s="214">
        <v>15</v>
      </c>
    </row>
    <row r="1505" spans="1:24" x14ac:dyDescent="0.25">
      <c r="A1505" s="114" t="s">
        <v>2763</v>
      </c>
      <c r="B1505" s="113" t="s">
        <v>4615</v>
      </c>
      <c r="C1505" s="114">
        <v>0</v>
      </c>
      <c r="D1505" s="115" t="s">
        <v>4616</v>
      </c>
      <c r="E1505" s="115" t="s">
        <v>4617</v>
      </c>
      <c r="F1505" s="115">
        <v>0.47299999999999998</v>
      </c>
      <c r="G1505" s="115" t="s">
        <v>4618</v>
      </c>
      <c r="H1505" s="115" t="s">
        <v>4619</v>
      </c>
      <c r="I1505" s="115" t="s">
        <v>4620</v>
      </c>
      <c r="J1505" s="115" t="s">
        <v>4621</v>
      </c>
      <c r="K1505" s="115" t="s">
        <v>510</v>
      </c>
      <c r="W1505" s="213">
        <v>1505</v>
      </c>
      <c r="X1505" s="214">
        <v>15</v>
      </c>
    </row>
    <row r="1506" spans="1:24" x14ac:dyDescent="0.25">
      <c r="A1506" s="117" t="s">
        <v>2763</v>
      </c>
      <c r="B1506" s="133" t="s">
        <v>7935</v>
      </c>
      <c r="C1506" s="117">
        <v>0</v>
      </c>
      <c r="D1506" s="118" t="s">
        <v>7916</v>
      </c>
      <c r="E1506" s="118" t="s">
        <v>2901</v>
      </c>
      <c r="F1506" s="118">
        <v>0.44400000000000001</v>
      </c>
      <c r="G1506" s="118" t="s">
        <v>2902</v>
      </c>
      <c r="H1506" s="118" t="s">
        <v>2903</v>
      </c>
      <c r="I1506" s="118" t="s">
        <v>2904</v>
      </c>
      <c r="J1506" s="118" t="s">
        <v>2905</v>
      </c>
      <c r="K1506" s="118" t="s">
        <v>510</v>
      </c>
      <c r="W1506" s="213">
        <v>1506</v>
      </c>
      <c r="X1506" s="214">
        <v>15</v>
      </c>
    </row>
    <row r="1507" spans="1:24" x14ac:dyDescent="0.25">
      <c r="A1507" s="114" t="s">
        <v>2763</v>
      </c>
      <c r="B1507" s="113" t="s">
        <v>5762</v>
      </c>
      <c r="C1507" s="114">
        <v>0</v>
      </c>
      <c r="D1507" s="115" t="s">
        <v>3206</v>
      </c>
      <c r="E1507" s="115" t="s">
        <v>5763</v>
      </c>
      <c r="F1507" s="115">
        <v>0.44400000000000001</v>
      </c>
      <c r="G1507" s="115" t="s">
        <v>5764</v>
      </c>
      <c r="H1507" s="115" t="s">
        <v>5765</v>
      </c>
      <c r="I1507" s="115" t="s">
        <v>5766</v>
      </c>
      <c r="J1507" s="115" t="s">
        <v>5767</v>
      </c>
      <c r="K1507" s="115" t="s">
        <v>510</v>
      </c>
      <c r="W1507" s="213">
        <v>1507</v>
      </c>
      <c r="X1507" s="214">
        <v>15</v>
      </c>
    </row>
    <row r="1508" spans="1:24" x14ac:dyDescent="0.25">
      <c r="A1508" s="117" t="s">
        <v>2763</v>
      </c>
      <c r="B1508" s="133" t="s">
        <v>7936</v>
      </c>
      <c r="C1508" s="117">
        <v>0</v>
      </c>
      <c r="D1508" s="118" t="s">
        <v>2906</v>
      </c>
      <c r="E1508" s="118" t="s">
        <v>2907</v>
      </c>
      <c r="F1508" s="118">
        <v>0.41799999999999998</v>
      </c>
      <c r="G1508" s="118" t="s">
        <v>2908</v>
      </c>
      <c r="H1508" s="118" t="s">
        <v>2909</v>
      </c>
      <c r="I1508" s="118" t="s">
        <v>2910</v>
      </c>
      <c r="J1508" s="118" t="s">
        <v>2911</v>
      </c>
      <c r="K1508" s="118" t="s">
        <v>9569</v>
      </c>
      <c r="W1508" s="213">
        <v>1508</v>
      </c>
      <c r="X1508" s="214">
        <v>15</v>
      </c>
    </row>
    <row r="1509" spans="1:24" x14ac:dyDescent="0.25">
      <c r="A1509" s="114" t="s">
        <v>2763</v>
      </c>
      <c r="B1509" s="132" t="s">
        <v>8003</v>
      </c>
      <c r="C1509" s="114">
        <v>0</v>
      </c>
      <c r="D1509" s="115" t="s">
        <v>2912</v>
      </c>
      <c r="E1509" s="115" t="s">
        <v>2913</v>
      </c>
      <c r="F1509" s="115">
        <v>0.41599999999999998</v>
      </c>
      <c r="G1509" s="115" t="s">
        <v>2914</v>
      </c>
      <c r="H1509" s="115" t="s">
        <v>2915</v>
      </c>
      <c r="I1509" s="115" t="s">
        <v>2916</v>
      </c>
      <c r="J1509" s="115" t="s">
        <v>2917</v>
      </c>
      <c r="K1509" s="115" t="s">
        <v>510</v>
      </c>
      <c r="W1509" s="213">
        <v>1509</v>
      </c>
      <c r="X1509" s="214">
        <v>15</v>
      </c>
    </row>
    <row r="1510" spans="1:24" x14ac:dyDescent="0.25">
      <c r="A1510" s="67" t="s">
        <v>1966</v>
      </c>
      <c r="B1510" s="69" t="s">
        <v>4103</v>
      </c>
      <c r="C1510" s="67">
        <v>0</v>
      </c>
      <c r="D1510" s="68" t="s">
        <v>274</v>
      </c>
      <c r="E1510" s="68" t="s">
        <v>4104</v>
      </c>
      <c r="F1510" s="68">
        <v>0.78200000000000003</v>
      </c>
      <c r="G1510" s="68" t="s">
        <v>4105</v>
      </c>
      <c r="H1510" s="68" t="s">
        <v>2828</v>
      </c>
      <c r="I1510" s="68" t="s">
        <v>4106</v>
      </c>
      <c r="J1510" s="68" t="s">
        <v>4107</v>
      </c>
      <c r="K1510" s="68" t="s">
        <v>510</v>
      </c>
      <c r="W1510" s="213">
        <v>1510</v>
      </c>
      <c r="X1510" s="214">
        <v>10</v>
      </c>
    </row>
    <row r="1511" spans="1:24" x14ac:dyDescent="0.25">
      <c r="A1511" s="114" t="s">
        <v>2763</v>
      </c>
      <c r="B1511" s="113" t="s">
        <v>6541</v>
      </c>
      <c r="C1511" s="114">
        <v>0</v>
      </c>
      <c r="D1511" s="115" t="s">
        <v>261</v>
      </c>
      <c r="E1511" s="115" t="s">
        <v>6542</v>
      </c>
      <c r="F1511" s="115">
        <v>0.46500000000000002</v>
      </c>
      <c r="G1511" s="115" t="s">
        <v>6543</v>
      </c>
      <c r="H1511" s="115" t="s">
        <v>6544</v>
      </c>
      <c r="I1511" s="115" t="s">
        <v>6545</v>
      </c>
      <c r="J1511" s="115" t="s">
        <v>6546</v>
      </c>
      <c r="K1511" s="115" t="s">
        <v>510</v>
      </c>
      <c r="W1511" s="213">
        <v>1511</v>
      </c>
      <c r="X1511" s="214">
        <v>15</v>
      </c>
    </row>
    <row r="1512" spans="1:24" x14ac:dyDescent="0.25">
      <c r="A1512" s="117" t="s">
        <v>2763</v>
      </c>
      <c r="B1512" s="116" t="s">
        <v>7135</v>
      </c>
      <c r="C1512" s="117">
        <v>0</v>
      </c>
      <c r="D1512" s="118" t="s">
        <v>1318</v>
      </c>
      <c r="E1512" s="118" t="s">
        <v>7136</v>
      </c>
      <c r="F1512" s="118">
        <v>0.439</v>
      </c>
      <c r="G1512" s="118" t="s">
        <v>7137</v>
      </c>
      <c r="H1512" s="118" t="s">
        <v>7138</v>
      </c>
      <c r="I1512" s="118" t="s">
        <v>7139</v>
      </c>
      <c r="J1512" s="118" t="s">
        <v>7140</v>
      </c>
      <c r="K1512" s="118" t="s">
        <v>510</v>
      </c>
      <c r="W1512" s="213">
        <v>1512</v>
      </c>
      <c r="X1512" s="214">
        <v>15</v>
      </c>
    </row>
    <row r="1513" spans="1:24" x14ac:dyDescent="0.25">
      <c r="A1513" s="114" t="s">
        <v>2763</v>
      </c>
      <c r="B1513" s="113" t="s">
        <v>7123</v>
      </c>
      <c r="C1513" s="114">
        <v>0</v>
      </c>
      <c r="D1513" s="115" t="s">
        <v>502</v>
      </c>
      <c r="E1513" s="115" t="s">
        <v>7124</v>
      </c>
      <c r="F1513" s="115">
        <v>0.46</v>
      </c>
      <c r="G1513" s="115" t="s">
        <v>7125</v>
      </c>
      <c r="H1513" s="115" t="s">
        <v>7126</v>
      </c>
      <c r="I1513" s="115" t="s">
        <v>7127</v>
      </c>
      <c r="J1513" s="115" t="s">
        <v>7128</v>
      </c>
      <c r="K1513" s="115" t="s">
        <v>510</v>
      </c>
      <c r="W1513" s="213">
        <v>1513</v>
      </c>
      <c r="X1513" s="214">
        <v>15</v>
      </c>
    </row>
    <row r="1514" spans="1:24" x14ac:dyDescent="0.25">
      <c r="A1514" s="117" t="s">
        <v>2763</v>
      </c>
      <c r="B1514" s="133" t="s">
        <v>7906</v>
      </c>
      <c r="C1514" s="117">
        <v>0</v>
      </c>
      <c r="D1514" s="118" t="s">
        <v>7899</v>
      </c>
      <c r="E1514" s="118" t="s">
        <v>2918</v>
      </c>
      <c r="F1514" s="118">
        <v>0.437</v>
      </c>
      <c r="G1514" s="118" t="s">
        <v>2919</v>
      </c>
      <c r="H1514" s="118" t="s">
        <v>2920</v>
      </c>
      <c r="I1514" s="118" t="s">
        <v>2921</v>
      </c>
      <c r="J1514" s="118" t="s">
        <v>2922</v>
      </c>
      <c r="K1514" s="118" t="s">
        <v>510</v>
      </c>
      <c r="W1514" s="213">
        <v>1514</v>
      </c>
      <c r="X1514" s="214">
        <v>15</v>
      </c>
    </row>
    <row r="1515" spans="1:24" x14ac:dyDescent="0.25">
      <c r="A1515" s="114" t="s">
        <v>2763</v>
      </c>
      <c r="B1515" s="113" t="s">
        <v>7076</v>
      </c>
      <c r="C1515" s="114">
        <v>0</v>
      </c>
      <c r="D1515" s="115" t="s">
        <v>293</v>
      </c>
      <c r="E1515" s="115" t="s">
        <v>7077</v>
      </c>
      <c r="F1515" s="115">
        <v>0.42799999999999999</v>
      </c>
      <c r="G1515" s="115" t="s">
        <v>7078</v>
      </c>
      <c r="H1515" s="115" t="s">
        <v>7079</v>
      </c>
      <c r="I1515" s="115" t="s">
        <v>7080</v>
      </c>
      <c r="J1515" s="115" t="s">
        <v>7081</v>
      </c>
      <c r="K1515" s="115" t="s">
        <v>510</v>
      </c>
      <c r="W1515" s="213">
        <v>1515</v>
      </c>
      <c r="X1515" s="214">
        <v>15</v>
      </c>
    </row>
    <row r="1516" spans="1:24" x14ac:dyDescent="0.25">
      <c r="A1516" s="67" t="s">
        <v>1966</v>
      </c>
      <c r="B1516" s="69" t="s">
        <v>4108</v>
      </c>
      <c r="C1516" s="67">
        <v>0</v>
      </c>
      <c r="D1516" s="68" t="s">
        <v>3054</v>
      </c>
      <c r="E1516" s="68" t="s">
        <v>4109</v>
      </c>
      <c r="F1516" s="68">
        <v>0.68799999999999994</v>
      </c>
      <c r="G1516" s="68" t="s">
        <v>4110</v>
      </c>
      <c r="H1516" s="68" t="s">
        <v>4111</v>
      </c>
      <c r="I1516" s="68" t="s">
        <v>4112</v>
      </c>
      <c r="J1516" s="68" t="s">
        <v>4113</v>
      </c>
      <c r="K1516" s="68" t="s">
        <v>510</v>
      </c>
      <c r="W1516" s="213">
        <v>1516</v>
      </c>
      <c r="X1516" s="214">
        <v>10</v>
      </c>
    </row>
    <row r="1517" spans="1:24" ht="14.45" customHeight="1" x14ac:dyDescent="0.25">
      <c r="A1517" s="112" t="s">
        <v>2923</v>
      </c>
      <c r="B1517" s="107" t="s">
        <v>2924</v>
      </c>
      <c r="C1517" s="106">
        <v>1</v>
      </c>
      <c r="D1517" s="105" t="s">
        <v>2925</v>
      </c>
      <c r="E1517" s="105" t="s">
        <v>2926</v>
      </c>
      <c r="F1517" s="105">
        <v>0.499</v>
      </c>
      <c r="G1517" s="105" t="s">
        <v>2927</v>
      </c>
      <c r="H1517" s="105" t="s">
        <v>2928</v>
      </c>
      <c r="I1517" s="105" t="s">
        <v>2929</v>
      </c>
      <c r="J1517" s="105" t="s">
        <v>2930</v>
      </c>
      <c r="K1517" s="105" t="s">
        <v>9480</v>
      </c>
      <c r="W1517" s="213">
        <v>1517</v>
      </c>
      <c r="X1517" s="214">
        <v>13</v>
      </c>
    </row>
    <row r="1518" spans="1:24" ht="14.45" customHeight="1" x14ac:dyDescent="0.25">
      <c r="A1518" s="104" t="s">
        <v>0</v>
      </c>
      <c r="B1518" s="103" t="s">
        <v>32</v>
      </c>
      <c r="C1518" s="102" t="s">
        <v>2931</v>
      </c>
      <c r="D1518" s="104" t="s">
        <v>853</v>
      </c>
      <c r="E1518" s="104" t="s">
        <v>2932</v>
      </c>
      <c r="F1518" s="104">
        <v>0.29099999999999998</v>
      </c>
      <c r="G1518" s="104" t="s">
        <v>510</v>
      </c>
      <c r="H1518" s="111"/>
      <c r="I1518" s="111"/>
      <c r="J1518" s="111"/>
      <c r="K1518" s="104" t="s">
        <v>510</v>
      </c>
      <c r="W1518" s="213">
        <v>1518</v>
      </c>
      <c r="X1518" s="214">
        <v>13</v>
      </c>
    </row>
    <row r="1519" spans="1:24" x14ac:dyDescent="0.25">
      <c r="A1519" s="114" t="s">
        <v>2763</v>
      </c>
      <c r="B1519" s="113" t="s">
        <v>5536</v>
      </c>
      <c r="C1519" s="114">
        <v>0</v>
      </c>
      <c r="D1519" s="115" t="s">
        <v>4252</v>
      </c>
      <c r="E1519" s="115" t="s">
        <v>5537</v>
      </c>
      <c r="F1519" s="115">
        <v>0.45700000000000002</v>
      </c>
      <c r="G1519" s="115" t="s">
        <v>3143</v>
      </c>
      <c r="H1519" s="115" t="s">
        <v>5538</v>
      </c>
      <c r="I1519" s="115" t="s">
        <v>5539</v>
      </c>
      <c r="J1519" s="115" t="s">
        <v>5540</v>
      </c>
      <c r="K1519" s="115" t="s">
        <v>510</v>
      </c>
      <c r="W1519" s="213">
        <v>1519</v>
      </c>
      <c r="X1519" s="214">
        <v>15</v>
      </c>
    </row>
    <row r="1520" spans="1:24" x14ac:dyDescent="0.25">
      <c r="A1520" s="67" t="s">
        <v>1966</v>
      </c>
      <c r="B1520" s="69" t="s">
        <v>3348</v>
      </c>
      <c r="C1520" s="67">
        <v>0</v>
      </c>
      <c r="D1520" s="68" t="s">
        <v>2094</v>
      </c>
      <c r="E1520" s="68" t="s">
        <v>3349</v>
      </c>
      <c r="F1520" s="68">
        <v>0.58799999999999997</v>
      </c>
      <c r="G1520" s="68" t="s">
        <v>3350</v>
      </c>
      <c r="H1520" s="68" t="s">
        <v>3351</v>
      </c>
      <c r="I1520" s="68" t="s">
        <v>3352</v>
      </c>
      <c r="J1520" s="68" t="s">
        <v>3353</v>
      </c>
      <c r="K1520" s="68" t="s">
        <v>510</v>
      </c>
      <c r="W1520" s="213">
        <v>1520</v>
      </c>
      <c r="X1520" s="214">
        <v>10</v>
      </c>
    </row>
    <row r="1521" spans="1:24" x14ac:dyDescent="0.25">
      <c r="A1521" s="114" t="s">
        <v>2763</v>
      </c>
      <c r="B1521" s="113" t="s">
        <v>6819</v>
      </c>
      <c r="C1521" s="114">
        <v>0</v>
      </c>
      <c r="D1521" s="115" t="s">
        <v>2152</v>
      </c>
      <c r="E1521" s="115" t="s">
        <v>6820</v>
      </c>
      <c r="F1521" s="115">
        <v>0.48599999999999999</v>
      </c>
      <c r="G1521" s="115" t="s">
        <v>6821</v>
      </c>
      <c r="H1521" s="115" t="s">
        <v>6822</v>
      </c>
      <c r="I1521" s="115" t="s">
        <v>6823</v>
      </c>
      <c r="J1521" s="115" t="s">
        <v>6824</v>
      </c>
      <c r="K1521" s="115" t="s">
        <v>510</v>
      </c>
      <c r="W1521" s="213">
        <v>1521</v>
      </c>
      <c r="X1521" s="214">
        <v>15</v>
      </c>
    </row>
    <row r="1522" spans="1:24" x14ac:dyDescent="0.25">
      <c r="A1522" s="117" t="s">
        <v>2763</v>
      </c>
      <c r="B1522" s="116" t="s">
        <v>6258</v>
      </c>
      <c r="C1522" s="117">
        <v>0</v>
      </c>
      <c r="D1522" s="118" t="s">
        <v>2094</v>
      </c>
      <c r="E1522" s="118" t="s">
        <v>6259</v>
      </c>
      <c r="F1522" s="118">
        <v>0.438</v>
      </c>
      <c r="G1522" s="118" t="s">
        <v>6260</v>
      </c>
      <c r="H1522" s="118" t="s">
        <v>6261</v>
      </c>
      <c r="I1522" s="118" t="s">
        <v>6262</v>
      </c>
      <c r="J1522" s="118" t="s">
        <v>4292</v>
      </c>
      <c r="K1522" s="118" t="s">
        <v>510</v>
      </c>
      <c r="W1522" s="213">
        <v>1522</v>
      </c>
      <c r="X1522" s="214">
        <v>15</v>
      </c>
    </row>
    <row r="1523" spans="1:24" ht="14.45" customHeight="1" x14ac:dyDescent="0.25">
      <c r="A1523" s="112" t="s">
        <v>2933</v>
      </c>
      <c r="B1523" s="107" t="s">
        <v>2934</v>
      </c>
      <c r="C1523" s="106">
        <v>1</v>
      </c>
      <c r="D1523" s="105" t="s">
        <v>2935</v>
      </c>
      <c r="E1523" s="105" t="s">
        <v>2936</v>
      </c>
      <c r="F1523" s="105">
        <v>0.436</v>
      </c>
      <c r="G1523" s="105" t="s">
        <v>2937</v>
      </c>
      <c r="H1523" s="105" t="s">
        <v>2938</v>
      </c>
      <c r="I1523" s="105" t="s">
        <v>2939</v>
      </c>
      <c r="J1523" s="105" t="s">
        <v>2940</v>
      </c>
      <c r="K1523" s="105" t="s">
        <v>9570</v>
      </c>
      <c r="W1523" s="213">
        <v>1523</v>
      </c>
      <c r="X1523" s="214">
        <v>13</v>
      </c>
    </row>
    <row r="1524" spans="1:24" ht="14.45" customHeight="1" x14ac:dyDescent="0.25">
      <c r="A1524" s="104" t="s">
        <v>0</v>
      </c>
      <c r="B1524" s="103" t="s">
        <v>32</v>
      </c>
      <c r="C1524" s="102" t="s">
        <v>2941</v>
      </c>
      <c r="D1524" s="104" t="s">
        <v>2942</v>
      </c>
      <c r="E1524" s="104" t="s">
        <v>2943</v>
      </c>
      <c r="F1524" s="104">
        <v>6.0000000000000001E-3</v>
      </c>
      <c r="G1524" s="104" t="s">
        <v>2944</v>
      </c>
      <c r="H1524" s="111"/>
      <c r="I1524" s="111"/>
      <c r="J1524" s="111"/>
      <c r="K1524" s="104" t="s">
        <v>9571</v>
      </c>
      <c r="W1524" s="213">
        <v>1524</v>
      </c>
      <c r="X1524" s="214">
        <v>13</v>
      </c>
    </row>
    <row r="1525" spans="1:24" x14ac:dyDescent="0.25">
      <c r="A1525" s="114" t="s">
        <v>2763</v>
      </c>
      <c r="B1525" s="113" t="s">
        <v>4724</v>
      </c>
      <c r="C1525" s="114">
        <v>0</v>
      </c>
      <c r="D1525" s="115" t="s">
        <v>4535</v>
      </c>
      <c r="E1525" s="115" t="s">
        <v>4725</v>
      </c>
      <c r="F1525" s="115">
        <v>0.5</v>
      </c>
      <c r="G1525" s="115" t="s">
        <v>4726</v>
      </c>
      <c r="H1525" s="115" t="s">
        <v>4727</v>
      </c>
      <c r="I1525" s="115" t="s">
        <v>4728</v>
      </c>
      <c r="J1525" s="115" t="s">
        <v>4729</v>
      </c>
      <c r="K1525" s="115" t="s">
        <v>510</v>
      </c>
      <c r="W1525" s="213">
        <v>1525</v>
      </c>
      <c r="X1525" s="214">
        <v>15</v>
      </c>
    </row>
    <row r="1526" spans="1:24" x14ac:dyDescent="0.25">
      <c r="A1526" s="117" t="s">
        <v>2763</v>
      </c>
      <c r="B1526" s="116" t="s">
        <v>5055</v>
      </c>
      <c r="C1526" s="117">
        <v>0</v>
      </c>
      <c r="D1526" s="118" t="s">
        <v>4711</v>
      </c>
      <c r="E1526" s="118" t="s">
        <v>5056</v>
      </c>
      <c r="F1526" s="118">
        <v>0.48</v>
      </c>
      <c r="G1526" s="118" t="s">
        <v>5057</v>
      </c>
      <c r="H1526" s="118" t="s">
        <v>5058</v>
      </c>
      <c r="I1526" s="118" t="s">
        <v>5059</v>
      </c>
      <c r="J1526" s="118" t="s">
        <v>5060</v>
      </c>
      <c r="K1526" s="118" t="s">
        <v>510</v>
      </c>
      <c r="W1526" s="213">
        <v>1526</v>
      </c>
      <c r="X1526" s="214">
        <v>15</v>
      </c>
    </row>
    <row r="1527" spans="1:24" x14ac:dyDescent="0.25">
      <c r="A1527" s="71" t="s">
        <v>1966</v>
      </c>
      <c r="B1527" s="73" t="s">
        <v>4114</v>
      </c>
      <c r="C1527" s="71">
        <v>0</v>
      </c>
      <c r="D1527" s="72" t="s">
        <v>129</v>
      </c>
      <c r="E1527" s="72" t="s">
        <v>4115</v>
      </c>
      <c r="F1527" s="72">
        <v>0.70199999999999996</v>
      </c>
      <c r="G1527" s="72" t="s">
        <v>4116</v>
      </c>
      <c r="H1527" s="72" t="s">
        <v>4117</v>
      </c>
      <c r="I1527" s="72" t="s">
        <v>4118</v>
      </c>
      <c r="J1527" s="72" t="s">
        <v>4119</v>
      </c>
      <c r="K1527" s="72" t="s">
        <v>510</v>
      </c>
      <c r="W1527" s="213">
        <v>1527</v>
      </c>
      <c r="X1527" s="214">
        <v>10</v>
      </c>
    </row>
    <row r="1528" spans="1:24" x14ac:dyDescent="0.25">
      <c r="A1528" s="117" t="s">
        <v>2763</v>
      </c>
      <c r="B1528" s="116" t="s">
        <v>4461</v>
      </c>
      <c r="C1528" s="117">
        <v>0</v>
      </c>
      <c r="D1528" s="118" t="s">
        <v>4462</v>
      </c>
      <c r="E1528" s="118" t="s">
        <v>4463</v>
      </c>
      <c r="F1528" s="118">
        <v>0.45400000000000001</v>
      </c>
      <c r="G1528" s="118" t="s">
        <v>4464</v>
      </c>
      <c r="H1528" s="118" t="s">
        <v>4465</v>
      </c>
      <c r="I1528" s="118" t="s">
        <v>4466</v>
      </c>
      <c r="J1528" s="118" t="s">
        <v>4467</v>
      </c>
      <c r="K1528" s="118" t="s">
        <v>510</v>
      </c>
      <c r="W1528" s="213">
        <v>1528</v>
      </c>
      <c r="X1528" s="214">
        <v>15</v>
      </c>
    </row>
    <row r="1529" spans="1:24" x14ac:dyDescent="0.25">
      <c r="A1529" s="114" t="s">
        <v>2763</v>
      </c>
      <c r="B1529" s="113" t="s">
        <v>6021</v>
      </c>
      <c r="C1529" s="114">
        <v>0</v>
      </c>
      <c r="D1529" s="115" t="s">
        <v>5924</v>
      </c>
      <c r="E1529" s="115" t="s">
        <v>6022</v>
      </c>
      <c r="F1529" s="115">
        <v>0.50600000000000001</v>
      </c>
      <c r="G1529" s="115" t="s">
        <v>6023</v>
      </c>
      <c r="H1529" s="115" t="s">
        <v>6024</v>
      </c>
      <c r="I1529" s="115" t="s">
        <v>6025</v>
      </c>
      <c r="J1529" s="115" t="s">
        <v>6026</v>
      </c>
      <c r="K1529" s="115" t="s">
        <v>510</v>
      </c>
      <c r="W1529" s="213">
        <v>1529</v>
      </c>
      <c r="X1529" s="214">
        <v>15</v>
      </c>
    </row>
    <row r="1530" spans="1:24" ht="14.45" customHeight="1" x14ac:dyDescent="0.25">
      <c r="A1530" s="117" t="s">
        <v>2763</v>
      </c>
      <c r="B1530" s="148" t="s">
        <v>2945</v>
      </c>
      <c r="C1530" s="117">
        <v>0</v>
      </c>
      <c r="D1530" s="118" t="s">
        <v>2946</v>
      </c>
      <c r="E1530" s="118" t="s">
        <v>2947</v>
      </c>
      <c r="F1530" s="118">
        <v>0.53900000000000003</v>
      </c>
      <c r="G1530" s="118" t="s">
        <v>2948</v>
      </c>
      <c r="H1530" s="118" t="s">
        <v>2949</v>
      </c>
      <c r="I1530" s="118" t="s">
        <v>2950</v>
      </c>
      <c r="J1530" s="118" t="s">
        <v>2951</v>
      </c>
      <c r="K1530" s="118" t="s">
        <v>510</v>
      </c>
      <c r="W1530" s="213">
        <v>1530</v>
      </c>
      <c r="X1530" s="214">
        <v>15</v>
      </c>
    </row>
    <row r="1531" spans="1:24" x14ac:dyDescent="0.25">
      <c r="A1531" s="71" t="s">
        <v>1966</v>
      </c>
      <c r="B1531" s="73" t="s">
        <v>4120</v>
      </c>
      <c r="C1531" s="71">
        <v>0</v>
      </c>
      <c r="D1531" s="72" t="s">
        <v>345</v>
      </c>
      <c r="E1531" s="72" t="s">
        <v>4121</v>
      </c>
      <c r="F1531" s="72">
        <v>0.61099999999999999</v>
      </c>
      <c r="G1531" s="72" t="s">
        <v>4122</v>
      </c>
      <c r="H1531" s="72" t="s">
        <v>4123</v>
      </c>
      <c r="I1531" s="72" t="s">
        <v>4124</v>
      </c>
      <c r="J1531" s="72" t="s">
        <v>4125</v>
      </c>
      <c r="K1531" s="72" t="s">
        <v>510</v>
      </c>
      <c r="W1531" s="213">
        <v>1531</v>
      </c>
      <c r="X1531" s="214">
        <v>10</v>
      </c>
    </row>
    <row r="1532" spans="1:24" ht="15" customHeight="1" x14ac:dyDescent="0.25">
      <c r="A1532" s="117" t="s">
        <v>2763</v>
      </c>
      <c r="B1532" s="116" t="s">
        <v>6241</v>
      </c>
      <c r="C1532" s="117">
        <v>0</v>
      </c>
      <c r="D1532" s="118" t="s">
        <v>1848</v>
      </c>
      <c r="E1532" s="118" t="s">
        <v>6242</v>
      </c>
      <c r="F1532" s="118">
        <v>0.49</v>
      </c>
      <c r="G1532" s="118" t="s">
        <v>6243</v>
      </c>
      <c r="H1532" s="118" t="s">
        <v>6244</v>
      </c>
      <c r="I1532" s="118" t="s">
        <v>6245</v>
      </c>
      <c r="J1532" s="118" t="s">
        <v>6246</v>
      </c>
      <c r="K1532" s="118" t="s">
        <v>510</v>
      </c>
      <c r="W1532" s="213">
        <v>1532</v>
      </c>
      <c r="X1532" s="214">
        <v>15</v>
      </c>
    </row>
    <row r="1533" spans="1:24" x14ac:dyDescent="0.25">
      <c r="A1533" s="114" t="s">
        <v>2763</v>
      </c>
      <c r="B1533" s="113" t="s">
        <v>5547</v>
      </c>
      <c r="C1533" s="114">
        <v>0</v>
      </c>
      <c r="D1533" s="115" t="s">
        <v>3403</v>
      </c>
      <c r="E1533" s="115" t="s">
        <v>5548</v>
      </c>
      <c r="F1533" s="115">
        <v>0.52200000000000002</v>
      </c>
      <c r="G1533" s="115" t="s">
        <v>5549</v>
      </c>
      <c r="H1533" s="115" t="s">
        <v>5550</v>
      </c>
      <c r="I1533" s="115" t="s">
        <v>5550</v>
      </c>
      <c r="J1533" s="115" t="s">
        <v>5551</v>
      </c>
      <c r="K1533" s="115" t="s">
        <v>510</v>
      </c>
      <c r="W1533" s="213">
        <v>1533</v>
      </c>
      <c r="X1533" s="214">
        <v>15</v>
      </c>
    </row>
    <row r="1534" spans="1:24" x14ac:dyDescent="0.25">
      <c r="A1534" s="117" t="s">
        <v>2763</v>
      </c>
      <c r="B1534" s="133" t="s">
        <v>8004</v>
      </c>
      <c r="C1534" s="117">
        <v>0</v>
      </c>
      <c r="D1534" s="118" t="s">
        <v>2668</v>
      </c>
      <c r="E1534" s="118" t="s">
        <v>2952</v>
      </c>
      <c r="F1534" s="118">
        <v>0.503</v>
      </c>
      <c r="G1534" s="118" t="s">
        <v>2953</v>
      </c>
      <c r="H1534" s="118" t="s">
        <v>2954</v>
      </c>
      <c r="I1534" s="118" t="s">
        <v>2955</v>
      </c>
      <c r="J1534" s="118" t="s">
        <v>2956</v>
      </c>
      <c r="K1534" s="118" t="s">
        <v>510</v>
      </c>
      <c r="W1534" s="213">
        <v>1534</v>
      </c>
      <c r="X1534" s="214">
        <v>15</v>
      </c>
    </row>
    <row r="1535" spans="1:24" x14ac:dyDescent="0.25">
      <c r="A1535" s="114" t="s">
        <v>2763</v>
      </c>
      <c r="B1535" s="113" t="s">
        <v>4896</v>
      </c>
      <c r="C1535" s="114">
        <v>0</v>
      </c>
      <c r="D1535" s="115" t="s">
        <v>4609</v>
      </c>
      <c r="E1535" s="115" t="s">
        <v>4897</v>
      </c>
      <c r="F1535" s="115">
        <v>0.505</v>
      </c>
      <c r="G1535" s="115" t="s">
        <v>4898</v>
      </c>
      <c r="H1535" s="115" t="s">
        <v>4899</v>
      </c>
      <c r="I1535" s="115" t="s">
        <v>4900</v>
      </c>
      <c r="J1535" s="115" t="s">
        <v>4901</v>
      </c>
      <c r="K1535" s="115" t="s">
        <v>510</v>
      </c>
      <c r="W1535" s="213">
        <v>1535</v>
      </c>
      <c r="X1535" s="214">
        <v>15</v>
      </c>
    </row>
    <row r="1536" spans="1:24" x14ac:dyDescent="0.25">
      <c r="A1536" s="117" t="s">
        <v>2763</v>
      </c>
      <c r="B1536" s="133" t="s">
        <v>7937</v>
      </c>
      <c r="C1536" s="117">
        <v>0</v>
      </c>
      <c r="D1536" s="118" t="s">
        <v>137</v>
      </c>
      <c r="E1536" s="118" t="s">
        <v>2957</v>
      </c>
      <c r="F1536" s="118">
        <v>0.44400000000000001</v>
      </c>
      <c r="G1536" s="118" t="s">
        <v>2958</v>
      </c>
      <c r="H1536" s="118" t="s">
        <v>2959</v>
      </c>
      <c r="I1536" s="118" t="s">
        <v>2960</v>
      </c>
      <c r="J1536" s="118" t="s">
        <v>2961</v>
      </c>
      <c r="K1536" s="118" t="s">
        <v>510</v>
      </c>
      <c r="W1536" s="213">
        <v>1536</v>
      </c>
      <c r="X1536" s="214">
        <v>15</v>
      </c>
    </row>
    <row r="1537" spans="1:24" x14ac:dyDescent="0.25">
      <c r="A1537" s="114" t="s">
        <v>2763</v>
      </c>
      <c r="B1537" s="113" t="s">
        <v>7170</v>
      </c>
      <c r="C1537" s="114">
        <v>0</v>
      </c>
      <c r="D1537" s="115" t="s">
        <v>502</v>
      </c>
      <c r="E1537" s="115" t="s">
        <v>7171</v>
      </c>
      <c r="F1537" s="115">
        <v>0.439</v>
      </c>
      <c r="G1537" s="115" t="s">
        <v>7172</v>
      </c>
      <c r="H1537" s="115" t="s">
        <v>7173</v>
      </c>
      <c r="I1537" s="115" t="s">
        <v>7174</v>
      </c>
      <c r="J1537" s="115" t="s">
        <v>7175</v>
      </c>
      <c r="K1537" s="115" t="s">
        <v>510</v>
      </c>
      <c r="W1537" s="213">
        <v>1537</v>
      </c>
      <c r="X1537" s="214">
        <v>15</v>
      </c>
    </row>
    <row r="1538" spans="1:24" ht="14.45" customHeight="1" x14ac:dyDescent="0.25">
      <c r="A1538" s="117" t="s">
        <v>2763</v>
      </c>
      <c r="B1538" s="133" t="s">
        <v>2962</v>
      </c>
      <c r="C1538" s="117">
        <v>1</v>
      </c>
      <c r="D1538" s="118" t="s">
        <v>2963</v>
      </c>
      <c r="E1538" s="118" t="s">
        <v>2964</v>
      </c>
      <c r="F1538" s="118">
        <v>0.48399999999999999</v>
      </c>
      <c r="G1538" s="118" t="s">
        <v>2965</v>
      </c>
      <c r="H1538" s="118" t="s">
        <v>2966</v>
      </c>
      <c r="I1538" s="118" t="s">
        <v>2967</v>
      </c>
      <c r="J1538" s="118" t="s">
        <v>2968</v>
      </c>
      <c r="K1538" s="118" t="s">
        <v>9572</v>
      </c>
      <c r="W1538" s="213">
        <v>1538</v>
      </c>
      <c r="X1538" s="214">
        <v>15</v>
      </c>
    </row>
    <row r="1539" spans="1:24" x14ac:dyDescent="0.25">
      <c r="A1539" s="115" t="s">
        <v>0</v>
      </c>
      <c r="B1539" s="114" t="s">
        <v>32</v>
      </c>
      <c r="C1539" s="132" t="s">
        <v>2969</v>
      </c>
      <c r="D1539" s="115" t="s">
        <v>115</v>
      </c>
      <c r="E1539" s="115" t="s">
        <v>2970</v>
      </c>
      <c r="F1539" s="115">
        <v>2.4E-2</v>
      </c>
      <c r="G1539" s="115" t="s">
        <v>510</v>
      </c>
      <c r="H1539" s="120"/>
      <c r="I1539" s="120"/>
      <c r="J1539" s="120"/>
      <c r="K1539" s="115" t="s">
        <v>510</v>
      </c>
      <c r="W1539" s="213">
        <v>1539</v>
      </c>
      <c r="X1539" s="214">
        <v>15</v>
      </c>
    </row>
    <row r="1540" spans="1:24" x14ac:dyDescent="0.25">
      <c r="A1540" s="117" t="s">
        <v>2763</v>
      </c>
      <c r="B1540" s="116" t="s">
        <v>6252</v>
      </c>
      <c r="C1540" s="117">
        <v>0</v>
      </c>
      <c r="D1540" s="118" t="s">
        <v>2094</v>
      </c>
      <c r="E1540" s="118" t="s">
        <v>6253</v>
      </c>
      <c r="F1540" s="118">
        <v>0.48899999999999999</v>
      </c>
      <c r="G1540" s="118" t="s">
        <v>6254</v>
      </c>
      <c r="H1540" s="118" t="s">
        <v>6255</v>
      </c>
      <c r="I1540" s="118" t="s">
        <v>6256</v>
      </c>
      <c r="J1540" s="118" t="s">
        <v>6257</v>
      </c>
      <c r="K1540" s="118" t="s">
        <v>510</v>
      </c>
      <c r="W1540" s="213">
        <v>1540</v>
      </c>
      <c r="X1540" s="214">
        <v>15</v>
      </c>
    </row>
    <row r="1541" spans="1:24" x14ac:dyDescent="0.25">
      <c r="A1541" s="114" t="s">
        <v>2763</v>
      </c>
      <c r="B1541" s="113" t="s">
        <v>4590</v>
      </c>
      <c r="C1541" s="114">
        <v>0</v>
      </c>
      <c r="D1541" s="115" t="s">
        <v>4462</v>
      </c>
      <c r="E1541" s="115" t="s">
        <v>4591</v>
      </c>
      <c r="F1541" s="115">
        <v>0.439</v>
      </c>
      <c r="G1541" s="115" t="s">
        <v>4592</v>
      </c>
      <c r="H1541" s="115" t="s">
        <v>4593</v>
      </c>
      <c r="I1541" s="115" t="s">
        <v>4594</v>
      </c>
      <c r="J1541" s="115" t="s">
        <v>4595</v>
      </c>
      <c r="K1541" s="115" t="s">
        <v>510</v>
      </c>
      <c r="W1541" s="213">
        <v>1541</v>
      </c>
      <c r="X1541" s="214">
        <v>15</v>
      </c>
    </row>
    <row r="1542" spans="1:24" x14ac:dyDescent="0.25">
      <c r="A1542" s="117" t="s">
        <v>2763</v>
      </c>
      <c r="B1542" s="116" t="s">
        <v>5803</v>
      </c>
      <c r="C1542" s="117">
        <v>0</v>
      </c>
      <c r="D1542" s="118" t="s">
        <v>431</v>
      </c>
      <c r="E1542" s="118" t="s">
        <v>5804</v>
      </c>
      <c r="F1542" s="118">
        <v>0.46200000000000002</v>
      </c>
      <c r="G1542" s="118" t="s">
        <v>5805</v>
      </c>
      <c r="H1542" s="118" t="s">
        <v>5806</v>
      </c>
      <c r="I1542" s="118" t="s">
        <v>5807</v>
      </c>
      <c r="J1542" s="118" t="s">
        <v>3812</v>
      </c>
      <c r="K1542" s="118" t="s">
        <v>510</v>
      </c>
      <c r="W1542" s="213">
        <v>1542</v>
      </c>
      <c r="X1542" s="214">
        <v>15</v>
      </c>
    </row>
    <row r="1543" spans="1:24" x14ac:dyDescent="0.25">
      <c r="A1543" s="114" t="s">
        <v>2763</v>
      </c>
      <c r="B1543" s="113" t="s">
        <v>6829</v>
      </c>
      <c r="C1543" s="114">
        <v>0</v>
      </c>
      <c r="D1543" s="115" t="s">
        <v>3294</v>
      </c>
      <c r="E1543" s="115" t="s">
        <v>6830</v>
      </c>
      <c r="F1543" s="115">
        <v>0.48199999999999998</v>
      </c>
      <c r="G1543" s="115" t="s">
        <v>6831</v>
      </c>
      <c r="H1543" s="115" t="s">
        <v>6832</v>
      </c>
      <c r="I1543" s="115" t="s">
        <v>6833</v>
      </c>
      <c r="J1543" s="115" t="s">
        <v>6834</v>
      </c>
      <c r="K1543" s="115" t="s">
        <v>510</v>
      </c>
      <c r="W1543" s="213">
        <v>1543</v>
      </c>
      <c r="X1543" s="214">
        <v>15</v>
      </c>
    </row>
    <row r="1544" spans="1:24" x14ac:dyDescent="0.25">
      <c r="A1544" s="117" t="s">
        <v>2763</v>
      </c>
      <c r="B1544" s="133" t="s">
        <v>8005</v>
      </c>
      <c r="C1544" s="117">
        <v>0</v>
      </c>
      <c r="D1544" s="118" t="s">
        <v>7944</v>
      </c>
      <c r="E1544" s="118" t="s">
        <v>2972</v>
      </c>
      <c r="F1544" s="118">
        <v>0.38500000000000001</v>
      </c>
      <c r="G1544" s="118" t="s">
        <v>2973</v>
      </c>
      <c r="H1544" s="118" t="s">
        <v>2974</v>
      </c>
      <c r="I1544" s="118" t="s">
        <v>2975</v>
      </c>
      <c r="J1544" s="118" t="s">
        <v>2976</v>
      </c>
      <c r="K1544" s="118" t="s">
        <v>510</v>
      </c>
      <c r="W1544" s="213">
        <v>1544</v>
      </c>
      <c r="X1544" s="214">
        <v>15</v>
      </c>
    </row>
    <row r="1545" spans="1:24" x14ac:dyDescent="0.25">
      <c r="A1545" s="114" t="s">
        <v>2763</v>
      </c>
      <c r="B1545" s="113" t="s">
        <v>5073</v>
      </c>
      <c r="C1545" s="114">
        <v>0</v>
      </c>
      <c r="D1545" s="115" t="s">
        <v>1388</v>
      </c>
      <c r="E1545" s="115" t="s">
        <v>5074</v>
      </c>
      <c r="F1545" s="115">
        <v>0.49399999999999999</v>
      </c>
      <c r="G1545" s="115" t="s">
        <v>5075</v>
      </c>
      <c r="H1545" s="115" t="s">
        <v>4757</v>
      </c>
      <c r="I1545" s="115" t="s">
        <v>5076</v>
      </c>
      <c r="J1545" s="115" t="s">
        <v>5077</v>
      </c>
      <c r="K1545" s="115" t="s">
        <v>510</v>
      </c>
      <c r="W1545" s="213">
        <v>1545</v>
      </c>
      <c r="X1545" s="214">
        <v>15</v>
      </c>
    </row>
    <row r="1546" spans="1:24" x14ac:dyDescent="0.25">
      <c r="A1546" s="117" t="s">
        <v>2763</v>
      </c>
      <c r="B1546" s="116" t="s">
        <v>6027</v>
      </c>
      <c r="C1546" s="117">
        <v>0</v>
      </c>
      <c r="D1546" s="118" t="s">
        <v>4252</v>
      </c>
      <c r="E1546" s="118" t="s">
        <v>6028</v>
      </c>
      <c r="F1546" s="118">
        <v>0.51600000000000001</v>
      </c>
      <c r="G1546" s="118" t="s">
        <v>6029</v>
      </c>
      <c r="H1546" s="118" t="s">
        <v>5187</v>
      </c>
      <c r="I1546" s="118" t="s">
        <v>4972</v>
      </c>
      <c r="J1546" s="118" t="s">
        <v>6030</v>
      </c>
      <c r="K1546" s="118" t="s">
        <v>510</v>
      </c>
      <c r="W1546" s="213">
        <v>1546</v>
      </c>
      <c r="X1546" s="214">
        <v>15</v>
      </c>
    </row>
    <row r="1547" spans="1:24" x14ac:dyDescent="0.25">
      <c r="A1547" s="114" t="s">
        <v>2763</v>
      </c>
      <c r="B1547" s="132" t="s">
        <v>7938</v>
      </c>
      <c r="C1547" s="114">
        <v>0</v>
      </c>
      <c r="D1547" s="115" t="s">
        <v>7917</v>
      </c>
      <c r="E1547" s="115" t="s">
        <v>2977</v>
      </c>
      <c r="F1547" s="115">
        <v>0.32100000000000001</v>
      </c>
      <c r="G1547" s="115" t="s">
        <v>2978</v>
      </c>
      <c r="H1547" s="115" t="s">
        <v>2979</v>
      </c>
      <c r="I1547" s="115" t="s">
        <v>2980</v>
      </c>
      <c r="J1547" s="115" t="s">
        <v>2981</v>
      </c>
      <c r="K1547" s="115" t="s">
        <v>510</v>
      </c>
      <c r="W1547" s="213">
        <v>1547</v>
      </c>
      <c r="X1547" s="214">
        <v>15</v>
      </c>
    </row>
    <row r="1548" spans="1:24" x14ac:dyDescent="0.25">
      <c r="A1548" s="117" t="s">
        <v>2763</v>
      </c>
      <c r="B1548" s="116" t="s">
        <v>6479</v>
      </c>
      <c r="C1548" s="117">
        <v>0</v>
      </c>
      <c r="D1548" s="118" t="s">
        <v>5924</v>
      </c>
      <c r="E1548" s="118" t="s">
        <v>6480</v>
      </c>
      <c r="F1548" s="118">
        <v>0.52800000000000002</v>
      </c>
      <c r="G1548" s="118" t="s">
        <v>6481</v>
      </c>
      <c r="H1548" s="118" t="s">
        <v>1476</v>
      </c>
      <c r="I1548" s="118" t="s">
        <v>6482</v>
      </c>
      <c r="J1548" s="118" t="s">
        <v>6483</v>
      </c>
      <c r="K1548" s="118" t="s">
        <v>510</v>
      </c>
      <c r="W1548" s="213">
        <v>1548</v>
      </c>
      <c r="X1548" s="214">
        <v>15</v>
      </c>
    </row>
    <row r="1549" spans="1:24" x14ac:dyDescent="0.25">
      <c r="A1549" s="114" t="s">
        <v>2763</v>
      </c>
      <c r="B1549" s="113" t="s">
        <v>4890</v>
      </c>
      <c r="C1549" s="114">
        <v>0</v>
      </c>
      <c r="D1549" s="115" t="s">
        <v>4694</v>
      </c>
      <c r="E1549" s="115" t="s">
        <v>4891</v>
      </c>
      <c r="F1549" s="115">
        <v>0.51800000000000002</v>
      </c>
      <c r="G1549" s="115" t="s">
        <v>4892</v>
      </c>
      <c r="H1549" s="115" t="s">
        <v>4893</v>
      </c>
      <c r="I1549" s="115" t="s">
        <v>4894</v>
      </c>
      <c r="J1549" s="115" t="s">
        <v>4895</v>
      </c>
      <c r="K1549" s="115" t="s">
        <v>510</v>
      </c>
      <c r="W1549" s="213">
        <v>1549</v>
      </c>
      <c r="X1549" s="214">
        <v>15</v>
      </c>
    </row>
    <row r="1550" spans="1:24" x14ac:dyDescent="0.25">
      <c r="A1550" s="117" t="s">
        <v>2763</v>
      </c>
      <c r="B1550" s="116" t="s">
        <v>3583</v>
      </c>
      <c r="C1550" s="117">
        <v>0</v>
      </c>
      <c r="D1550" s="118" t="s">
        <v>2692</v>
      </c>
      <c r="E1550" s="118" t="s">
        <v>3584</v>
      </c>
      <c r="F1550" s="118">
        <v>0.434</v>
      </c>
      <c r="G1550" s="118" t="s">
        <v>3585</v>
      </c>
      <c r="H1550" s="118" t="s">
        <v>3586</v>
      </c>
      <c r="I1550" s="118" t="s">
        <v>2877</v>
      </c>
      <c r="J1550" s="118" t="s">
        <v>763</v>
      </c>
      <c r="K1550" s="118" t="s">
        <v>510</v>
      </c>
      <c r="W1550" s="213">
        <v>1550</v>
      </c>
      <c r="X1550" s="214">
        <v>15</v>
      </c>
    </row>
    <row r="1551" spans="1:24" x14ac:dyDescent="0.25">
      <c r="A1551" s="114" t="s">
        <v>2763</v>
      </c>
      <c r="B1551" s="113" t="s">
        <v>6790</v>
      </c>
      <c r="C1551" s="114">
        <v>0</v>
      </c>
      <c r="D1551" s="115" t="s">
        <v>1848</v>
      </c>
      <c r="E1551" s="115" t="s">
        <v>6791</v>
      </c>
      <c r="F1551" s="115">
        <v>0.57699999999999996</v>
      </c>
      <c r="G1551" s="115" t="s">
        <v>6792</v>
      </c>
      <c r="H1551" s="115" t="s">
        <v>6793</v>
      </c>
      <c r="I1551" s="115" t="s">
        <v>6794</v>
      </c>
      <c r="J1551" s="115" t="s">
        <v>6795</v>
      </c>
      <c r="K1551" s="115" t="s">
        <v>510</v>
      </c>
      <c r="W1551" s="213">
        <v>1551</v>
      </c>
      <c r="X1551" s="214">
        <v>15</v>
      </c>
    </row>
    <row r="1552" spans="1:24" x14ac:dyDescent="0.25">
      <c r="A1552" s="67" t="s">
        <v>1966</v>
      </c>
      <c r="B1552" s="69" t="s">
        <v>4132</v>
      </c>
      <c r="C1552" s="67">
        <v>0</v>
      </c>
      <c r="D1552" s="68" t="s">
        <v>99</v>
      </c>
      <c r="E1552" s="68" t="s">
        <v>4133</v>
      </c>
      <c r="F1552" s="68">
        <v>0.69799999999999995</v>
      </c>
      <c r="G1552" s="68" t="s">
        <v>4134</v>
      </c>
      <c r="H1552" s="68" t="s">
        <v>4135</v>
      </c>
      <c r="I1552" s="68" t="s">
        <v>4136</v>
      </c>
      <c r="J1552" s="68" t="s">
        <v>4137</v>
      </c>
      <c r="K1552" s="68" t="s">
        <v>510</v>
      </c>
      <c r="W1552" s="213">
        <v>1552</v>
      </c>
      <c r="X1552" s="214">
        <v>10</v>
      </c>
    </row>
    <row r="1553" spans="1:24" x14ac:dyDescent="0.25">
      <c r="A1553" s="71" t="s">
        <v>1966</v>
      </c>
      <c r="B1553" s="73" t="s">
        <v>3366</v>
      </c>
      <c r="C1553" s="71">
        <v>0</v>
      </c>
      <c r="D1553" s="72" t="s">
        <v>1016</v>
      </c>
      <c r="E1553" s="72" t="s">
        <v>3367</v>
      </c>
      <c r="F1553" s="72">
        <v>0.63</v>
      </c>
      <c r="G1553" s="72" t="s">
        <v>3368</v>
      </c>
      <c r="H1553" s="72" t="s">
        <v>3369</v>
      </c>
      <c r="I1553" s="72" t="s">
        <v>3370</v>
      </c>
      <c r="J1553" s="72" t="s">
        <v>3371</v>
      </c>
      <c r="K1553" s="72" t="s">
        <v>510</v>
      </c>
      <c r="W1553" s="213">
        <v>1553</v>
      </c>
      <c r="X1553" s="214">
        <v>10</v>
      </c>
    </row>
    <row r="1554" spans="1:24" x14ac:dyDescent="0.25">
      <c r="A1554" s="67" t="s">
        <v>1966</v>
      </c>
      <c r="B1554" s="69" t="s">
        <v>4138</v>
      </c>
      <c r="C1554" s="67">
        <v>0</v>
      </c>
      <c r="D1554" s="68" t="s">
        <v>561</v>
      </c>
      <c r="E1554" s="68" t="s">
        <v>4139</v>
      </c>
      <c r="F1554" s="68">
        <v>0.79100000000000004</v>
      </c>
      <c r="G1554" s="68" t="s">
        <v>4140</v>
      </c>
      <c r="H1554" s="68" t="s">
        <v>4141</v>
      </c>
      <c r="I1554" s="68" t="s">
        <v>4142</v>
      </c>
      <c r="J1554" s="68" t="s">
        <v>4143</v>
      </c>
      <c r="K1554" s="68" t="s">
        <v>510</v>
      </c>
      <c r="W1554" s="213">
        <v>1554</v>
      </c>
      <c r="X1554" s="214">
        <v>10</v>
      </c>
    </row>
    <row r="1555" spans="1:24" x14ac:dyDescent="0.25">
      <c r="A1555" s="114" t="s">
        <v>2763</v>
      </c>
      <c r="B1555" s="132" t="s">
        <v>7907</v>
      </c>
      <c r="C1555" s="114">
        <v>0</v>
      </c>
      <c r="D1555" s="115" t="s">
        <v>2607</v>
      </c>
      <c r="E1555" s="115" t="s">
        <v>2982</v>
      </c>
      <c r="F1555" s="115">
        <v>0.498</v>
      </c>
      <c r="G1555" s="115" t="s">
        <v>2983</v>
      </c>
      <c r="H1555" s="115" t="s">
        <v>2984</v>
      </c>
      <c r="I1555" s="115" t="s">
        <v>2985</v>
      </c>
      <c r="J1555" s="115" t="s">
        <v>2986</v>
      </c>
      <c r="K1555" s="115" t="s">
        <v>510</v>
      </c>
      <c r="W1555" s="213">
        <v>1555</v>
      </c>
      <c r="X1555" s="214">
        <v>15</v>
      </c>
    </row>
    <row r="1556" spans="1:24" x14ac:dyDescent="0.25">
      <c r="A1556" s="117" t="s">
        <v>2763</v>
      </c>
      <c r="B1556" s="116" t="s">
        <v>5977</v>
      </c>
      <c r="C1556" s="117">
        <v>0</v>
      </c>
      <c r="D1556" s="118" t="s">
        <v>450</v>
      </c>
      <c r="E1556" s="118" t="s">
        <v>5978</v>
      </c>
      <c r="F1556" s="118">
        <v>0.55400000000000005</v>
      </c>
      <c r="G1556" s="118" t="s">
        <v>5979</v>
      </c>
      <c r="H1556" s="118" t="s">
        <v>5980</v>
      </c>
      <c r="I1556" s="118" t="s">
        <v>5981</v>
      </c>
      <c r="J1556" s="118" t="s">
        <v>4350</v>
      </c>
      <c r="K1556" s="118" t="s">
        <v>510</v>
      </c>
      <c r="W1556" s="213">
        <v>1556</v>
      </c>
      <c r="X1556" s="214">
        <v>15</v>
      </c>
    </row>
    <row r="1557" spans="1:24" x14ac:dyDescent="0.25">
      <c r="A1557" s="114" t="s">
        <v>2763</v>
      </c>
      <c r="B1557" s="113" t="s">
        <v>6087</v>
      </c>
      <c r="C1557" s="114">
        <v>0</v>
      </c>
      <c r="D1557" s="115" t="s">
        <v>991</v>
      </c>
      <c r="E1557" s="115" t="s">
        <v>6088</v>
      </c>
      <c r="F1557" s="115">
        <v>0.64400000000000002</v>
      </c>
      <c r="G1557" s="115" t="s">
        <v>6089</v>
      </c>
      <c r="H1557" s="115" t="s">
        <v>6090</v>
      </c>
      <c r="I1557" s="115" t="s">
        <v>6091</v>
      </c>
      <c r="J1557" s="115" t="s">
        <v>6092</v>
      </c>
      <c r="K1557" s="115" t="s">
        <v>510</v>
      </c>
      <c r="W1557" s="213">
        <v>1557</v>
      </c>
      <c r="X1557" s="214">
        <v>15</v>
      </c>
    </row>
    <row r="1558" spans="1:24" x14ac:dyDescent="0.25">
      <c r="A1558" s="117" t="s">
        <v>2763</v>
      </c>
      <c r="B1558" s="116" t="s">
        <v>5627</v>
      </c>
      <c r="C1558" s="117">
        <v>0</v>
      </c>
      <c r="D1558" s="118" t="s">
        <v>4252</v>
      </c>
      <c r="E1558" s="118" t="s">
        <v>5628</v>
      </c>
      <c r="F1558" s="118">
        <v>0.57699999999999996</v>
      </c>
      <c r="G1558" s="118" t="s">
        <v>5629</v>
      </c>
      <c r="H1558" s="118" t="s">
        <v>5630</v>
      </c>
      <c r="I1558" s="118" t="s">
        <v>5631</v>
      </c>
      <c r="J1558" s="118" t="s">
        <v>4418</v>
      </c>
      <c r="K1558" s="118" t="s">
        <v>510</v>
      </c>
      <c r="W1558" s="213">
        <v>1558</v>
      </c>
      <c r="X1558" s="214">
        <v>15</v>
      </c>
    </row>
    <row r="1559" spans="1:24" x14ac:dyDescent="0.25">
      <c r="A1559" s="71" t="s">
        <v>1966</v>
      </c>
      <c r="B1559" s="145" t="s">
        <v>7941</v>
      </c>
      <c r="C1559" s="71">
        <v>0</v>
      </c>
      <c r="D1559" s="72" t="s">
        <v>2820</v>
      </c>
      <c r="E1559" s="72" t="s">
        <v>2987</v>
      </c>
      <c r="F1559" s="72">
        <v>0.65500000000000003</v>
      </c>
      <c r="G1559" s="72" t="s">
        <v>2988</v>
      </c>
      <c r="H1559" s="72" t="s">
        <v>2989</v>
      </c>
      <c r="I1559" s="72" t="s">
        <v>2990</v>
      </c>
      <c r="J1559" s="72" t="s">
        <v>2991</v>
      </c>
      <c r="K1559" s="72" t="s">
        <v>510</v>
      </c>
      <c r="W1559" s="213">
        <v>1559</v>
      </c>
      <c r="X1559" s="214">
        <v>10</v>
      </c>
    </row>
    <row r="1560" spans="1:24" x14ac:dyDescent="0.25">
      <c r="A1560" s="117" t="s">
        <v>2763</v>
      </c>
      <c r="B1560" s="116" t="s">
        <v>7209</v>
      </c>
      <c r="C1560" s="117">
        <v>0</v>
      </c>
      <c r="D1560" s="118" t="s">
        <v>502</v>
      </c>
      <c r="E1560" s="118" t="s">
        <v>7210</v>
      </c>
      <c r="F1560" s="118">
        <v>0.58499999999999996</v>
      </c>
      <c r="G1560" s="118" t="s">
        <v>7211</v>
      </c>
      <c r="H1560" s="118" t="s">
        <v>7212</v>
      </c>
      <c r="I1560" s="118" t="s">
        <v>7213</v>
      </c>
      <c r="J1560" s="118" t="s">
        <v>7214</v>
      </c>
      <c r="K1560" s="118" t="s">
        <v>510</v>
      </c>
      <c r="W1560" s="213">
        <v>1560</v>
      </c>
      <c r="X1560" s="214">
        <v>15</v>
      </c>
    </row>
    <row r="1561" spans="1:24" x14ac:dyDescent="0.25">
      <c r="A1561" s="114" t="s">
        <v>2763</v>
      </c>
      <c r="B1561" s="113" t="s">
        <v>6484</v>
      </c>
      <c r="C1561" s="114">
        <v>0</v>
      </c>
      <c r="D1561" s="115" t="s">
        <v>3161</v>
      </c>
      <c r="E1561" s="115" t="s">
        <v>6485</v>
      </c>
      <c r="F1561" s="115">
        <v>0.51</v>
      </c>
      <c r="G1561" s="115" t="s">
        <v>6486</v>
      </c>
      <c r="H1561" s="115" t="s">
        <v>6487</v>
      </c>
      <c r="I1561" s="115" t="s">
        <v>6488</v>
      </c>
      <c r="J1561" s="115" t="s">
        <v>6489</v>
      </c>
      <c r="K1561" s="115" t="s">
        <v>510</v>
      </c>
      <c r="W1561" s="213">
        <v>1561</v>
      </c>
      <c r="X1561" s="214">
        <v>15</v>
      </c>
    </row>
    <row r="1562" spans="1:24" x14ac:dyDescent="0.25">
      <c r="A1562" s="117" t="s">
        <v>2763</v>
      </c>
      <c r="B1562" s="116" t="s">
        <v>4144</v>
      </c>
      <c r="C1562" s="117">
        <v>0</v>
      </c>
      <c r="D1562" s="118" t="s">
        <v>2152</v>
      </c>
      <c r="E1562" s="118" t="s">
        <v>4145</v>
      </c>
      <c r="F1562" s="118">
        <v>0.63100000000000001</v>
      </c>
      <c r="G1562" s="118" t="s">
        <v>4146</v>
      </c>
      <c r="H1562" s="118" t="s">
        <v>4147</v>
      </c>
      <c r="I1562" s="118" t="s">
        <v>4148</v>
      </c>
      <c r="J1562" s="118" t="s">
        <v>4149</v>
      </c>
      <c r="K1562" s="118" t="s">
        <v>510</v>
      </c>
      <c r="W1562" s="213">
        <v>1562</v>
      </c>
      <c r="X1562" s="214">
        <v>15</v>
      </c>
    </row>
    <row r="1563" spans="1:24" x14ac:dyDescent="0.25">
      <c r="A1563" s="114" t="s">
        <v>2763</v>
      </c>
      <c r="B1563" s="113" t="s">
        <v>5971</v>
      </c>
      <c r="C1563" s="114">
        <v>0</v>
      </c>
      <c r="D1563" s="115" t="s">
        <v>4566</v>
      </c>
      <c r="E1563" s="115" t="s">
        <v>5972</v>
      </c>
      <c r="F1563" s="115">
        <v>0.51300000000000001</v>
      </c>
      <c r="G1563" s="115" t="s">
        <v>5973</v>
      </c>
      <c r="H1563" s="115" t="s">
        <v>5974</v>
      </c>
      <c r="I1563" s="115" t="s">
        <v>5975</v>
      </c>
      <c r="J1563" s="115" t="s">
        <v>5976</v>
      </c>
      <c r="K1563" s="115" t="s">
        <v>510</v>
      </c>
      <c r="W1563" s="213">
        <v>1563</v>
      </c>
      <c r="X1563" s="214">
        <v>15</v>
      </c>
    </row>
    <row r="1564" spans="1:24" x14ac:dyDescent="0.25">
      <c r="A1564" s="117" t="s">
        <v>2763</v>
      </c>
      <c r="B1564" s="116" t="s">
        <v>4325</v>
      </c>
      <c r="C1564" s="117">
        <v>0</v>
      </c>
      <c r="D1564" s="118" t="s">
        <v>2744</v>
      </c>
      <c r="E1564" s="118" t="s">
        <v>4326</v>
      </c>
      <c r="F1564" s="118">
        <v>0.55900000000000005</v>
      </c>
      <c r="G1564" s="118" t="s">
        <v>4327</v>
      </c>
      <c r="H1564" s="118" t="s">
        <v>4328</v>
      </c>
      <c r="I1564" s="118" t="s">
        <v>4329</v>
      </c>
      <c r="J1564" s="118" t="s">
        <v>4330</v>
      </c>
      <c r="K1564" s="118" t="s">
        <v>510</v>
      </c>
      <c r="W1564" s="213">
        <v>1564</v>
      </c>
      <c r="X1564" s="214">
        <v>15</v>
      </c>
    </row>
    <row r="1565" spans="1:24" x14ac:dyDescent="0.25">
      <c r="A1565" s="114" t="s">
        <v>2763</v>
      </c>
      <c r="B1565" s="132" t="s">
        <v>7894</v>
      </c>
      <c r="C1565" s="114">
        <v>0</v>
      </c>
      <c r="D1565" s="115" t="s">
        <v>2992</v>
      </c>
      <c r="E1565" s="115" t="s">
        <v>2993</v>
      </c>
      <c r="F1565" s="115">
        <v>0.58299999999999996</v>
      </c>
      <c r="G1565" s="115" t="s">
        <v>2994</v>
      </c>
      <c r="H1565" s="115" t="s">
        <v>2995</v>
      </c>
      <c r="I1565" s="115" t="s">
        <v>2996</v>
      </c>
      <c r="J1565" s="115" t="s">
        <v>2997</v>
      </c>
      <c r="K1565" s="115" t="s">
        <v>510</v>
      </c>
      <c r="W1565" s="213">
        <v>1565</v>
      </c>
      <c r="X1565" s="214">
        <v>15</v>
      </c>
    </row>
    <row r="1566" spans="1:24" x14ac:dyDescent="0.25">
      <c r="A1566" s="117" t="s">
        <v>2763</v>
      </c>
      <c r="B1566" s="133" t="s">
        <v>7895</v>
      </c>
      <c r="C1566" s="117">
        <v>0</v>
      </c>
      <c r="D1566" s="118" t="s">
        <v>2998</v>
      </c>
      <c r="E1566" s="118" t="s">
        <v>2999</v>
      </c>
      <c r="F1566" s="118">
        <v>0.53</v>
      </c>
      <c r="G1566" s="118" t="s">
        <v>3000</v>
      </c>
      <c r="H1566" s="118" t="s">
        <v>3001</v>
      </c>
      <c r="I1566" s="118" t="s">
        <v>3002</v>
      </c>
      <c r="J1566" s="118" t="s">
        <v>3003</v>
      </c>
      <c r="K1566" s="118" t="s">
        <v>510</v>
      </c>
      <c r="W1566" s="213">
        <v>1566</v>
      </c>
      <c r="X1566" s="214">
        <v>15</v>
      </c>
    </row>
    <row r="1567" spans="1:24" x14ac:dyDescent="0.25">
      <c r="A1567" s="71" t="s">
        <v>1966</v>
      </c>
      <c r="B1567" s="73" t="s">
        <v>3360</v>
      </c>
      <c r="C1567" s="71">
        <v>0</v>
      </c>
      <c r="D1567" s="72" t="s">
        <v>652</v>
      </c>
      <c r="E1567" s="72" t="s">
        <v>3361</v>
      </c>
      <c r="F1567" s="72">
        <v>0.72199999999999998</v>
      </c>
      <c r="G1567" s="72" t="s">
        <v>3362</v>
      </c>
      <c r="H1567" s="72" t="s">
        <v>3363</v>
      </c>
      <c r="I1567" s="72" t="s">
        <v>3364</v>
      </c>
      <c r="J1567" s="72" t="s">
        <v>3365</v>
      </c>
      <c r="K1567" s="72" t="s">
        <v>510</v>
      </c>
      <c r="W1567" s="213">
        <v>1567</v>
      </c>
      <c r="X1567" s="214">
        <v>10</v>
      </c>
    </row>
    <row r="1568" spans="1:24" x14ac:dyDescent="0.25">
      <c r="A1568" s="117" t="s">
        <v>2763</v>
      </c>
      <c r="B1568" s="133" t="s">
        <v>8006</v>
      </c>
      <c r="C1568" s="117">
        <v>0</v>
      </c>
      <c r="D1568" s="118" t="s">
        <v>2535</v>
      </c>
      <c r="E1568" s="118" t="s">
        <v>3004</v>
      </c>
      <c r="F1568" s="118">
        <v>0.55100000000000005</v>
      </c>
      <c r="G1568" s="118" t="s">
        <v>3005</v>
      </c>
      <c r="H1568" s="118" t="s">
        <v>3006</v>
      </c>
      <c r="I1568" s="118" t="s">
        <v>3007</v>
      </c>
      <c r="J1568" s="118" t="s">
        <v>3008</v>
      </c>
      <c r="K1568" s="118" t="s">
        <v>510</v>
      </c>
      <c r="W1568" s="213">
        <v>1568</v>
      </c>
      <c r="X1568" s="214">
        <v>15</v>
      </c>
    </row>
    <row r="1569" spans="1:24" x14ac:dyDescent="0.25">
      <c r="A1569" s="71" t="s">
        <v>1966</v>
      </c>
      <c r="B1569" s="73" t="s">
        <v>4156</v>
      </c>
      <c r="C1569" s="71">
        <v>0</v>
      </c>
      <c r="D1569" s="72" t="s">
        <v>2152</v>
      </c>
      <c r="E1569" s="72" t="s">
        <v>4157</v>
      </c>
      <c r="F1569" s="72">
        <v>0.65800000000000003</v>
      </c>
      <c r="G1569" s="72" t="s">
        <v>4158</v>
      </c>
      <c r="H1569" s="72" t="s">
        <v>4159</v>
      </c>
      <c r="I1569" s="72" t="s">
        <v>4160</v>
      </c>
      <c r="J1569" s="72" t="s">
        <v>4161</v>
      </c>
      <c r="K1569" s="72" t="s">
        <v>510</v>
      </c>
      <c r="W1569" s="213">
        <v>1569</v>
      </c>
      <c r="X1569" s="214">
        <v>10</v>
      </c>
    </row>
    <row r="1570" spans="1:24" x14ac:dyDescent="0.25">
      <c r="A1570" s="117" t="s">
        <v>2763</v>
      </c>
      <c r="B1570" s="116" t="s">
        <v>7187</v>
      </c>
      <c r="C1570" s="117">
        <v>0</v>
      </c>
      <c r="D1570" s="118" t="s">
        <v>502</v>
      </c>
      <c r="E1570" s="118" t="s">
        <v>7188</v>
      </c>
      <c r="F1570" s="118">
        <v>0.55000000000000004</v>
      </c>
      <c r="G1570" s="118" t="s">
        <v>7189</v>
      </c>
      <c r="H1570" s="118" t="s">
        <v>7190</v>
      </c>
      <c r="I1570" s="118" t="s">
        <v>7191</v>
      </c>
      <c r="J1570" s="118" t="s">
        <v>7192</v>
      </c>
      <c r="K1570" s="118" t="s">
        <v>510</v>
      </c>
      <c r="W1570" s="213">
        <v>1570</v>
      </c>
      <c r="X1570" s="214">
        <v>15</v>
      </c>
    </row>
    <row r="1571" spans="1:24" x14ac:dyDescent="0.25">
      <c r="A1571" s="114" t="s">
        <v>2763</v>
      </c>
      <c r="B1571" s="113" t="s">
        <v>8428</v>
      </c>
      <c r="C1571" s="114">
        <v>0</v>
      </c>
      <c r="D1571" s="115" t="s">
        <v>3009</v>
      </c>
      <c r="E1571" s="115" t="s">
        <v>3010</v>
      </c>
      <c r="F1571" s="115">
        <v>0.57999999999999996</v>
      </c>
      <c r="G1571" s="115" t="s">
        <v>3011</v>
      </c>
      <c r="H1571" s="115" t="s">
        <v>3012</v>
      </c>
      <c r="I1571" s="115" t="s">
        <v>3013</v>
      </c>
      <c r="J1571" s="115" t="s">
        <v>3014</v>
      </c>
      <c r="K1571" s="115" t="s">
        <v>510</v>
      </c>
      <c r="W1571" s="213">
        <v>1571</v>
      </c>
      <c r="X1571" s="214">
        <v>15</v>
      </c>
    </row>
    <row r="1572" spans="1:24" x14ac:dyDescent="0.25">
      <c r="A1572" s="67" t="s">
        <v>1966</v>
      </c>
      <c r="B1572" s="69" t="s">
        <v>4150</v>
      </c>
      <c r="C1572" s="67">
        <v>0</v>
      </c>
      <c r="D1572" s="68" t="s">
        <v>247</v>
      </c>
      <c r="E1572" s="68" t="s">
        <v>4151</v>
      </c>
      <c r="F1572" s="68">
        <v>0.71699999999999997</v>
      </c>
      <c r="G1572" s="68" t="s">
        <v>4152</v>
      </c>
      <c r="H1572" s="68" t="s">
        <v>4153</v>
      </c>
      <c r="I1572" s="68" t="s">
        <v>4154</v>
      </c>
      <c r="J1572" s="68" t="s">
        <v>4155</v>
      </c>
      <c r="K1572" s="68" t="s">
        <v>510</v>
      </c>
      <c r="W1572" s="213">
        <v>1572</v>
      </c>
      <c r="X1572" s="214">
        <v>10</v>
      </c>
    </row>
    <row r="1573" spans="1:24" x14ac:dyDescent="0.25">
      <c r="A1573" s="114" t="s">
        <v>2763</v>
      </c>
      <c r="B1573" s="113" t="s">
        <v>5247</v>
      </c>
      <c r="C1573" s="114">
        <v>0</v>
      </c>
      <c r="D1573" s="115" t="s">
        <v>4603</v>
      </c>
      <c r="E1573" s="115" t="s">
        <v>5248</v>
      </c>
      <c r="F1573" s="115">
        <v>0.56999999999999995</v>
      </c>
      <c r="G1573" s="115" t="s">
        <v>4599</v>
      </c>
      <c r="H1573" s="115" t="s">
        <v>5249</v>
      </c>
      <c r="I1573" s="115" t="s">
        <v>5250</v>
      </c>
      <c r="J1573" s="115" t="s">
        <v>5251</v>
      </c>
      <c r="K1573" s="115" t="s">
        <v>510</v>
      </c>
      <c r="W1573" s="213">
        <v>1573</v>
      </c>
      <c r="X1573" s="214">
        <v>15</v>
      </c>
    </row>
    <row r="1574" spans="1:24" ht="15" customHeight="1" x14ac:dyDescent="0.25">
      <c r="A1574" s="117" t="s">
        <v>2763</v>
      </c>
      <c r="B1574" s="116" t="s">
        <v>7193</v>
      </c>
      <c r="C1574" s="117">
        <v>0</v>
      </c>
      <c r="D1574" s="118" t="s">
        <v>502</v>
      </c>
      <c r="E1574" s="118" t="s">
        <v>7194</v>
      </c>
      <c r="F1574" s="118">
        <v>0.60199999999999998</v>
      </c>
      <c r="G1574" s="118" t="s">
        <v>5879</v>
      </c>
      <c r="H1574" s="118" t="s">
        <v>7195</v>
      </c>
      <c r="I1574" s="118" t="s">
        <v>7196</v>
      </c>
      <c r="J1574" s="118" t="s">
        <v>7192</v>
      </c>
      <c r="K1574" s="118" t="s">
        <v>510</v>
      </c>
      <c r="W1574" s="213">
        <v>1574</v>
      </c>
      <c r="X1574" s="214">
        <v>15</v>
      </c>
    </row>
    <row r="1575" spans="1:24" x14ac:dyDescent="0.25">
      <c r="A1575" s="114" t="s">
        <v>2763</v>
      </c>
      <c r="B1575" s="113" t="s">
        <v>7221</v>
      </c>
      <c r="C1575" s="114">
        <v>0</v>
      </c>
      <c r="D1575" s="115" t="s">
        <v>1154</v>
      </c>
      <c r="E1575" s="115" t="s">
        <v>7222</v>
      </c>
      <c r="F1575" s="115">
        <v>0.61299999999999999</v>
      </c>
      <c r="G1575" s="115" t="s">
        <v>7223</v>
      </c>
      <c r="H1575" s="115" t="s">
        <v>7224</v>
      </c>
      <c r="I1575" s="115" t="s">
        <v>7225</v>
      </c>
      <c r="J1575" s="115" t="s">
        <v>5099</v>
      </c>
      <c r="K1575" s="115" t="s">
        <v>510</v>
      </c>
      <c r="W1575" s="213">
        <v>1575</v>
      </c>
      <c r="X1575" s="214">
        <v>15</v>
      </c>
    </row>
    <row r="1576" spans="1:24" x14ac:dyDescent="0.25">
      <c r="A1576" s="117" t="s">
        <v>2763</v>
      </c>
      <c r="B1576" s="116" t="s">
        <v>5562</v>
      </c>
      <c r="C1576" s="117">
        <v>0</v>
      </c>
      <c r="D1576" s="118" t="s">
        <v>3406</v>
      </c>
      <c r="E1576" s="118" t="s">
        <v>5563</v>
      </c>
      <c r="F1576" s="118">
        <v>0.56699999999999995</v>
      </c>
      <c r="G1576" s="118" t="s">
        <v>5564</v>
      </c>
      <c r="H1576" s="118" t="s">
        <v>5565</v>
      </c>
      <c r="I1576" s="118" t="s">
        <v>5566</v>
      </c>
      <c r="J1576" s="118" t="s">
        <v>5567</v>
      </c>
      <c r="K1576" s="118" t="s">
        <v>510</v>
      </c>
      <c r="W1576" s="213">
        <v>1576</v>
      </c>
      <c r="X1576" s="214">
        <v>15</v>
      </c>
    </row>
    <row r="1577" spans="1:24" x14ac:dyDescent="0.25">
      <c r="A1577" s="114" t="s">
        <v>2763</v>
      </c>
      <c r="B1577" s="113" t="s">
        <v>4416</v>
      </c>
      <c r="C1577" s="114">
        <v>0</v>
      </c>
      <c r="D1577" s="115" t="s">
        <v>2446</v>
      </c>
      <c r="E1577" s="115" t="s">
        <v>4417</v>
      </c>
      <c r="F1577" s="115">
        <v>0.628</v>
      </c>
      <c r="G1577" s="115" t="s">
        <v>4418</v>
      </c>
      <c r="H1577" s="115" t="s">
        <v>4419</v>
      </c>
      <c r="I1577" s="115" t="s">
        <v>4420</v>
      </c>
      <c r="J1577" s="115" t="s">
        <v>4421</v>
      </c>
      <c r="K1577" s="115" t="s">
        <v>510</v>
      </c>
      <c r="W1577" s="213">
        <v>1577</v>
      </c>
      <c r="X1577" s="214">
        <v>15</v>
      </c>
    </row>
    <row r="1578" spans="1:24" x14ac:dyDescent="0.25">
      <c r="A1578" s="117" t="s">
        <v>2763</v>
      </c>
      <c r="B1578" s="116" t="s">
        <v>4878</v>
      </c>
      <c r="C1578" s="117">
        <v>0</v>
      </c>
      <c r="D1578" s="118" t="s">
        <v>4657</v>
      </c>
      <c r="E1578" s="118" t="s">
        <v>4879</v>
      </c>
      <c r="F1578" s="118">
        <v>0.55700000000000005</v>
      </c>
      <c r="G1578" s="118" t="s">
        <v>4880</v>
      </c>
      <c r="H1578" s="118" t="s">
        <v>4881</v>
      </c>
      <c r="I1578" s="118" t="s">
        <v>4882</v>
      </c>
      <c r="J1578" s="118" t="s">
        <v>4883</v>
      </c>
      <c r="K1578" s="118" t="s">
        <v>510</v>
      </c>
      <c r="W1578" s="213">
        <v>1578</v>
      </c>
      <c r="X1578" s="214">
        <v>15</v>
      </c>
    </row>
    <row r="1579" spans="1:24" x14ac:dyDescent="0.25">
      <c r="A1579" s="114" t="s">
        <v>2763</v>
      </c>
      <c r="B1579" s="113" t="s">
        <v>6785</v>
      </c>
      <c r="C1579" s="114">
        <v>0</v>
      </c>
      <c r="D1579" s="115" t="s">
        <v>1848</v>
      </c>
      <c r="E1579" s="115" t="s">
        <v>6786</v>
      </c>
      <c r="F1579" s="115">
        <v>0.60599999999999998</v>
      </c>
      <c r="G1579" s="115" t="s">
        <v>6787</v>
      </c>
      <c r="H1579" s="115" t="s">
        <v>6788</v>
      </c>
      <c r="I1579" s="115" t="s">
        <v>5781</v>
      </c>
      <c r="J1579" s="115" t="s">
        <v>6789</v>
      </c>
      <c r="K1579" s="115" t="s">
        <v>510</v>
      </c>
      <c r="W1579" s="213">
        <v>1579</v>
      </c>
      <c r="X1579" s="214">
        <v>15</v>
      </c>
    </row>
    <row r="1580" spans="1:24" x14ac:dyDescent="0.25">
      <c r="A1580" s="117" t="s">
        <v>2763</v>
      </c>
      <c r="B1580" s="116" t="s">
        <v>6801</v>
      </c>
      <c r="C1580" s="117">
        <v>0</v>
      </c>
      <c r="D1580" s="118" t="s">
        <v>1848</v>
      </c>
      <c r="E1580" s="118" t="s">
        <v>6802</v>
      </c>
      <c r="F1580" s="118">
        <v>0.60099999999999998</v>
      </c>
      <c r="G1580" s="118" t="s">
        <v>6803</v>
      </c>
      <c r="H1580" s="118" t="s">
        <v>6804</v>
      </c>
      <c r="I1580" s="118" t="s">
        <v>6805</v>
      </c>
      <c r="J1580" s="118" t="s">
        <v>6806</v>
      </c>
      <c r="K1580" s="118" t="s">
        <v>510</v>
      </c>
      <c r="W1580" s="213">
        <v>1580</v>
      </c>
      <c r="X1580" s="214">
        <v>15</v>
      </c>
    </row>
    <row r="1581" spans="1:24" ht="14.45" customHeight="1" x14ac:dyDescent="0.25">
      <c r="A1581" s="114" t="s">
        <v>2763</v>
      </c>
      <c r="B1581" s="193" t="s">
        <v>8433</v>
      </c>
      <c r="C1581" s="114">
        <v>0</v>
      </c>
      <c r="D1581" s="115" t="s">
        <v>7900</v>
      </c>
      <c r="E1581" s="115" t="s">
        <v>3015</v>
      </c>
      <c r="F1581" s="115">
        <v>0.60899999999999999</v>
      </c>
      <c r="G1581" s="115" t="s">
        <v>3016</v>
      </c>
      <c r="H1581" s="115" t="s">
        <v>3017</v>
      </c>
      <c r="I1581" s="115" t="s">
        <v>3018</v>
      </c>
      <c r="J1581" s="115" t="s">
        <v>3019</v>
      </c>
      <c r="K1581" s="115" t="s">
        <v>510</v>
      </c>
      <c r="W1581" s="213">
        <v>1581</v>
      </c>
      <c r="X1581" s="214">
        <v>15</v>
      </c>
    </row>
    <row r="1582" spans="1:24" x14ac:dyDescent="0.25">
      <c r="A1582" s="117" t="s">
        <v>2763</v>
      </c>
      <c r="B1582" s="116" t="s">
        <v>7070</v>
      </c>
      <c r="C1582" s="117">
        <v>0</v>
      </c>
      <c r="D1582" s="118" t="s">
        <v>1154</v>
      </c>
      <c r="E1582" s="118" t="s">
        <v>7071</v>
      </c>
      <c r="F1582" s="118">
        <v>0.51800000000000002</v>
      </c>
      <c r="G1582" s="118" t="s">
        <v>7072</v>
      </c>
      <c r="H1582" s="118" t="s">
        <v>7073</v>
      </c>
      <c r="I1582" s="118" t="s">
        <v>7074</v>
      </c>
      <c r="J1582" s="118" t="s">
        <v>7075</v>
      </c>
      <c r="K1582" s="118" t="s">
        <v>510</v>
      </c>
      <c r="W1582" s="213">
        <v>1582</v>
      </c>
      <c r="X1582" s="214">
        <v>15</v>
      </c>
    </row>
    <row r="1583" spans="1:24" x14ac:dyDescent="0.25">
      <c r="A1583" s="71" t="s">
        <v>1966</v>
      </c>
      <c r="B1583" s="73" t="s">
        <v>3372</v>
      </c>
      <c r="C1583" s="71">
        <v>0</v>
      </c>
      <c r="D1583" s="72" t="s">
        <v>1388</v>
      </c>
      <c r="E1583" s="72" t="s">
        <v>3373</v>
      </c>
      <c r="F1583" s="72">
        <v>0.67</v>
      </c>
      <c r="G1583" s="72" t="s">
        <v>3374</v>
      </c>
      <c r="H1583" s="72" t="s">
        <v>3375</v>
      </c>
      <c r="I1583" s="72" t="s">
        <v>3376</v>
      </c>
      <c r="J1583" s="72" t="s">
        <v>3377</v>
      </c>
      <c r="K1583" s="72" t="s">
        <v>510</v>
      </c>
      <c r="W1583" s="213">
        <v>1583</v>
      </c>
      <c r="X1583" s="214">
        <v>10</v>
      </c>
    </row>
    <row r="1584" spans="1:24" x14ac:dyDescent="0.25">
      <c r="A1584" s="117" t="s">
        <v>2763</v>
      </c>
      <c r="B1584" s="133" t="s">
        <v>8007</v>
      </c>
      <c r="C1584" s="117">
        <v>0</v>
      </c>
      <c r="D1584" s="118" t="s">
        <v>7944</v>
      </c>
      <c r="E1584" s="118" t="s">
        <v>3021</v>
      </c>
      <c r="F1584" s="118">
        <v>0.59299999999999997</v>
      </c>
      <c r="G1584" s="118" t="s">
        <v>3022</v>
      </c>
      <c r="H1584" s="118" t="s">
        <v>3023</v>
      </c>
      <c r="I1584" s="118" t="s">
        <v>3024</v>
      </c>
      <c r="J1584" s="118" t="s">
        <v>3025</v>
      </c>
      <c r="K1584" s="118" t="s">
        <v>510</v>
      </c>
      <c r="W1584" s="213">
        <v>1584</v>
      </c>
      <c r="X1584" s="214">
        <v>15</v>
      </c>
    </row>
    <row r="1585" spans="1:24" x14ac:dyDescent="0.25">
      <c r="A1585" s="114" t="s">
        <v>2763</v>
      </c>
      <c r="B1585" s="113" t="s">
        <v>6495</v>
      </c>
      <c r="C1585" s="114">
        <v>0</v>
      </c>
      <c r="D1585" s="115" t="s">
        <v>261</v>
      </c>
      <c r="E1585" s="115" t="s">
        <v>6496</v>
      </c>
      <c r="F1585" s="115">
        <v>0.58899999999999997</v>
      </c>
      <c r="G1585" s="115" t="s">
        <v>6497</v>
      </c>
      <c r="H1585" s="115" t="s">
        <v>6498</v>
      </c>
      <c r="I1585" s="115" t="s">
        <v>6499</v>
      </c>
      <c r="J1585" s="115" t="s">
        <v>6500</v>
      </c>
      <c r="K1585" s="115" t="s">
        <v>510</v>
      </c>
      <c r="W1585" s="213">
        <v>1585</v>
      </c>
      <c r="X1585" s="214">
        <v>15</v>
      </c>
    </row>
    <row r="1586" spans="1:24" x14ac:dyDescent="0.25">
      <c r="A1586" s="117" t="s">
        <v>2763</v>
      </c>
      <c r="B1586" s="116" t="s">
        <v>5475</v>
      </c>
      <c r="C1586" s="117">
        <v>0</v>
      </c>
      <c r="D1586" s="118" t="s">
        <v>4651</v>
      </c>
      <c r="E1586" s="118" t="s">
        <v>5476</v>
      </c>
      <c r="F1586" s="118">
        <v>0.64400000000000002</v>
      </c>
      <c r="G1586" s="118" t="s">
        <v>4658</v>
      </c>
      <c r="H1586" s="118" t="s">
        <v>5477</v>
      </c>
      <c r="I1586" s="118" t="s">
        <v>3511</v>
      </c>
      <c r="J1586" s="118" t="s">
        <v>3589</v>
      </c>
      <c r="K1586" s="118" t="s">
        <v>510</v>
      </c>
      <c r="W1586" s="213">
        <v>1586</v>
      </c>
      <c r="X1586" s="214">
        <v>15</v>
      </c>
    </row>
    <row r="1587" spans="1:24" x14ac:dyDescent="0.25">
      <c r="A1587" s="114" t="s">
        <v>2763</v>
      </c>
      <c r="B1587" s="113" t="s">
        <v>5796</v>
      </c>
      <c r="C1587" s="114">
        <v>0</v>
      </c>
      <c r="D1587" s="115" t="s">
        <v>5797</v>
      </c>
      <c r="E1587" s="115" t="s">
        <v>5798</v>
      </c>
      <c r="F1587" s="115">
        <v>0.60699999999999998</v>
      </c>
      <c r="G1587" s="115" t="s">
        <v>5799</v>
      </c>
      <c r="H1587" s="115" t="s">
        <v>5800</v>
      </c>
      <c r="I1587" s="115" t="s">
        <v>5801</v>
      </c>
      <c r="J1587" s="115" t="s">
        <v>5802</v>
      </c>
      <c r="K1587" s="115" t="s">
        <v>510</v>
      </c>
      <c r="W1587" s="213">
        <v>1587</v>
      </c>
      <c r="X1587" s="214">
        <v>15</v>
      </c>
    </row>
    <row r="1588" spans="1:24" x14ac:dyDescent="0.25">
      <c r="A1588" s="117" t="s">
        <v>2763</v>
      </c>
      <c r="B1588" s="116" t="s">
        <v>6835</v>
      </c>
      <c r="C1588" s="117">
        <v>0</v>
      </c>
      <c r="D1588" s="118" t="s">
        <v>219</v>
      </c>
      <c r="E1588" s="118" t="s">
        <v>6836</v>
      </c>
      <c r="F1588" s="118">
        <v>0.626</v>
      </c>
      <c r="G1588" s="118" t="s">
        <v>6837</v>
      </c>
      <c r="H1588" s="118" t="s">
        <v>6838</v>
      </c>
      <c r="I1588" s="118" t="s">
        <v>6839</v>
      </c>
      <c r="J1588" s="118" t="s">
        <v>6840</v>
      </c>
      <c r="K1588" s="118" t="s">
        <v>510</v>
      </c>
      <c r="W1588" s="213">
        <v>1588</v>
      </c>
      <c r="X1588" s="214">
        <v>15</v>
      </c>
    </row>
    <row r="1589" spans="1:24" x14ac:dyDescent="0.25">
      <c r="A1589" s="114" t="s">
        <v>2763</v>
      </c>
      <c r="B1589" s="132" t="s">
        <v>8008</v>
      </c>
      <c r="C1589" s="114">
        <v>0</v>
      </c>
      <c r="D1589" s="115" t="s">
        <v>2590</v>
      </c>
      <c r="E1589" s="115" t="s">
        <v>3026</v>
      </c>
      <c r="F1589" s="115">
        <v>0.59299999999999997</v>
      </c>
      <c r="G1589" s="115" t="s">
        <v>3027</v>
      </c>
      <c r="H1589" s="115" t="s">
        <v>3028</v>
      </c>
      <c r="I1589" s="115" t="s">
        <v>3029</v>
      </c>
      <c r="J1589" s="115" t="s">
        <v>3030</v>
      </c>
      <c r="K1589" s="115" t="s">
        <v>510</v>
      </c>
      <c r="W1589" s="213">
        <v>1589</v>
      </c>
      <c r="X1589" s="214">
        <v>15</v>
      </c>
    </row>
    <row r="1590" spans="1:24" x14ac:dyDescent="0.25">
      <c r="A1590" s="117" t="s">
        <v>2763</v>
      </c>
      <c r="B1590" s="116" t="s">
        <v>4608</v>
      </c>
      <c r="C1590" s="117">
        <v>0</v>
      </c>
      <c r="D1590" s="118" t="s">
        <v>4609</v>
      </c>
      <c r="E1590" s="118" t="s">
        <v>4610</v>
      </c>
      <c r="F1590" s="118">
        <v>0.59</v>
      </c>
      <c r="G1590" s="118" t="s">
        <v>4611</v>
      </c>
      <c r="H1590" s="118" t="s">
        <v>4612</v>
      </c>
      <c r="I1590" s="118" t="s">
        <v>4613</v>
      </c>
      <c r="J1590" s="118" t="s">
        <v>4614</v>
      </c>
      <c r="K1590" s="118" t="s">
        <v>510</v>
      </c>
      <c r="W1590" s="213">
        <v>1590</v>
      </c>
      <c r="X1590" s="214">
        <v>15</v>
      </c>
    </row>
    <row r="1591" spans="1:24" x14ac:dyDescent="0.25">
      <c r="A1591" s="114" t="s">
        <v>2763</v>
      </c>
      <c r="B1591" s="113" t="s">
        <v>5241</v>
      </c>
      <c r="C1591" s="114">
        <v>0</v>
      </c>
      <c r="D1591" s="115" t="s">
        <v>1745</v>
      </c>
      <c r="E1591" s="115" t="s">
        <v>5242</v>
      </c>
      <c r="F1591" s="115">
        <v>0.59899999999999998</v>
      </c>
      <c r="G1591" s="115" t="s">
        <v>5243</v>
      </c>
      <c r="H1591" s="115" t="s">
        <v>5244</v>
      </c>
      <c r="I1591" s="115" t="s">
        <v>5245</v>
      </c>
      <c r="J1591" s="115" t="s">
        <v>5246</v>
      </c>
      <c r="K1591" s="115" t="s">
        <v>510</v>
      </c>
      <c r="W1591" s="213">
        <v>1591</v>
      </c>
      <c r="X1591" s="214">
        <v>15</v>
      </c>
    </row>
    <row r="1592" spans="1:24" x14ac:dyDescent="0.25">
      <c r="A1592" s="117" t="s">
        <v>2763</v>
      </c>
      <c r="B1592" s="116" t="s">
        <v>4935</v>
      </c>
      <c r="C1592" s="117">
        <v>0</v>
      </c>
      <c r="D1592" s="118" t="s">
        <v>4609</v>
      </c>
      <c r="E1592" s="118" t="s">
        <v>4936</v>
      </c>
      <c r="F1592" s="118">
        <v>0.60599999999999998</v>
      </c>
      <c r="G1592" s="118" t="s">
        <v>4937</v>
      </c>
      <c r="H1592" s="118" t="s">
        <v>1694</v>
      </c>
      <c r="I1592" s="118" t="s">
        <v>4938</v>
      </c>
      <c r="J1592" s="118" t="s">
        <v>4939</v>
      </c>
      <c r="K1592" s="118" t="s">
        <v>510</v>
      </c>
      <c r="W1592" s="213">
        <v>1592</v>
      </c>
      <c r="X1592" s="214">
        <v>15</v>
      </c>
    </row>
    <row r="1593" spans="1:24" x14ac:dyDescent="0.25">
      <c r="A1593" s="114" t="s">
        <v>2763</v>
      </c>
      <c r="B1593" s="113" t="s">
        <v>5282</v>
      </c>
      <c r="C1593" s="114">
        <v>0</v>
      </c>
      <c r="D1593" s="115" t="s">
        <v>3406</v>
      </c>
      <c r="E1593" s="115" t="s">
        <v>5283</v>
      </c>
      <c r="F1593" s="115">
        <v>0.623</v>
      </c>
      <c r="G1593" s="115" t="s">
        <v>5284</v>
      </c>
      <c r="H1593" s="115" t="s">
        <v>5285</v>
      </c>
      <c r="I1593" s="115" t="s">
        <v>5286</v>
      </c>
      <c r="J1593" s="115" t="s">
        <v>5287</v>
      </c>
      <c r="K1593" s="115" t="s">
        <v>510</v>
      </c>
      <c r="W1593" s="213">
        <v>1593</v>
      </c>
      <c r="X1593" s="214">
        <v>15</v>
      </c>
    </row>
    <row r="1594" spans="1:24" x14ac:dyDescent="0.25">
      <c r="A1594" s="67" t="s">
        <v>1966</v>
      </c>
      <c r="B1594" s="69" t="s">
        <v>4168</v>
      </c>
      <c r="C1594" s="67">
        <v>0</v>
      </c>
      <c r="D1594" s="68" t="s">
        <v>469</v>
      </c>
      <c r="E1594" s="68" t="s">
        <v>4169</v>
      </c>
      <c r="F1594" s="68">
        <v>0.873</v>
      </c>
      <c r="G1594" s="68" t="s">
        <v>4170</v>
      </c>
      <c r="H1594" s="68" t="s">
        <v>4171</v>
      </c>
      <c r="I1594" s="68" t="s">
        <v>4172</v>
      </c>
      <c r="J1594" s="68" t="s">
        <v>4173</v>
      </c>
      <c r="K1594" s="68" t="s">
        <v>510</v>
      </c>
      <c r="W1594" s="213">
        <v>1594</v>
      </c>
      <c r="X1594" s="214">
        <v>10</v>
      </c>
    </row>
    <row r="1595" spans="1:24" x14ac:dyDescent="0.25">
      <c r="A1595" s="114" t="s">
        <v>2763</v>
      </c>
      <c r="B1595" s="113" t="s">
        <v>5714</v>
      </c>
      <c r="C1595" s="114">
        <v>0</v>
      </c>
      <c r="D1595" s="115" t="s">
        <v>3250</v>
      </c>
      <c r="E1595" s="115" t="s">
        <v>5715</v>
      </c>
      <c r="F1595" s="115">
        <v>0.59799999999999998</v>
      </c>
      <c r="G1595" s="115" t="s">
        <v>5716</v>
      </c>
      <c r="H1595" s="115" t="s">
        <v>5717</v>
      </c>
      <c r="I1595" s="115" t="s">
        <v>5718</v>
      </c>
      <c r="J1595" s="115" t="s">
        <v>5719</v>
      </c>
      <c r="K1595" s="115" t="s">
        <v>510</v>
      </c>
      <c r="W1595" s="213">
        <v>1595</v>
      </c>
      <c r="X1595" s="214">
        <v>15</v>
      </c>
    </row>
    <row r="1596" spans="1:24" x14ac:dyDescent="0.25">
      <c r="A1596" s="117" t="s">
        <v>2763</v>
      </c>
      <c r="B1596" s="133" t="s">
        <v>8009</v>
      </c>
      <c r="C1596" s="117">
        <v>0</v>
      </c>
      <c r="D1596" s="118" t="s">
        <v>2535</v>
      </c>
      <c r="E1596" s="118" t="s">
        <v>3032</v>
      </c>
      <c r="F1596" s="118">
        <v>0.625</v>
      </c>
      <c r="G1596" s="118" t="s">
        <v>3033</v>
      </c>
      <c r="H1596" s="118" t="s">
        <v>3034</v>
      </c>
      <c r="I1596" s="118" t="s">
        <v>3035</v>
      </c>
      <c r="J1596" s="118" t="s">
        <v>3036</v>
      </c>
      <c r="K1596" s="118" t="s">
        <v>510</v>
      </c>
      <c r="W1596" s="213">
        <v>1596</v>
      </c>
      <c r="X1596" s="214">
        <v>15</v>
      </c>
    </row>
    <row r="1597" spans="1:24" x14ac:dyDescent="0.25">
      <c r="A1597" s="71" t="s">
        <v>1966</v>
      </c>
      <c r="B1597" s="73" t="s">
        <v>4174</v>
      </c>
      <c r="C1597" s="71">
        <v>0</v>
      </c>
      <c r="D1597" s="72" t="s">
        <v>1046</v>
      </c>
      <c r="E1597" s="72" t="s">
        <v>4175</v>
      </c>
      <c r="F1597" s="72">
        <v>0.70699999999999996</v>
      </c>
      <c r="G1597" s="72" t="s">
        <v>4176</v>
      </c>
      <c r="H1597" s="72" t="s">
        <v>4177</v>
      </c>
      <c r="I1597" s="72" t="s">
        <v>4178</v>
      </c>
      <c r="J1597" s="72" t="s">
        <v>4179</v>
      </c>
      <c r="K1597" s="72" t="s">
        <v>510</v>
      </c>
      <c r="W1597" s="213">
        <v>1597</v>
      </c>
      <c r="X1597" s="214">
        <v>10</v>
      </c>
    </row>
    <row r="1598" spans="1:24" x14ac:dyDescent="0.25">
      <c r="A1598" s="117" t="s">
        <v>2763</v>
      </c>
      <c r="B1598" s="116" t="s">
        <v>5514</v>
      </c>
      <c r="C1598" s="117">
        <v>0</v>
      </c>
      <c r="D1598" s="118" t="s">
        <v>1745</v>
      </c>
      <c r="E1598" s="118" t="s">
        <v>5515</v>
      </c>
      <c r="F1598" s="118">
        <v>0.61499999999999999</v>
      </c>
      <c r="G1598" s="118" t="s">
        <v>5516</v>
      </c>
      <c r="H1598" s="118" t="s">
        <v>5517</v>
      </c>
      <c r="I1598" s="118" t="s">
        <v>5518</v>
      </c>
      <c r="J1598" s="118" t="s">
        <v>5519</v>
      </c>
      <c r="K1598" s="118" t="s">
        <v>510</v>
      </c>
      <c r="W1598" s="213">
        <v>1598</v>
      </c>
      <c r="X1598" s="214">
        <v>15</v>
      </c>
    </row>
    <row r="1599" spans="1:24" x14ac:dyDescent="0.25">
      <c r="A1599" s="114" t="s">
        <v>2763</v>
      </c>
      <c r="B1599" s="132" t="s">
        <v>8080</v>
      </c>
      <c r="C1599" s="114">
        <v>0</v>
      </c>
      <c r="D1599" s="115" t="s">
        <v>1802</v>
      </c>
      <c r="E1599" s="115" t="s">
        <v>3037</v>
      </c>
      <c r="F1599" s="115">
        <v>0.59699999999999998</v>
      </c>
      <c r="G1599" s="115" t="s">
        <v>3038</v>
      </c>
      <c r="H1599" s="115" t="s">
        <v>3039</v>
      </c>
      <c r="I1599" s="115" t="s">
        <v>3040</v>
      </c>
      <c r="J1599" s="115" t="s">
        <v>3041</v>
      </c>
      <c r="K1599" s="115" t="s">
        <v>510</v>
      </c>
      <c r="W1599" s="213">
        <v>1599</v>
      </c>
      <c r="X1599" s="214">
        <v>15</v>
      </c>
    </row>
    <row r="1600" spans="1:24" x14ac:dyDescent="0.25">
      <c r="A1600" s="117" t="s">
        <v>2763</v>
      </c>
      <c r="B1600" s="133" t="s">
        <v>8010</v>
      </c>
      <c r="C1600" s="117">
        <v>0</v>
      </c>
      <c r="D1600" s="118" t="s">
        <v>2266</v>
      </c>
      <c r="E1600" s="118" t="s">
        <v>3587</v>
      </c>
      <c r="F1600" s="118">
        <v>0.44800000000000001</v>
      </c>
      <c r="G1600" s="118" t="s">
        <v>3588</v>
      </c>
      <c r="H1600" s="118" t="s">
        <v>3589</v>
      </c>
      <c r="I1600" s="118" t="s">
        <v>3590</v>
      </c>
      <c r="J1600" s="118" t="s">
        <v>3591</v>
      </c>
      <c r="K1600" s="118" t="s">
        <v>510</v>
      </c>
      <c r="W1600" s="213">
        <v>1600</v>
      </c>
      <c r="X1600" s="214">
        <v>15</v>
      </c>
    </row>
    <row r="1601" spans="1:24" x14ac:dyDescent="0.25">
      <c r="A1601" s="114" t="s">
        <v>2763</v>
      </c>
      <c r="B1601" s="113" t="s">
        <v>7215</v>
      </c>
      <c r="C1601" s="114">
        <v>0</v>
      </c>
      <c r="D1601" s="115" t="s">
        <v>502</v>
      </c>
      <c r="E1601" s="115" t="s">
        <v>7216</v>
      </c>
      <c r="F1601" s="115">
        <v>0.64900000000000002</v>
      </c>
      <c r="G1601" s="115" t="s">
        <v>7217</v>
      </c>
      <c r="H1601" s="115" t="s">
        <v>7218</v>
      </c>
      <c r="I1601" s="115" t="s">
        <v>7219</v>
      </c>
      <c r="J1601" s="115" t="s">
        <v>7220</v>
      </c>
      <c r="K1601" s="115" t="s">
        <v>510</v>
      </c>
      <c r="W1601" s="213">
        <v>1601</v>
      </c>
      <c r="X1601" s="214">
        <v>15</v>
      </c>
    </row>
    <row r="1602" spans="1:24" x14ac:dyDescent="0.25">
      <c r="A1602" s="117" t="s">
        <v>2763</v>
      </c>
      <c r="B1602" s="133" t="s">
        <v>7939</v>
      </c>
      <c r="C1602" s="117">
        <v>0</v>
      </c>
      <c r="D1602" s="118" t="s">
        <v>7900</v>
      </c>
      <c r="E1602" s="118" t="s">
        <v>3042</v>
      </c>
      <c r="F1602" s="118">
        <v>0.57599999999999996</v>
      </c>
      <c r="G1602" s="118" t="s">
        <v>3043</v>
      </c>
      <c r="H1602" s="118" t="s">
        <v>3044</v>
      </c>
      <c r="I1602" s="118" t="s">
        <v>3045</v>
      </c>
      <c r="J1602" s="118" t="s">
        <v>3046</v>
      </c>
      <c r="K1602" s="118" t="s">
        <v>510</v>
      </c>
      <c r="W1602" s="213">
        <v>1602</v>
      </c>
      <c r="X1602" s="214">
        <v>15</v>
      </c>
    </row>
    <row r="1603" spans="1:24" x14ac:dyDescent="0.25">
      <c r="A1603" s="71" t="s">
        <v>1966</v>
      </c>
      <c r="B1603" s="73" t="s">
        <v>3378</v>
      </c>
      <c r="C1603" s="71">
        <v>0</v>
      </c>
      <c r="D1603" s="72" t="s">
        <v>2152</v>
      </c>
      <c r="E1603" s="72" t="s">
        <v>3379</v>
      </c>
      <c r="F1603" s="72">
        <v>0.72399999999999998</v>
      </c>
      <c r="G1603" s="72" t="s">
        <v>3380</v>
      </c>
      <c r="H1603" s="72" t="s">
        <v>3381</v>
      </c>
      <c r="I1603" s="72" t="s">
        <v>3382</v>
      </c>
      <c r="J1603" s="72" t="s">
        <v>3383</v>
      </c>
      <c r="K1603" s="72" t="s">
        <v>510</v>
      </c>
      <c r="W1603" s="213">
        <v>1603</v>
      </c>
      <c r="X1603" s="214">
        <v>10</v>
      </c>
    </row>
    <row r="1604" spans="1:24" x14ac:dyDescent="0.25">
      <c r="A1604" s="117" t="s">
        <v>2763</v>
      </c>
      <c r="B1604" s="116" t="s">
        <v>6269</v>
      </c>
      <c r="C1604" s="117">
        <v>0</v>
      </c>
      <c r="D1604" s="118" t="s">
        <v>2471</v>
      </c>
      <c r="E1604" s="118" t="s">
        <v>6270</v>
      </c>
      <c r="F1604" s="118">
        <v>0.63800000000000001</v>
      </c>
      <c r="G1604" s="118" t="s">
        <v>6271</v>
      </c>
      <c r="H1604" s="118" t="s">
        <v>6272</v>
      </c>
      <c r="I1604" s="118" t="s">
        <v>6273</v>
      </c>
      <c r="J1604" s="118" t="s">
        <v>6274</v>
      </c>
      <c r="K1604" s="118" t="s">
        <v>510</v>
      </c>
      <c r="W1604" s="213">
        <v>1604</v>
      </c>
      <c r="X1604" s="214">
        <v>15</v>
      </c>
    </row>
    <row r="1605" spans="1:24" x14ac:dyDescent="0.25">
      <c r="A1605" s="114" t="s">
        <v>2763</v>
      </c>
      <c r="B1605" s="113" t="s">
        <v>5530</v>
      </c>
      <c r="C1605" s="114">
        <v>0</v>
      </c>
      <c r="D1605" s="115" t="s">
        <v>2351</v>
      </c>
      <c r="E1605" s="115" t="s">
        <v>5531</v>
      </c>
      <c r="F1605" s="115">
        <v>0.61799999999999999</v>
      </c>
      <c r="G1605" s="115" t="s">
        <v>5532</v>
      </c>
      <c r="H1605" s="115" t="s">
        <v>5533</v>
      </c>
      <c r="I1605" s="115" t="s">
        <v>5534</v>
      </c>
      <c r="J1605" s="115" t="s">
        <v>5535</v>
      </c>
      <c r="K1605" s="115" t="s">
        <v>510</v>
      </c>
      <c r="W1605" s="213">
        <v>1605</v>
      </c>
      <c r="X1605" s="214">
        <v>15</v>
      </c>
    </row>
    <row r="1606" spans="1:24" ht="14.45" customHeight="1" x14ac:dyDescent="0.25">
      <c r="A1606" s="67" t="s">
        <v>1966</v>
      </c>
      <c r="B1606" s="70" t="s">
        <v>3047</v>
      </c>
      <c r="C1606" s="67">
        <v>1</v>
      </c>
      <c r="D1606" s="68" t="s">
        <v>822</v>
      </c>
      <c r="E1606" s="68" t="s">
        <v>3048</v>
      </c>
      <c r="F1606" s="68">
        <v>0.82599999999999996</v>
      </c>
      <c r="G1606" s="68" t="s">
        <v>3049</v>
      </c>
      <c r="H1606" s="68" t="s">
        <v>3050</v>
      </c>
      <c r="I1606" s="68" t="s">
        <v>3051</v>
      </c>
      <c r="J1606" s="68" t="s">
        <v>3052</v>
      </c>
      <c r="K1606" s="68" t="s">
        <v>9573</v>
      </c>
      <c r="W1606" s="213">
        <v>1606</v>
      </c>
      <c r="X1606" s="214">
        <v>10</v>
      </c>
    </row>
    <row r="1607" spans="1:24" ht="14.45" customHeight="1" x14ac:dyDescent="0.25">
      <c r="A1607" s="72" t="s">
        <v>0</v>
      </c>
      <c r="B1607" s="71" t="s">
        <v>32</v>
      </c>
      <c r="C1607" s="146" t="s">
        <v>3053</v>
      </c>
      <c r="D1607" s="72" t="s">
        <v>3054</v>
      </c>
      <c r="E1607" s="72" t="s">
        <v>3055</v>
      </c>
      <c r="F1607" s="72">
        <v>1.4999999999999999E-2</v>
      </c>
      <c r="G1607" s="72" t="s">
        <v>510</v>
      </c>
      <c r="H1607" s="149"/>
      <c r="I1607" s="149"/>
      <c r="J1607" s="149"/>
      <c r="K1607" s="72" t="s">
        <v>510</v>
      </c>
      <c r="W1607" s="213">
        <v>1607</v>
      </c>
      <c r="X1607" s="214">
        <v>10</v>
      </c>
    </row>
    <row r="1608" spans="1:24" x14ac:dyDescent="0.25">
      <c r="A1608" s="117" t="s">
        <v>2763</v>
      </c>
      <c r="B1608" s="116" t="s">
        <v>7153</v>
      </c>
      <c r="C1608" s="117">
        <v>0</v>
      </c>
      <c r="D1608" s="118" t="s">
        <v>1318</v>
      </c>
      <c r="E1608" s="118" t="s">
        <v>7154</v>
      </c>
      <c r="F1608" s="118">
        <v>0.33200000000000002</v>
      </c>
      <c r="G1608" s="118" t="s">
        <v>7155</v>
      </c>
      <c r="H1608" s="118" t="s">
        <v>7156</v>
      </c>
      <c r="I1608" s="118" t="s">
        <v>7157</v>
      </c>
      <c r="J1608" s="118" t="s">
        <v>174</v>
      </c>
      <c r="K1608" s="118" t="s">
        <v>510</v>
      </c>
      <c r="W1608" s="213">
        <v>1608</v>
      </c>
      <c r="X1608" s="214">
        <v>15</v>
      </c>
    </row>
    <row r="1609" spans="1:24" x14ac:dyDescent="0.25">
      <c r="A1609" s="114" t="s">
        <v>2763</v>
      </c>
      <c r="B1609" s="132" t="s">
        <v>7896</v>
      </c>
      <c r="C1609" s="114">
        <v>0</v>
      </c>
      <c r="D1609" s="115" t="s">
        <v>2764</v>
      </c>
      <c r="E1609" s="115" t="s">
        <v>3056</v>
      </c>
      <c r="F1609" s="115">
        <v>0.64400000000000002</v>
      </c>
      <c r="G1609" s="115" t="s">
        <v>3057</v>
      </c>
      <c r="H1609" s="115" t="s">
        <v>3058</v>
      </c>
      <c r="I1609" s="115" t="s">
        <v>3059</v>
      </c>
      <c r="J1609" s="115" t="s">
        <v>3060</v>
      </c>
      <c r="K1609" s="115" t="s">
        <v>510</v>
      </c>
      <c r="W1609" s="213">
        <v>1609</v>
      </c>
      <c r="X1609" s="214">
        <v>15</v>
      </c>
    </row>
    <row r="1610" spans="1:24" x14ac:dyDescent="0.25">
      <c r="A1610" s="117" t="s">
        <v>2763</v>
      </c>
      <c r="B1610" s="116" t="s">
        <v>6016</v>
      </c>
      <c r="C1610" s="117">
        <v>0</v>
      </c>
      <c r="D1610" s="118" t="s">
        <v>822</v>
      </c>
      <c r="E1610" s="118" t="s">
        <v>6017</v>
      </c>
      <c r="F1610" s="118">
        <v>0.66300000000000003</v>
      </c>
      <c r="G1610" s="118" t="s">
        <v>6018</v>
      </c>
      <c r="H1610" s="118" t="s">
        <v>5234</v>
      </c>
      <c r="I1610" s="118" t="s">
        <v>6019</v>
      </c>
      <c r="J1610" s="118" t="s">
        <v>6020</v>
      </c>
      <c r="K1610" s="118" t="s">
        <v>510</v>
      </c>
      <c r="W1610" s="213">
        <v>1610</v>
      </c>
      <c r="X1610" s="214">
        <v>15</v>
      </c>
    </row>
    <row r="1611" spans="1:24" x14ac:dyDescent="0.25">
      <c r="A1611" s="71" t="s">
        <v>1966</v>
      </c>
      <c r="B1611" s="73" t="s">
        <v>4162</v>
      </c>
      <c r="C1611" s="71">
        <v>0</v>
      </c>
      <c r="D1611" s="72" t="s">
        <v>247</v>
      </c>
      <c r="E1611" s="72" t="s">
        <v>4163</v>
      </c>
      <c r="F1611" s="72">
        <v>0.76500000000000001</v>
      </c>
      <c r="G1611" s="72" t="s">
        <v>4164</v>
      </c>
      <c r="H1611" s="72" t="s">
        <v>4165</v>
      </c>
      <c r="I1611" s="72" t="s">
        <v>4166</v>
      </c>
      <c r="J1611" s="72" t="s">
        <v>4167</v>
      </c>
      <c r="K1611" s="72" t="s">
        <v>510</v>
      </c>
      <c r="W1611" s="213">
        <v>1611</v>
      </c>
      <c r="X1611" s="214">
        <v>10</v>
      </c>
    </row>
    <row r="1612" spans="1:24" x14ac:dyDescent="0.25">
      <c r="A1612" s="117" t="s">
        <v>2763</v>
      </c>
      <c r="B1612" s="133" t="s">
        <v>8011</v>
      </c>
      <c r="C1612" s="117">
        <v>0</v>
      </c>
      <c r="D1612" s="118" t="s">
        <v>2629</v>
      </c>
      <c r="E1612" s="118" t="s">
        <v>3061</v>
      </c>
      <c r="F1612" s="118">
        <v>0.66700000000000004</v>
      </c>
      <c r="G1612" s="118" t="s">
        <v>3062</v>
      </c>
      <c r="H1612" s="118" t="s">
        <v>3063</v>
      </c>
      <c r="I1612" s="118" t="s">
        <v>3064</v>
      </c>
      <c r="J1612" s="118" t="s">
        <v>3065</v>
      </c>
      <c r="K1612" s="118" t="s">
        <v>510</v>
      </c>
      <c r="W1612" s="213">
        <v>1612</v>
      </c>
      <c r="X1612" s="214">
        <v>15</v>
      </c>
    </row>
    <row r="1613" spans="1:24" x14ac:dyDescent="0.25">
      <c r="A1613" s="114" t="s">
        <v>2763</v>
      </c>
      <c r="B1613" s="132" t="s">
        <v>7940</v>
      </c>
      <c r="C1613" s="114">
        <v>0</v>
      </c>
      <c r="D1613" s="115" t="s">
        <v>7913</v>
      </c>
      <c r="E1613" s="115" t="s">
        <v>3066</v>
      </c>
      <c r="F1613" s="115">
        <v>0.44</v>
      </c>
      <c r="G1613" s="115" t="s">
        <v>3067</v>
      </c>
      <c r="H1613" s="115" t="s">
        <v>3068</v>
      </c>
      <c r="I1613" s="115" t="s">
        <v>3069</v>
      </c>
      <c r="J1613" s="115" t="s">
        <v>3070</v>
      </c>
      <c r="K1613" s="115" t="s">
        <v>510</v>
      </c>
      <c r="W1613" s="213">
        <v>1613</v>
      </c>
      <c r="X1613" s="214">
        <v>15</v>
      </c>
    </row>
    <row r="1614" spans="1:24" x14ac:dyDescent="0.25">
      <c r="A1614" s="117" t="s">
        <v>2763</v>
      </c>
      <c r="B1614" s="116" t="s">
        <v>6281</v>
      </c>
      <c r="C1614" s="117">
        <v>0</v>
      </c>
      <c r="D1614" s="118" t="s">
        <v>1848</v>
      </c>
      <c r="E1614" s="118" t="s">
        <v>6282</v>
      </c>
      <c r="F1614" s="118">
        <v>0.66500000000000004</v>
      </c>
      <c r="G1614" s="118" t="s">
        <v>6283</v>
      </c>
      <c r="H1614" s="118" t="s">
        <v>4701</v>
      </c>
      <c r="I1614" s="118" t="s">
        <v>6284</v>
      </c>
      <c r="J1614" s="118" t="s">
        <v>6285</v>
      </c>
      <c r="K1614" s="118" t="s">
        <v>510</v>
      </c>
      <c r="W1614" s="213">
        <v>1614</v>
      </c>
      <c r="X1614" s="214">
        <v>15</v>
      </c>
    </row>
    <row r="1615" spans="1:24" ht="15" customHeight="1" x14ac:dyDescent="0.25">
      <c r="A1615" s="114" t="s">
        <v>2763</v>
      </c>
      <c r="B1615" s="113" t="s">
        <v>5959</v>
      </c>
      <c r="C1615" s="114">
        <v>0</v>
      </c>
      <c r="D1615" s="115" t="s">
        <v>3250</v>
      </c>
      <c r="E1615" s="115" t="s">
        <v>5960</v>
      </c>
      <c r="F1615" s="115">
        <v>0.67400000000000004</v>
      </c>
      <c r="G1615" s="115" t="s">
        <v>5961</v>
      </c>
      <c r="H1615" s="115" t="s">
        <v>5962</v>
      </c>
      <c r="I1615" s="115" t="s">
        <v>5963</v>
      </c>
      <c r="J1615" s="115" t="s">
        <v>5964</v>
      </c>
      <c r="K1615" s="115" t="s">
        <v>510</v>
      </c>
      <c r="W1615" s="213">
        <v>1615</v>
      </c>
      <c r="X1615" s="214">
        <v>15</v>
      </c>
    </row>
    <row r="1616" spans="1:24" x14ac:dyDescent="0.25">
      <c r="A1616" s="117" t="s">
        <v>2763</v>
      </c>
      <c r="B1616" s="116" t="s">
        <v>5252</v>
      </c>
      <c r="C1616" s="117">
        <v>0</v>
      </c>
      <c r="D1616" s="118" t="s">
        <v>5215</v>
      </c>
      <c r="E1616" s="118" t="s">
        <v>5253</v>
      </c>
      <c r="F1616" s="118">
        <v>0.68799999999999994</v>
      </c>
      <c r="G1616" s="118" t="s">
        <v>5254</v>
      </c>
      <c r="H1616" s="118" t="s">
        <v>5255</v>
      </c>
      <c r="I1616" s="118" t="s">
        <v>5256</v>
      </c>
      <c r="J1616" s="118" t="s">
        <v>5257</v>
      </c>
      <c r="K1616" s="118" t="s">
        <v>510</v>
      </c>
      <c r="W1616" s="213">
        <v>1616</v>
      </c>
      <c r="X1616" s="214">
        <v>15</v>
      </c>
    </row>
    <row r="1617" spans="1:24" x14ac:dyDescent="0.25">
      <c r="A1617" s="71" t="s">
        <v>1966</v>
      </c>
      <c r="B1617" s="73" t="s">
        <v>4180</v>
      </c>
      <c r="C1617" s="71">
        <v>0</v>
      </c>
      <c r="D1617" s="72" t="s">
        <v>597</v>
      </c>
      <c r="E1617" s="72" t="s">
        <v>4181</v>
      </c>
      <c r="F1617" s="72">
        <v>0.78200000000000003</v>
      </c>
      <c r="G1617" s="72" t="s">
        <v>4182</v>
      </c>
      <c r="H1617" s="72" t="s">
        <v>4183</v>
      </c>
      <c r="I1617" s="72" t="s">
        <v>4184</v>
      </c>
      <c r="J1617" s="72" t="s">
        <v>117</v>
      </c>
      <c r="K1617" s="72" t="s">
        <v>510</v>
      </c>
      <c r="W1617" s="213">
        <v>1617</v>
      </c>
      <c r="X1617" s="214">
        <v>10</v>
      </c>
    </row>
    <row r="1618" spans="1:24" x14ac:dyDescent="0.25">
      <c r="A1618" s="117" t="s">
        <v>2763</v>
      </c>
      <c r="B1618" s="116" t="s">
        <v>6217</v>
      </c>
      <c r="C1618" s="117">
        <v>0</v>
      </c>
      <c r="D1618" s="118" t="s">
        <v>2094</v>
      </c>
      <c r="E1618" s="118" t="s">
        <v>6218</v>
      </c>
      <c r="F1618" s="118">
        <v>0.72</v>
      </c>
      <c r="G1618" s="118" t="s">
        <v>6219</v>
      </c>
      <c r="H1618" s="118" t="s">
        <v>6220</v>
      </c>
      <c r="I1618" s="118" t="s">
        <v>6221</v>
      </c>
      <c r="J1618" s="118" t="s">
        <v>6222</v>
      </c>
      <c r="K1618" s="118" t="s">
        <v>510</v>
      </c>
      <c r="W1618" s="213">
        <v>1618</v>
      </c>
      <c r="X1618" s="214">
        <v>15</v>
      </c>
    </row>
    <row r="1619" spans="1:24" x14ac:dyDescent="0.25">
      <c r="A1619" s="114" t="s">
        <v>2763</v>
      </c>
      <c r="B1619" s="113" t="s">
        <v>7412</v>
      </c>
      <c r="C1619" s="114">
        <v>0</v>
      </c>
      <c r="D1619" s="115" t="s">
        <v>172</v>
      </c>
      <c r="E1619" s="115" t="s">
        <v>7413</v>
      </c>
      <c r="F1619" s="115">
        <v>0.69</v>
      </c>
      <c r="G1619" s="115" t="s">
        <v>7414</v>
      </c>
      <c r="H1619" s="115" t="s">
        <v>7415</v>
      </c>
      <c r="I1619" s="115" t="s">
        <v>7416</v>
      </c>
      <c r="J1619" s="115" t="s">
        <v>7417</v>
      </c>
      <c r="K1619" s="115" t="s">
        <v>510</v>
      </c>
      <c r="W1619" s="213">
        <v>1619</v>
      </c>
      <c r="X1619" s="214">
        <v>15</v>
      </c>
    </row>
    <row r="1620" spans="1:24" ht="15" customHeight="1" x14ac:dyDescent="0.25">
      <c r="A1620" s="67" t="s">
        <v>1966</v>
      </c>
      <c r="B1620" s="69" t="s">
        <v>4185</v>
      </c>
      <c r="C1620" s="67">
        <v>0</v>
      </c>
      <c r="D1620" s="68" t="s">
        <v>597</v>
      </c>
      <c r="E1620" s="68" t="s">
        <v>4186</v>
      </c>
      <c r="F1620" s="68">
        <v>0.78400000000000003</v>
      </c>
      <c r="G1620" s="68" t="s">
        <v>4187</v>
      </c>
      <c r="H1620" s="68" t="s">
        <v>4188</v>
      </c>
      <c r="I1620" s="68" t="s">
        <v>4189</v>
      </c>
      <c r="J1620" s="68" t="s">
        <v>4190</v>
      </c>
      <c r="K1620" s="68" t="s">
        <v>510</v>
      </c>
      <c r="W1620" s="213">
        <v>1620</v>
      </c>
      <c r="X1620" s="214">
        <v>10</v>
      </c>
    </row>
    <row r="1621" spans="1:24" ht="15" customHeight="1" x14ac:dyDescent="0.25">
      <c r="A1621" s="114" t="s">
        <v>2763</v>
      </c>
      <c r="B1621" s="113" t="s">
        <v>5049</v>
      </c>
      <c r="C1621" s="114">
        <v>0</v>
      </c>
      <c r="D1621" s="115" t="s">
        <v>4711</v>
      </c>
      <c r="E1621" s="115" t="s">
        <v>5050</v>
      </c>
      <c r="F1621" s="115">
        <v>0.67700000000000005</v>
      </c>
      <c r="G1621" s="115" t="s">
        <v>5051</v>
      </c>
      <c r="H1621" s="115" t="s">
        <v>5052</v>
      </c>
      <c r="I1621" s="115" t="s">
        <v>5053</v>
      </c>
      <c r="J1621" s="115" t="s">
        <v>5054</v>
      </c>
      <c r="K1621" s="115" t="s">
        <v>510</v>
      </c>
      <c r="W1621" s="213">
        <v>1621</v>
      </c>
      <c r="X1621" s="214">
        <v>15</v>
      </c>
    </row>
    <row r="1622" spans="1:24" ht="15" customHeight="1" x14ac:dyDescent="0.25">
      <c r="A1622" s="67" t="s">
        <v>1966</v>
      </c>
      <c r="B1622" s="69" t="s">
        <v>4191</v>
      </c>
      <c r="C1622" s="67">
        <v>0</v>
      </c>
      <c r="D1622" s="68" t="s">
        <v>122</v>
      </c>
      <c r="E1622" s="68" t="s">
        <v>4192</v>
      </c>
      <c r="F1622" s="68">
        <v>0.76600000000000001</v>
      </c>
      <c r="G1622" s="68" t="s">
        <v>4193</v>
      </c>
      <c r="H1622" s="68" t="s">
        <v>4194</v>
      </c>
      <c r="I1622" s="68" t="s">
        <v>4195</v>
      </c>
      <c r="J1622" s="68" t="s">
        <v>4196</v>
      </c>
      <c r="K1622" s="68" t="s">
        <v>510</v>
      </c>
      <c r="W1622" s="213">
        <v>1622</v>
      </c>
      <c r="X1622" s="214">
        <v>10</v>
      </c>
    </row>
    <row r="1623" spans="1:24" ht="15" customHeight="1" x14ac:dyDescent="0.25">
      <c r="A1623" s="114" t="s">
        <v>2763</v>
      </c>
      <c r="B1623" s="113" t="s">
        <v>5778</v>
      </c>
      <c r="C1623" s="114">
        <v>0</v>
      </c>
      <c r="D1623" s="115" t="s">
        <v>431</v>
      </c>
      <c r="E1623" s="115" t="s">
        <v>5779</v>
      </c>
      <c r="F1623" s="115">
        <v>0.69499999999999995</v>
      </c>
      <c r="G1623" s="115" t="s">
        <v>5780</v>
      </c>
      <c r="H1623" s="115" t="s">
        <v>5781</v>
      </c>
      <c r="I1623" s="115" t="s">
        <v>5782</v>
      </c>
      <c r="J1623" s="115" t="s">
        <v>5783</v>
      </c>
      <c r="K1623" s="115" t="s">
        <v>510</v>
      </c>
      <c r="W1623" s="213">
        <v>1623</v>
      </c>
      <c r="X1623" s="214">
        <v>15</v>
      </c>
    </row>
    <row r="1624" spans="1:24" ht="15" customHeight="1" x14ac:dyDescent="0.25">
      <c r="A1624" s="117" t="s">
        <v>2763</v>
      </c>
      <c r="B1624" s="133" t="s">
        <v>8012</v>
      </c>
      <c r="C1624" s="117">
        <v>0</v>
      </c>
      <c r="D1624" s="118" t="s">
        <v>7952</v>
      </c>
      <c r="E1624" s="118" t="s">
        <v>3071</v>
      </c>
      <c r="F1624" s="118">
        <v>0.74199999999999999</v>
      </c>
      <c r="G1624" s="118" t="s">
        <v>3072</v>
      </c>
      <c r="H1624" s="118" t="s">
        <v>3073</v>
      </c>
      <c r="I1624" s="118" t="s">
        <v>3074</v>
      </c>
      <c r="J1624" s="118" t="s">
        <v>3075</v>
      </c>
      <c r="K1624" s="118" t="s">
        <v>510</v>
      </c>
      <c r="W1624" s="213">
        <v>1624</v>
      </c>
      <c r="X1624" s="214">
        <v>15</v>
      </c>
    </row>
    <row r="1625" spans="1:24" ht="15" customHeight="1" x14ac:dyDescent="0.25">
      <c r="A1625" s="114" t="s">
        <v>2763</v>
      </c>
      <c r="B1625" s="113" t="s">
        <v>4908</v>
      </c>
      <c r="C1625" s="114">
        <v>0</v>
      </c>
      <c r="D1625" s="115" t="s">
        <v>4718</v>
      </c>
      <c r="E1625" s="115" t="s">
        <v>4909</v>
      </c>
      <c r="F1625" s="115">
        <v>0.73199999999999998</v>
      </c>
      <c r="G1625" s="115" t="s">
        <v>4910</v>
      </c>
      <c r="H1625" s="115" t="s">
        <v>4911</v>
      </c>
      <c r="I1625" s="115" t="s">
        <v>4912</v>
      </c>
      <c r="J1625" s="115" t="s">
        <v>4913</v>
      </c>
      <c r="K1625" s="115" t="s">
        <v>510</v>
      </c>
      <c r="W1625" s="213">
        <v>1625</v>
      </c>
      <c r="X1625" s="214">
        <v>15</v>
      </c>
    </row>
    <row r="1626" spans="1:24" ht="15" customHeight="1" x14ac:dyDescent="0.25">
      <c r="A1626" s="117" t="s">
        <v>2763</v>
      </c>
      <c r="B1626" s="116" t="s">
        <v>5541</v>
      </c>
      <c r="C1626" s="117">
        <v>0</v>
      </c>
      <c r="D1626" s="118" t="s">
        <v>3406</v>
      </c>
      <c r="E1626" s="118" t="s">
        <v>5542</v>
      </c>
      <c r="F1626" s="118">
        <v>0.751</v>
      </c>
      <c r="G1626" s="118" t="s">
        <v>5543</v>
      </c>
      <c r="H1626" s="118" t="s">
        <v>5544</v>
      </c>
      <c r="I1626" s="118" t="s">
        <v>5545</v>
      </c>
      <c r="J1626" s="118" t="s">
        <v>5546</v>
      </c>
      <c r="K1626" s="118" t="s">
        <v>510</v>
      </c>
      <c r="W1626" s="213">
        <v>1626</v>
      </c>
      <c r="X1626" s="214">
        <v>15</v>
      </c>
    </row>
    <row r="1627" spans="1:24" ht="15" customHeight="1" x14ac:dyDescent="0.25">
      <c r="A1627" s="114" t="s">
        <v>2763</v>
      </c>
      <c r="B1627" s="132" t="s">
        <v>8013</v>
      </c>
      <c r="C1627" s="114">
        <v>0</v>
      </c>
      <c r="D1627" s="115" t="s">
        <v>7946</v>
      </c>
      <c r="E1627" s="115" t="s">
        <v>3077</v>
      </c>
      <c r="F1627" s="115">
        <v>0.77200000000000002</v>
      </c>
      <c r="G1627" s="115" t="s">
        <v>3078</v>
      </c>
      <c r="H1627" s="115" t="s">
        <v>3079</v>
      </c>
      <c r="I1627" s="115" t="s">
        <v>3080</v>
      </c>
      <c r="J1627" s="115" t="s">
        <v>3081</v>
      </c>
      <c r="K1627" s="115" t="s">
        <v>510</v>
      </c>
      <c r="W1627" s="213">
        <v>1627</v>
      </c>
      <c r="X1627" s="214">
        <v>15</v>
      </c>
    </row>
    <row r="1628" spans="1:24" ht="15" customHeight="1" x14ac:dyDescent="0.25">
      <c r="A1628" s="117" t="s">
        <v>2763</v>
      </c>
      <c r="B1628" s="116" t="s">
        <v>6778</v>
      </c>
      <c r="C1628" s="117">
        <v>0</v>
      </c>
      <c r="D1628" s="118" t="s">
        <v>219</v>
      </c>
      <c r="E1628" s="118" t="s">
        <v>6779</v>
      </c>
      <c r="F1628" s="118">
        <v>0.73499999999999999</v>
      </c>
      <c r="G1628" s="118" t="s">
        <v>6780</v>
      </c>
      <c r="H1628" s="118" t="s">
        <v>6781</v>
      </c>
      <c r="I1628" s="118" t="s">
        <v>6782</v>
      </c>
      <c r="J1628" s="118" t="s">
        <v>6783</v>
      </c>
      <c r="K1628" s="118" t="s">
        <v>510</v>
      </c>
      <c r="W1628" s="213">
        <v>1628</v>
      </c>
      <c r="X1628" s="214">
        <v>15</v>
      </c>
    </row>
    <row r="1629" spans="1:24" ht="15" customHeight="1" x14ac:dyDescent="0.25">
      <c r="A1629" s="124" t="s">
        <v>3082</v>
      </c>
      <c r="B1629" s="188" t="s">
        <v>9313</v>
      </c>
      <c r="C1629" s="124">
        <v>0</v>
      </c>
      <c r="D1629" s="126" t="s">
        <v>3161</v>
      </c>
      <c r="E1629" s="126" t="s">
        <v>6470</v>
      </c>
      <c r="F1629" s="126">
        <v>0.79500000000000004</v>
      </c>
      <c r="G1629" s="126" t="s">
        <v>6471</v>
      </c>
      <c r="H1629" s="126" t="s">
        <v>6472</v>
      </c>
      <c r="I1629" s="126" t="s">
        <v>6473</v>
      </c>
      <c r="J1629" s="126" t="s">
        <v>6474</v>
      </c>
      <c r="K1629" s="126" t="s">
        <v>510</v>
      </c>
      <c r="W1629" s="213">
        <v>1629</v>
      </c>
      <c r="X1629" s="214">
        <v>16</v>
      </c>
    </row>
    <row r="1630" spans="1:24" ht="15" customHeight="1" x14ac:dyDescent="0.25">
      <c r="A1630" s="121" t="s">
        <v>3082</v>
      </c>
      <c r="B1630" s="122" t="s">
        <v>7418</v>
      </c>
      <c r="C1630" s="121">
        <v>0</v>
      </c>
      <c r="D1630" s="123" t="s">
        <v>172</v>
      </c>
      <c r="E1630" s="123" t="s">
        <v>7419</v>
      </c>
      <c r="F1630" s="123">
        <v>0.77100000000000002</v>
      </c>
      <c r="G1630" s="123" t="s">
        <v>7420</v>
      </c>
      <c r="H1630" s="123" t="s">
        <v>7421</v>
      </c>
      <c r="I1630" s="123" t="s">
        <v>7379</v>
      </c>
      <c r="J1630" s="123" t="s">
        <v>7422</v>
      </c>
      <c r="K1630" s="123" t="s">
        <v>510</v>
      </c>
      <c r="W1630" s="213">
        <v>1630</v>
      </c>
      <c r="X1630" s="214">
        <v>16</v>
      </c>
    </row>
    <row r="1631" spans="1:24" ht="15" customHeight="1" x14ac:dyDescent="0.25">
      <c r="A1631" s="124" t="s">
        <v>3082</v>
      </c>
      <c r="B1631" s="188" t="s">
        <v>9314</v>
      </c>
      <c r="C1631" s="124">
        <v>0</v>
      </c>
      <c r="D1631" s="126" t="s">
        <v>1388</v>
      </c>
      <c r="E1631" s="126" t="s">
        <v>5084</v>
      </c>
      <c r="F1631" s="126">
        <v>0.79</v>
      </c>
      <c r="G1631" s="126" t="s">
        <v>5085</v>
      </c>
      <c r="H1631" s="126" t="s">
        <v>5086</v>
      </c>
      <c r="I1631" s="126" t="s">
        <v>5087</v>
      </c>
      <c r="J1631" s="126" t="s">
        <v>5088</v>
      </c>
      <c r="K1631" s="126" t="s">
        <v>510</v>
      </c>
      <c r="W1631" s="213">
        <v>1631</v>
      </c>
      <c r="X1631" s="214">
        <v>16</v>
      </c>
    </row>
    <row r="1632" spans="1:24" ht="15" customHeight="1" x14ac:dyDescent="0.25">
      <c r="A1632" s="67" t="s">
        <v>1966</v>
      </c>
      <c r="B1632" s="69" t="s">
        <v>4197</v>
      </c>
      <c r="C1632" s="67">
        <v>0</v>
      </c>
      <c r="D1632" s="68" t="s">
        <v>122</v>
      </c>
      <c r="E1632" s="68" t="s">
        <v>4198</v>
      </c>
      <c r="F1632" s="68">
        <v>0.88500000000000001</v>
      </c>
      <c r="G1632" s="68" t="s">
        <v>4199</v>
      </c>
      <c r="H1632" s="68" t="s">
        <v>4200</v>
      </c>
      <c r="I1632" s="68" t="s">
        <v>4201</v>
      </c>
      <c r="J1632" s="68" t="s">
        <v>4202</v>
      </c>
      <c r="K1632" s="68" t="s">
        <v>510</v>
      </c>
      <c r="W1632" s="213">
        <v>1632</v>
      </c>
      <c r="X1632" s="214">
        <v>10</v>
      </c>
    </row>
    <row r="1633" spans="1:24" ht="15" customHeight="1" x14ac:dyDescent="0.25">
      <c r="A1633" s="71" t="s">
        <v>1966</v>
      </c>
      <c r="B1633" s="73" t="s">
        <v>3384</v>
      </c>
      <c r="C1633" s="71">
        <v>0</v>
      </c>
      <c r="D1633" s="72" t="s">
        <v>3250</v>
      </c>
      <c r="E1633" s="72" t="s">
        <v>3385</v>
      </c>
      <c r="F1633" s="72">
        <v>0.83099999999999996</v>
      </c>
      <c r="G1633" s="72" t="s">
        <v>3386</v>
      </c>
      <c r="H1633" s="72" t="s">
        <v>3387</v>
      </c>
      <c r="I1633" s="72" t="s">
        <v>3388</v>
      </c>
      <c r="J1633" s="72" t="s">
        <v>3389</v>
      </c>
      <c r="K1633" s="72" t="s">
        <v>510</v>
      </c>
      <c r="W1633" s="213">
        <v>1633</v>
      </c>
      <c r="X1633" s="214">
        <v>10</v>
      </c>
    </row>
    <row r="1634" spans="1:24" ht="15" customHeight="1" x14ac:dyDescent="0.25">
      <c r="A1634" s="67" t="s">
        <v>1966</v>
      </c>
      <c r="B1634" s="69" t="s">
        <v>4203</v>
      </c>
      <c r="C1634" s="67">
        <v>0</v>
      </c>
      <c r="D1634" s="68" t="s">
        <v>597</v>
      </c>
      <c r="E1634" s="68" t="s">
        <v>4204</v>
      </c>
      <c r="F1634" s="68">
        <v>0.85</v>
      </c>
      <c r="G1634" s="68" t="s">
        <v>4205</v>
      </c>
      <c r="H1634" s="68" t="s">
        <v>4206</v>
      </c>
      <c r="I1634" s="68" t="s">
        <v>4207</v>
      </c>
      <c r="J1634" s="68" t="s">
        <v>4208</v>
      </c>
      <c r="K1634" s="68" t="s">
        <v>510</v>
      </c>
      <c r="W1634" s="213">
        <v>1634</v>
      </c>
      <c r="X1634" s="214">
        <v>10</v>
      </c>
    </row>
    <row r="1635" spans="1:24" ht="15" customHeight="1" x14ac:dyDescent="0.25">
      <c r="A1635" s="71" t="s">
        <v>1966</v>
      </c>
      <c r="B1635" s="73" t="s">
        <v>4209</v>
      </c>
      <c r="C1635" s="71">
        <v>0</v>
      </c>
      <c r="D1635" s="72" t="s">
        <v>254</v>
      </c>
      <c r="E1635" s="72" t="s">
        <v>4210</v>
      </c>
      <c r="F1635" s="72">
        <v>0.95199999999999996</v>
      </c>
      <c r="G1635" s="72" t="s">
        <v>4211</v>
      </c>
      <c r="H1635" s="72" t="s">
        <v>4212</v>
      </c>
      <c r="I1635" s="72" t="s">
        <v>4213</v>
      </c>
      <c r="J1635" s="72" t="s">
        <v>4214</v>
      </c>
      <c r="K1635" s="72" t="s">
        <v>510</v>
      </c>
      <c r="W1635" s="213">
        <v>1635</v>
      </c>
      <c r="X1635" s="214">
        <v>10</v>
      </c>
    </row>
    <row r="1636" spans="1:24" ht="15" customHeight="1" x14ac:dyDescent="0.25">
      <c r="A1636" s="121" t="s">
        <v>3082</v>
      </c>
      <c r="B1636" s="150" t="s">
        <v>9315</v>
      </c>
      <c r="C1636" s="121">
        <v>0</v>
      </c>
      <c r="D1636" s="123" t="s">
        <v>5924</v>
      </c>
      <c r="E1636" s="123" t="s">
        <v>5925</v>
      </c>
      <c r="F1636" s="123">
        <v>0.81599999999999995</v>
      </c>
      <c r="G1636" s="123" t="s">
        <v>5926</v>
      </c>
      <c r="H1636" s="123" t="s">
        <v>5927</v>
      </c>
      <c r="I1636" s="123" t="s">
        <v>5928</v>
      </c>
      <c r="J1636" s="123" t="s">
        <v>5929</v>
      </c>
      <c r="K1636" s="123" t="s">
        <v>510</v>
      </c>
      <c r="W1636" s="213">
        <v>1636</v>
      </c>
      <c r="X1636" s="214">
        <v>16</v>
      </c>
    </row>
    <row r="1637" spans="1:24" ht="15" customHeight="1" x14ac:dyDescent="0.25">
      <c r="A1637" s="124" t="s">
        <v>3082</v>
      </c>
      <c r="B1637" s="188" t="s">
        <v>9316</v>
      </c>
      <c r="C1637" s="124">
        <v>0</v>
      </c>
      <c r="D1637" s="126" t="s">
        <v>2351</v>
      </c>
      <c r="E1637" s="126" t="s">
        <v>5768</v>
      </c>
      <c r="F1637" s="126">
        <v>0.77600000000000002</v>
      </c>
      <c r="G1637" s="126" t="s">
        <v>5769</v>
      </c>
      <c r="H1637" s="126" t="s">
        <v>2858</v>
      </c>
      <c r="I1637" s="126" t="s">
        <v>5770</v>
      </c>
      <c r="J1637" s="126" t="s">
        <v>5771</v>
      </c>
      <c r="K1637" s="126" t="s">
        <v>510</v>
      </c>
      <c r="W1637" s="213">
        <v>1637</v>
      </c>
      <c r="X1637" s="214">
        <v>16</v>
      </c>
    </row>
    <row r="1638" spans="1:24" ht="15" customHeight="1" x14ac:dyDescent="0.25">
      <c r="A1638" s="67" t="s">
        <v>1966</v>
      </c>
      <c r="B1638" s="69" t="s">
        <v>4215</v>
      </c>
      <c r="C1638" s="67">
        <v>0</v>
      </c>
      <c r="D1638" s="68" t="s">
        <v>515</v>
      </c>
      <c r="E1638" s="68" t="s">
        <v>4216</v>
      </c>
      <c r="F1638" s="68">
        <v>0.89500000000000002</v>
      </c>
      <c r="G1638" s="68" t="s">
        <v>4217</v>
      </c>
      <c r="H1638" s="68" t="s">
        <v>4218</v>
      </c>
      <c r="I1638" s="68" t="s">
        <v>4219</v>
      </c>
      <c r="J1638" s="68" t="s">
        <v>4220</v>
      </c>
      <c r="K1638" s="68" t="s">
        <v>510</v>
      </c>
      <c r="W1638" s="213">
        <v>1638</v>
      </c>
      <c r="X1638" s="214">
        <v>10</v>
      </c>
    </row>
    <row r="1639" spans="1:24" ht="15" customHeight="1" x14ac:dyDescent="0.25">
      <c r="A1639" s="71" t="s">
        <v>1966</v>
      </c>
      <c r="B1639" s="73" t="s">
        <v>4221</v>
      </c>
      <c r="C1639" s="71">
        <v>0</v>
      </c>
      <c r="D1639" s="72" t="s">
        <v>172</v>
      </c>
      <c r="E1639" s="72" t="s">
        <v>4222</v>
      </c>
      <c r="F1639" s="72">
        <v>0.88200000000000001</v>
      </c>
      <c r="G1639" s="72" t="s">
        <v>4223</v>
      </c>
      <c r="H1639" s="72" t="s">
        <v>4224</v>
      </c>
      <c r="I1639" s="72" t="s">
        <v>4225</v>
      </c>
      <c r="J1639" s="72" t="s">
        <v>4226</v>
      </c>
      <c r="K1639" s="72" t="s">
        <v>510</v>
      </c>
      <c r="W1639" s="213">
        <v>1639</v>
      </c>
      <c r="X1639" s="214">
        <v>10</v>
      </c>
    </row>
    <row r="1640" spans="1:24" ht="15" customHeight="1" x14ac:dyDescent="0.25">
      <c r="A1640" s="121" t="s">
        <v>3082</v>
      </c>
      <c r="B1640" s="150" t="s">
        <v>9317</v>
      </c>
      <c r="C1640" s="121">
        <v>0</v>
      </c>
      <c r="D1640" s="123" t="s">
        <v>4572</v>
      </c>
      <c r="E1640" s="123" t="s">
        <v>4578</v>
      </c>
      <c r="F1640" s="123">
        <v>0.84899999999999998</v>
      </c>
      <c r="G1640" s="123" t="s">
        <v>4579</v>
      </c>
      <c r="H1640" s="123" t="s">
        <v>4580</v>
      </c>
      <c r="I1640" s="123" t="s">
        <v>4581</v>
      </c>
      <c r="J1640" s="123" t="s">
        <v>4582</v>
      </c>
      <c r="K1640" s="123" t="s">
        <v>510</v>
      </c>
      <c r="W1640" s="213">
        <v>1640</v>
      </c>
      <c r="X1640" s="214">
        <v>16</v>
      </c>
    </row>
    <row r="1641" spans="1:24" ht="15" customHeight="1" x14ac:dyDescent="0.25">
      <c r="A1641" s="124" t="s">
        <v>3082</v>
      </c>
      <c r="B1641" s="188" t="s">
        <v>9318</v>
      </c>
      <c r="C1641" s="124">
        <v>0</v>
      </c>
      <c r="D1641" s="126" t="s">
        <v>4566</v>
      </c>
      <c r="E1641" s="126" t="s">
        <v>4681</v>
      </c>
      <c r="F1641" s="126">
        <v>0.80600000000000005</v>
      </c>
      <c r="G1641" s="126" t="s">
        <v>4682</v>
      </c>
      <c r="H1641" s="126" t="s">
        <v>4683</v>
      </c>
      <c r="I1641" s="126" t="s">
        <v>4684</v>
      </c>
      <c r="J1641" s="126" t="s">
        <v>4685</v>
      </c>
      <c r="K1641" s="126" t="s">
        <v>510</v>
      </c>
      <c r="W1641" s="213">
        <v>1641</v>
      </c>
      <c r="X1641" s="214">
        <v>16</v>
      </c>
    </row>
    <row r="1642" spans="1:24" x14ac:dyDescent="0.25">
      <c r="A1642" s="67" t="s">
        <v>1966</v>
      </c>
      <c r="B1642" s="69" t="s">
        <v>3088</v>
      </c>
      <c r="C1642" s="67">
        <v>0</v>
      </c>
      <c r="D1642" s="68" t="s">
        <v>819</v>
      </c>
      <c r="E1642" s="68" t="s">
        <v>3083</v>
      </c>
      <c r="F1642" s="68">
        <v>0.95</v>
      </c>
      <c r="G1642" s="68" t="s">
        <v>3084</v>
      </c>
      <c r="H1642" s="68" t="s">
        <v>3085</v>
      </c>
      <c r="I1642" s="68" t="s">
        <v>3086</v>
      </c>
      <c r="J1642" s="68" t="s">
        <v>3087</v>
      </c>
      <c r="K1642" s="68" t="s">
        <v>510</v>
      </c>
      <c r="W1642" s="213">
        <v>1642</v>
      </c>
      <c r="X1642" s="214">
        <v>10</v>
      </c>
    </row>
    <row r="1643" spans="1:24" x14ac:dyDescent="0.25">
      <c r="A1643" s="124" t="s">
        <v>3082</v>
      </c>
      <c r="B1643" s="188" t="s">
        <v>9319</v>
      </c>
      <c r="C1643" s="124">
        <v>0</v>
      </c>
      <c r="D1643" s="126" t="s">
        <v>5161</v>
      </c>
      <c r="E1643" s="126" t="s">
        <v>7879</v>
      </c>
      <c r="F1643" s="126">
        <v>0.73899999999999999</v>
      </c>
      <c r="G1643" s="126" t="s">
        <v>7880</v>
      </c>
      <c r="H1643" s="126" t="s">
        <v>7881</v>
      </c>
      <c r="I1643" s="126" t="s">
        <v>7882</v>
      </c>
      <c r="J1643" s="126" t="s">
        <v>7883</v>
      </c>
      <c r="K1643" s="126" t="s">
        <v>510</v>
      </c>
      <c r="W1643" s="213">
        <v>1643</v>
      </c>
      <c r="X1643" s="214">
        <v>16</v>
      </c>
    </row>
    <row r="1644" spans="1:24" x14ac:dyDescent="0.25">
      <c r="A1644" s="121" t="s">
        <v>3082</v>
      </c>
      <c r="B1644" s="150" t="s">
        <v>7897</v>
      </c>
      <c r="C1644" s="121">
        <v>0</v>
      </c>
      <c r="D1644" s="123" t="s">
        <v>2780</v>
      </c>
      <c r="E1644" s="123" t="s">
        <v>3089</v>
      </c>
      <c r="F1644" s="123">
        <v>0.70399999999999996</v>
      </c>
      <c r="G1644" s="123" t="s">
        <v>3090</v>
      </c>
      <c r="H1644" s="123" t="s">
        <v>3091</v>
      </c>
      <c r="I1644" s="123" t="s">
        <v>3092</v>
      </c>
      <c r="J1644" s="123" t="s">
        <v>3093</v>
      </c>
      <c r="K1644" s="123" t="s">
        <v>510</v>
      </c>
      <c r="W1644" s="213">
        <v>1644</v>
      </c>
      <c r="X1644" s="214">
        <v>16</v>
      </c>
    </row>
    <row r="1645" spans="1:24" x14ac:dyDescent="0.25">
      <c r="A1645" s="124" t="s">
        <v>3082</v>
      </c>
      <c r="B1645" s="125" t="s">
        <v>3099</v>
      </c>
      <c r="C1645" s="124">
        <v>0</v>
      </c>
      <c r="D1645" s="126" t="s">
        <v>1588</v>
      </c>
      <c r="E1645" s="126" t="s">
        <v>3094</v>
      </c>
      <c r="F1645" s="126">
        <v>0.85499999999999998</v>
      </c>
      <c r="G1645" s="126" t="s">
        <v>3095</v>
      </c>
      <c r="H1645" s="126" t="s">
        <v>3096</v>
      </c>
      <c r="I1645" s="126" t="s">
        <v>3097</v>
      </c>
      <c r="J1645" s="126" t="s">
        <v>3098</v>
      </c>
      <c r="K1645" s="126" t="s">
        <v>510</v>
      </c>
      <c r="W1645" s="213">
        <v>1645</v>
      </c>
      <c r="X1645" s="214">
        <v>16</v>
      </c>
    </row>
    <row r="1646" spans="1:24" x14ac:dyDescent="0.25">
      <c r="A1646" s="67" t="s">
        <v>1966</v>
      </c>
      <c r="B1646" s="69" t="s">
        <v>3105</v>
      </c>
      <c r="C1646" s="67">
        <v>0</v>
      </c>
      <c r="D1646" s="68" t="s">
        <v>1656</v>
      </c>
      <c r="E1646" s="68" t="s">
        <v>3100</v>
      </c>
      <c r="F1646" s="68">
        <v>0.94</v>
      </c>
      <c r="G1646" s="68" t="s">
        <v>3101</v>
      </c>
      <c r="H1646" s="68" t="s">
        <v>3102</v>
      </c>
      <c r="I1646" s="68" t="s">
        <v>3103</v>
      </c>
      <c r="J1646" s="68" t="s">
        <v>3104</v>
      </c>
      <c r="K1646" s="68" t="s">
        <v>510</v>
      </c>
      <c r="W1646" s="213">
        <v>1646</v>
      </c>
      <c r="X1646" s="214">
        <v>10</v>
      </c>
    </row>
    <row r="1647" spans="1:24" ht="15" customHeight="1" x14ac:dyDescent="0.25">
      <c r="A1647" s="71" t="s">
        <v>1966</v>
      </c>
      <c r="B1647" s="73" t="s">
        <v>3110</v>
      </c>
      <c r="C1647" s="71">
        <v>0</v>
      </c>
      <c r="D1647" s="72" t="s">
        <v>391</v>
      </c>
      <c r="E1647" s="72" t="s">
        <v>3106</v>
      </c>
      <c r="F1647" s="72">
        <v>0.96599999999999997</v>
      </c>
      <c r="G1647" s="72" t="s">
        <v>3107</v>
      </c>
      <c r="H1647" s="72" t="s">
        <v>3108</v>
      </c>
      <c r="I1647" s="72" t="s">
        <v>1750</v>
      </c>
      <c r="J1647" s="72" t="s">
        <v>3109</v>
      </c>
      <c r="K1647" s="72" t="s">
        <v>510</v>
      </c>
      <c r="W1647" s="213">
        <v>1647</v>
      </c>
      <c r="X1647" s="214">
        <v>10</v>
      </c>
    </row>
    <row r="1648" spans="1:24" ht="15" customHeight="1" x14ac:dyDescent="0.25">
      <c r="A1648" s="121" t="s">
        <v>3082</v>
      </c>
      <c r="B1648" s="122" t="s">
        <v>3116</v>
      </c>
      <c r="C1648" s="121">
        <v>0</v>
      </c>
      <c r="D1648" s="123" t="s">
        <v>172</v>
      </c>
      <c r="E1648" s="123" t="s">
        <v>3111</v>
      </c>
      <c r="F1648" s="123">
        <v>0.83699999999999997</v>
      </c>
      <c r="G1648" s="123" t="s">
        <v>3112</v>
      </c>
      <c r="H1648" s="123" t="s">
        <v>3113</v>
      </c>
      <c r="I1648" s="123" t="s">
        <v>3114</v>
      </c>
      <c r="J1648" s="123" t="s">
        <v>3115</v>
      </c>
      <c r="K1648" s="123" t="s">
        <v>510</v>
      </c>
      <c r="W1648" s="213">
        <v>1648</v>
      </c>
      <c r="X1648" s="214">
        <v>16</v>
      </c>
    </row>
    <row r="1649" spans="1:24" x14ac:dyDescent="0.25">
      <c r="A1649" s="124" t="s">
        <v>3082</v>
      </c>
      <c r="B1649" s="125" t="s">
        <v>3122</v>
      </c>
      <c r="C1649" s="124">
        <v>0</v>
      </c>
      <c r="D1649" s="126" t="s">
        <v>1220</v>
      </c>
      <c r="E1649" s="126" t="s">
        <v>3117</v>
      </c>
      <c r="F1649" s="126">
        <v>0.86</v>
      </c>
      <c r="G1649" s="126" t="s">
        <v>3118</v>
      </c>
      <c r="H1649" s="126" t="s">
        <v>3119</v>
      </c>
      <c r="I1649" s="126" t="s">
        <v>3120</v>
      </c>
      <c r="J1649" s="126" t="s">
        <v>3121</v>
      </c>
      <c r="K1649" s="126" t="s">
        <v>510</v>
      </c>
      <c r="W1649" s="213">
        <v>1649</v>
      </c>
      <c r="X1649" s="214">
        <v>16</v>
      </c>
    </row>
    <row r="1650" spans="1:24" ht="14.45" customHeight="1" x14ac:dyDescent="0.25">
      <c r="A1650" s="121" t="s">
        <v>3082</v>
      </c>
      <c r="B1650" s="140" t="s">
        <v>3123</v>
      </c>
      <c r="C1650" s="121">
        <v>0</v>
      </c>
      <c r="D1650" s="123" t="s">
        <v>3124</v>
      </c>
      <c r="E1650" s="123" t="s">
        <v>3125</v>
      </c>
      <c r="F1650" s="123">
        <v>0.85799999999999998</v>
      </c>
      <c r="G1650" s="123" t="s">
        <v>3126</v>
      </c>
      <c r="H1650" s="123" t="s">
        <v>3127</v>
      </c>
      <c r="I1650" s="123" t="s">
        <v>3128</v>
      </c>
      <c r="J1650" s="123" t="s">
        <v>3129</v>
      </c>
      <c r="K1650" s="123" t="s">
        <v>510</v>
      </c>
      <c r="W1650" s="213">
        <v>1650</v>
      </c>
      <c r="X1650" s="214">
        <v>16</v>
      </c>
    </row>
    <row r="1651" spans="1:24" x14ac:dyDescent="0.25">
      <c r="A1651" s="124" t="s">
        <v>3082</v>
      </c>
      <c r="B1651" s="125" t="s">
        <v>3135</v>
      </c>
      <c r="C1651" s="124">
        <v>0</v>
      </c>
      <c r="D1651" s="126" t="s">
        <v>2866</v>
      </c>
      <c r="E1651" s="126" t="s">
        <v>3130</v>
      </c>
      <c r="F1651" s="126">
        <v>0.88500000000000001</v>
      </c>
      <c r="G1651" s="126" t="s">
        <v>3131</v>
      </c>
      <c r="H1651" s="126" t="s">
        <v>3132</v>
      </c>
      <c r="I1651" s="126" t="s">
        <v>3133</v>
      </c>
      <c r="J1651" s="126" t="s">
        <v>3134</v>
      </c>
      <c r="K1651" s="126" t="s">
        <v>510</v>
      </c>
      <c r="W1651" s="213">
        <v>1651</v>
      </c>
      <c r="X1651" s="214">
        <v>16</v>
      </c>
    </row>
    <row r="1652" spans="1:24" x14ac:dyDescent="0.25">
      <c r="A1652" s="67" t="s">
        <v>1966</v>
      </c>
      <c r="B1652" s="69" t="s">
        <v>3141</v>
      </c>
      <c r="C1652" s="67">
        <v>0</v>
      </c>
      <c r="D1652" s="68" t="s">
        <v>2021</v>
      </c>
      <c r="E1652" s="68" t="s">
        <v>3136</v>
      </c>
      <c r="F1652" s="68">
        <v>0.96799999999999997</v>
      </c>
      <c r="G1652" s="68" t="s">
        <v>3137</v>
      </c>
      <c r="H1652" s="68" t="s">
        <v>3138</v>
      </c>
      <c r="I1652" s="68" t="s">
        <v>3139</v>
      </c>
      <c r="J1652" s="68" t="s">
        <v>3140</v>
      </c>
      <c r="K1652" s="68" t="s">
        <v>510</v>
      </c>
      <c r="W1652" s="213">
        <v>1652</v>
      </c>
      <c r="X1652" s="214">
        <v>10</v>
      </c>
    </row>
    <row r="1653" spans="1:24" x14ac:dyDescent="0.25">
      <c r="A1653" s="124" t="s">
        <v>3082</v>
      </c>
      <c r="B1653" s="188" t="s">
        <v>8084</v>
      </c>
      <c r="C1653" s="124">
        <v>0</v>
      </c>
      <c r="D1653" s="126" t="s">
        <v>822</v>
      </c>
      <c r="E1653" s="126" t="s">
        <v>3142</v>
      </c>
      <c r="F1653" s="126">
        <v>0.86899999999999999</v>
      </c>
      <c r="G1653" s="126" t="s">
        <v>3143</v>
      </c>
      <c r="H1653" s="126" t="s">
        <v>3144</v>
      </c>
      <c r="I1653" s="126" t="s">
        <v>3145</v>
      </c>
      <c r="J1653" s="126" t="s">
        <v>3146</v>
      </c>
      <c r="K1653" s="126" t="s">
        <v>510</v>
      </c>
      <c r="W1653" s="213">
        <v>1653</v>
      </c>
      <c r="X1653" s="214">
        <v>16</v>
      </c>
    </row>
    <row r="1654" spans="1:24" x14ac:dyDescent="0.25">
      <c r="A1654" s="121" t="s">
        <v>3082</v>
      </c>
      <c r="B1654" s="122" t="s">
        <v>7901</v>
      </c>
      <c r="C1654" s="121">
        <v>0</v>
      </c>
      <c r="D1654" s="123" t="s">
        <v>404</v>
      </c>
      <c r="E1654" s="123" t="s">
        <v>3147</v>
      </c>
      <c r="F1654" s="123">
        <v>0.89700000000000002</v>
      </c>
      <c r="G1654" s="123" t="s">
        <v>3148</v>
      </c>
      <c r="H1654" s="123" t="s">
        <v>3149</v>
      </c>
      <c r="I1654" s="123" t="s">
        <v>3150</v>
      </c>
      <c r="J1654" s="123" t="s">
        <v>2329</v>
      </c>
      <c r="K1654" s="123" t="s">
        <v>510</v>
      </c>
      <c r="W1654" s="213">
        <v>1654</v>
      </c>
      <c r="X1654" s="214">
        <v>16</v>
      </c>
    </row>
    <row r="1655" spans="1:24" x14ac:dyDescent="0.25">
      <c r="A1655" s="71" t="s">
        <v>1966</v>
      </c>
      <c r="B1655" s="73" t="s">
        <v>4233</v>
      </c>
      <c r="C1655" s="71">
        <v>0</v>
      </c>
      <c r="D1655" s="72" t="s">
        <v>274</v>
      </c>
      <c r="E1655" s="72" t="s">
        <v>4234</v>
      </c>
      <c r="F1655" s="72">
        <v>0.94099999999999995</v>
      </c>
      <c r="G1655" s="72" t="s">
        <v>4235</v>
      </c>
      <c r="H1655" s="72" t="s">
        <v>4236</v>
      </c>
      <c r="I1655" s="72" t="s">
        <v>4237</v>
      </c>
      <c r="J1655" s="72" t="s">
        <v>4238</v>
      </c>
      <c r="K1655" s="72" t="s">
        <v>510</v>
      </c>
      <c r="W1655" s="213">
        <v>1655</v>
      </c>
      <c r="X1655" s="214">
        <v>10</v>
      </c>
    </row>
    <row r="1656" spans="1:24" x14ac:dyDescent="0.25">
      <c r="A1656" s="67" t="s">
        <v>1966</v>
      </c>
      <c r="B1656" s="69" t="s">
        <v>3390</v>
      </c>
      <c r="C1656" s="67">
        <v>0</v>
      </c>
      <c r="D1656" s="68" t="s">
        <v>1799</v>
      </c>
      <c r="E1656" s="68" t="s">
        <v>3391</v>
      </c>
      <c r="F1656" s="68">
        <v>0.93200000000000005</v>
      </c>
      <c r="G1656" s="68" t="s">
        <v>3392</v>
      </c>
      <c r="H1656" s="68" t="s">
        <v>3393</v>
      </c>
      <c r="I1656" s="68" t="s">
        <v>3394</v>
      </c>
      <c r="J1656" s="68" t="s">
        <v>3395</v>
      </c>
      <c r="K1656" s="68" t="s">
        <v>510</v>
      </c>
      <c r="W1656" s="213">
        <v>1656</v>
      </c>
      <c r="X1656" s="214">
        <v>10</v>
      </c>
    </row>
    <row r="1657" spans="1:24" x14ac:dyDescent="0.25">
      <c r="A1657" s="124" t="s">
        <v>3082</v>
      </c>
      <c r="B1657" s="188" t="s">
        <v>8081</v>
      </c>
      <c r="C1657" s="124">
        <v>0</v>
      </c>
      <c r="D1657" s="126" t="s">
        <v>1745</v>
      </c>
      <c r="E1657" s="126" t="s">
        <v>3151</v>
      </c>
      <c r="F1657" s="126">
        <v>0.89100000000000001</v>
      </c>
      <c r="G1657" s="126" t="s">
        <v>3152</v>
      </c>
      <c r="H1657" s="126" t="s">
        <v>3153</v>
      </c>
      <c r="I1657" s="126" t="s">
        <v>3154</v>
      </c>
      <c r="J1657" s="126" t="s">
        <v>3155</v>
      </c>
      <c r="K1657" s="126" t="s">
        <v>510</v>
      </c>
      <c r="W1657" s="213">
        <v>1657</v>
      </c>
      <c r="X1657" s="214">
        <v>16</v>
      </c>
    </row>
    <row r="1658" spans="1:24" x14ac:dyDescent="0.25">
      <c r="A1658" s="121" t="s">
        <v>3082</v>
      </c>
      <c r="B1658" s="150" t="s">
        <v>7908</v>
      </c>
      <c r="C1658" s="121">
        <v>0</v>
      </c>
      <c r="D1658" s="123" t="s">
        <v>2297</v>
      </c>
      <c r="E1658" s="123" t="s">
        <v>3156</v>
      </c>
      <c r="F1658" s="123">
        <v>0.91800000000000004</v>
      </c>
      <c r="G1658" s="123" t="s">
        <v>3157</v>
      </c>
      <c r="H1658" s="123" t="s">
        <v>3158</v>
      </c>
      <c r="I1658" s="123" t="s">
        <v>3159</v>
      </c>
      <c r="J1658" s="123" t="s">
        <v>3160</v>
      </c>
      <c r="K1658" s="123" t="s">
        <v>510</v>
      </c>
      <c r="W1658" s="213">
        <v>1658</v>
      </c>
      <c r="X1658" s="214">
        <v>16</v>
      </c>
    </row>
    <row r="1659" spans="1:24" x14ac:dyDescent="0.25">
      <c r="A1659" s="124" t="s">
        <v>3082</v>
      </c>
      <c r="B1659" s="188" t="s">
        <v>9320</v>
      </c>
      <c r="C1659" s="124">
        <v>0</v>
      </c>
      <c r="D1659" s="126" t="s">
        <v>4252</v>
      </c>
      <c r="E1659" s="126" t="s">
        <v>5526</v>
      </c>
      <c r="F1659" s="126">
        <v>0.9</v>
      </c>
      <c r="G1659" s="126" t="s">
        <v>5527</v>
      </c>
      <c r="H1659" s="126" t="s">
        <v>5528</v>
      </c>
      <c r="I1659" s="126" t="s">
        <v>5529</v>
      </c>
      <c r="J1659" s="126" t="s">
        <v>3197</v>
      </c>
      <c r="K1659" s="126" t="s">
        <v>510</v>
      </c>
      <c r="W1659" s="213">
        <v>1659</v>
      </c>
      <c r="X1659" s="214">
        <v>16</v>
      </c>
    </row>
    <row r="1660" spans="1:24" x14ac:dyDescent="0.25">
      <c r="A1660" s="67" t="s">
        <v>1966</v>
      </c>
      <c r="B1660" s="69" t="s">
        <v>4227</v>
      </c>
      <c r="C1660" s="67">
        <v>0</v>
      </c>
      <c r="D1660" s="68" t="s">
        <v>345</v>
      </c>
      <c r="E1660" s="68" t="s">
        <v>4228</v>
      </c>
      <c r="F1660" s="68">
        <v>0.95899999999999996</v>
      </c>
      <c r="G1660" s="68" t="s">
        <v>4229</v>
      </c>
      <c r="H1660" s="68" t="s">
        <v>4230</v>
      </c>
      <c r="I1660" s="68" t="s">
        <v>4231</v>
      </c>
      <c r="J1660" s="68" t="s">
        <v>4232</v>
      </c>
      <c r="K1660" s="68" t="s">
        <v>510</v>
      </c>
      <c r="W1660" s="213">
        <v>1660</v>
      </c>
      <c r="X1660" s="214">
        <v>10</v>
      </c>
    </row>
    <row r="1661" spans="1:24" x14ac:dyDescent="0.25">
      <c r="A1661" s="124" t="s">
        <v>3082</v>
      </c>
      <c r="B1661" s="188" t="s">
        <v>8085</v>
      </c>
      <c r="C1661" s="124">
        <v>0</v>
      </c>
      <c r="D1661" s="126" t="s">
        <v>3161</v>
      </c>
      <c r="E1661" s="126" t="s">
        <v>3162</v>
      </c>
      <c r="F1661" s="126">
        <v>0.92500000000000004</v>
      </c>
      <c r="G1661" s="126" t="s">
        <v>3163</v>
      </c>
      <c r="H1661" s="126" t="s">
        <v>3164</v>
      </c>
      <c r="I1661" s="126" t="s">
        <v>3165</v>
      </c>
      <c r="J1661" s="126" t="s">
        <v>3166</v>
      </c>
      <c r="K1661" s="126" t="s">
        <v>510</v>
      </c>
      <c r="W1661" s="213">
        <v>1661</v>
      </c>
      <c r="X1661" s="214">
        <v>16</v>
      </c>
    </row>
    <row r="1662" spans="1:24" x14ac:dyDescent="0.25">
      <c r="A1662" s="67" t="s">
        <v>1966</v>
      </c>
      <c r="B1662" s="69" t="s">
        <v>3172</v>
      </c>
      <c r="C1662" s="67">
        <v>0</v>
      </c>
      <c r="D1662" s="68" t="s">
        <v>1686</v>
      </c>
      <c r="E1662" s="68" t="s">
        <v>3167</v>
      </c>
      <c r="F1662" s="68">
        <v>0.98699999999999999</v>
      </c>
      <c r="G1662" s="68" t="s">
        <v>3168</v>
      </c>
      <c r="H1662" s="68" t="s">
        <v>3169</v>
      </c>
      <c r="I1662" s="68" t="s">
        <v>3170</v>
      </c>
      <c r="J1662" s="68" t="s">
        <v>3171</v>
      </c>
      <c r="K1662" s="68" t="s">
        <v>510</v>
      </c>
      <c r="W1662" s="213">
        <v>1662</v>
      </c>
      <c r="X1662" s="214">
        <v>10</v>
      </c>
    </row>
    <row r="1663" spans="1:24" ht="14.45" customHeight="1" x14ac:dyDescent="0.25">
      <c r="A1663" s="112" t="s">
        <v>3173</v>
      </c>
      <c r="B1663" s="107" t="s">
        <v>3174</v>
      </c>
      <c r="C1663" s="106">
        <v>0</v>
      </c>
      <c r="D1663" s="105" t="s">
        <v>3175</v>
      </c>
      <c r="E1663" s="105" t="s">
        <v>3176</v>
      </c>
      <c r="F1663" s="105">
        <v>0.85</v>
      </c>
      <c r="G1663" s="105" t="s">
        <v>3177</v>
      </c>
      <c r="H1663" s="105" t="s">
        <v>3178</v>
      </c>
      <c r="I1663" s="105" t="s">
        <v>3179</v>
      </c>
      <c r="J1663" s="105" t="s">
        <v>3180</v>
      </c>
      <c r="K1663" s="105" t="s">
        <v>510</v>
      </c>
      <c r="W1663" s="213">
        <v>1663</v>
      </c>
      <c r="X1663" s="214">
        <v>13</v>
      </c>
    </row>
    <row r="1664" spans="1:24" x14ac:dyDescent="0.25">
      <c r="A1664" s="67" t="s">
        <v>1966</v>
      </c>
      <c r="B1664" s="69" t="s">
        <v>3186</v>
      </c>
      <c r="C1664" s="67">
        <v>0</v>
      </c>
      <c r="D1664" s="68" t="s">
        <v>2866</v>
      </c>
      <c r="E1664" s="68" t="s">
        <v>3181</v>
      </c>
      <c r="F1664" s="68">
        <v>0.96799999999999997</v>
      </c>
      <c r="G1664" s="68" t="s">
        <v>3182</v>
      </c>
      <c r="H1664" s="68" t="s">
        <v>3183</v>
      </c>
      <c r="I1664" s="68" t="s">
        <v>3184</v>
      </c>
      <c r="J1664" s="68" t="s">
        <v>3185</v>
      </c>
      <c r="K1664" s="68" t="s">
        <v>510</v>
      </c>
      <c r="W1664" s="213">
        <v>1664</v>
      </c>
      <c r="X1664" s="214">
        <v>10</v>
      </c>
    </row>
    <row r="1665" spans="1:24" x14ac:dyDescent="0.25">
      <c r="A1665" s="71" t="s">
        <v>1966</v>
      </c>
      <c r="B1665" s="73" t="s">
        <v>4239</v>
      </c>
      <c r="C1665" s="71">
        <v>0</v>
      </c>
      <c r="D1665" s="72" t="s">
        <v>226</v>
      </c>
      <c r="E1665" s="72" t="s">
        <v>4240</v>
      </c>
      <c r="F1665" s="72">
        <v>0.96099999999999997</v>
      </c>
      <c r="G1665" s="72" t="s">
        <v>4241</v>
      </c>
      <c r="H1665" s="72" t="s">
        <v>4242</v>
      </c>
      <c r="I1665" s="72" t="s">
        <v>4243</v>
      </c>
      <c r="J1665" s="72" t="s">
        <v>4244</v>
      </c>
      <c r="K1665" s="72" t="s">
        <v>510</v>
      </c>
      <c r="W1665" s="213">
        <v>1665</v>
      </c>
      <c r="X1665" s="214">
        <v>10</v>
      </c>
    </row>
    <row r="1666" spans="1:24" x14ac:dyDescent="0.25">
      <c r="A1666" s="121" t="s">
        <v>3082</v>
      </c>
      <c r="B1666" s="122" t="s">
        <v>3192</v>
      </c>
      <c r="C1666" s="121">
        <v>0</v>
      </c>
      <c r="D1666" s="123" t="s">
        <v>226</v>
      </c>
      <c r="E1666" s="123" t="s">
        <v>3187</v>
      </c>
      <c r="F1666" s="123">
        <v>0.94</v>
      </c>
      <c r="G1666" s="123" t="s">
        <v>3189</v>
      </c>
      <c r="H1666" s="123" t="s">
        <v>3188</v>
      </c>
      <c r="I1666" s="123" t="s">
        <v>3190</v>
      </c>
      <c r="J1666" s="123" t="s">
        <v>3191</v>
      </c>
      <c r="K1666" s="123" t="s">
        <v>510</v>
      </c>
      <c r="W1666" s="213">
        <v>1666</v>
      </c>
      <c r="X1666" s="214">
        <v>16</v>
      </c>
    </row>
    <row r="1667" spans="1:24" x14ac:dyDescent="0.25">
      <c r="A1667" s="124" t="s">
        <v>3082</v>
      </c>
      <c r="B1667" s="188" t="s">
        <v>8082</v>
      </c>
      <c r="C1667" s="124">
        <v>0</v>
      </c>
      <c r="D1667" s="126" t="s">
        <v>1745</v>
      </c>
      <c r="E1667" s="126" t="s">
        <v>3193</v>
      </c>
      <c r="F1667" s="126">
        <v>0.92700000000000005</v>
      </c>
      <c r="G1667" s="126" t="s">
        <v>3194</v>
      </c>
      <c r="H1667" s="126" t="s">
        <v>3195</v>
      </c>
      <c r="I1667" s="126" t="s">
        <v>3196</v>
      </c>
      <c r="J1667" s="126" t="s">
        <v>3197</v>
      </c>
      <c r="K1667" s="126" t="s">
        <v>510</v>
      </c>
      <c r="W1667" s="213">
        <v>1667</v>
      </c>
      <c r="X1667" s="214">
        <v>16</v>
      </c>
    </row>
    <row r="1668" spans="1:24" x14ac:dyDescent="0.25">
      <c r="A1668" s="121" t="s">
        <v>3082</v>
      </c>
      <c r="B1668" s="150" t="s">
        <v>7909</v>
      </c>
      <c r="C1668" s="121">
        <v>0</v>
      </c>
      <c r="D1668" s="123" t="s">
        <v>7902</v>
      </c>
      <c r="E1668" s="123" t="s">
        <v>7875</v>
      </c>
      <c r="F1668" s="123">
        <v>0.94599999999999995</v>
      </c>
      <c r="G1668" s="123" t="s">
        <v>6414</v>
      </c>
      <c r="H1668" s="123" t="s">
        <v>7876</v>
      </c>
      <c r="I1668" s="123" t="s">
        <v>7877</v>
      </c>
      <c r="J1668" s="123" t="s">
        <v>7878</v>
      </c>
      <c r="K1668" s="123" t="s">
        <v>510</v>
      </c>
      <c r="W1668" s="213">
        <v>1668</v>
      </c>
      <c r="X1668" s="214">
        <v>16</v>
      </c>
    </row>
    <row r="1669" spans="1:24" x14ac:dyDescent="0.25">
      <c r="A1669" s="71" t="s">
        <v>1966</v>
      </c>
      <c r="B1669" s="73" t="s">
        <v>4245</v>
      </c>
      <c r="C1669" s="71">
        <v>0</v>
      </c>
      <c r="D1669" s="72" t="s">
        <v>129</v>
      </c>
      <c r="E1669" s="72" t="s">
        <v>4246</v>
      </c>
      <c r="F1669" s="72">
        <v>0.97299999999999998</v>
      </c>
      <c r="G1669" s="72" t="s">
        <v>4247</v>
      </c>
      <c r="H1669" s="72" t="s">
        <v>4248</v>
      </c>
      <c r="I1669" s="72" t="s">
        <v>4249</v>
      </c>
      <c r="J1669" s="72" t="s">
        <v>4250</v>
      </c>
      <c r="K1669" s="72" t="s">
        <v>510</v>
      </c>
      <c r="W1669" s="213">
        <v>1669</v>
      </c>
      <c r="X1669" s="214">
        <v>10</v>
      </c>
    </row>
    <row r="1670" spans="1:24" ht="15" customHeight="1" x14ac:dyDescent="0.25">
      <c r="A1670" s="67" t="s">
        <v>1966</v>
      </c>
      <c r="B1670" s="69" t="s">
        <v>3204</v>
      </c>
      <c r="C1670" s="67">
        <v>0</v>
      </c>
      <c r="D1670" s="68" t="s">
        <v>3198</v>
      </c>
      <c r="E1670" s="68" t="s">
        <v>3199</v>
      </c>
      <c r="F1670" s="68">
        <v>0.99199999999999999</v>
      </c>
      <c r="G1670" s="68" t="s">
        <v>3200</v>
      </c>
      <c r="H1670" s="68" t="s">
        <v>3201</v>
      </c>
      <c r="I1670" s="68" t="s">
        <v>3202</v>
      </c>
      <c r="J1670" s="68" t="s">
        <v>3203</v>
      </c>
      <c r="K1670" s="68" t="s">
        <v>510</v>
      </c>
      <c r="W1670" s="213">
        <v>1670</v>
      </c>
      <c r="X1670" s="214">
        <v>10</v>
      </c>
    </row>
    <row r="1671" spans="1:24" x14ac:dyDescent="0.25">
      <c r="A1671" s="124" t="s">
        <v>3082</v>
      </c>
      <c r="B1671" s="134" t="s">
        <v>3205</v>
      </c>
      <c r="C1671" s="124">
        <v>0</v>
      </c>
      <c r="D1671" s="126" t="s">
        <v>3206</v>
      </c>
      <c r="E1671" s="126" t="s">
        <v>3207</v>
      </c>
      <c r="F1671" s="126">
        <v>0.94</v>
      </c>
      <c r="G1671" s="126" t="s">
        <v>3208</v>
      </c>
      <c r="H1671" s="126" t="s">
        <v>3209</v>
      </c>
      <c r="I1671" s="126" t="s">
        <v>3210</v>
      </c>
      <c r="J1671" s="126" t="s">
        <v>3211</v>
      </c>
      <c r="K1671" s="126" t="s">
        <v>510</v>
      </c>
      <c r="W1671" s="213">
        <v>1671</v>
      </c>
      <c r="X1671" s="214">
        <v>16</v>
      </c>
    </row>
    <row r="1672" spans="1:24" ht="15" customHeight="1" x14ac:dyDescent="0.25">
      <c r="A1672" s="67" t="s">
        <v>1966</v>
      </c>
      <c r="B1672" s="69" t="s">
        <v>3217</v>
      </c>
      <c r="C1672" s="67">
        <v>0</v>
      </c>
      <c r="D1672" s="68" t="s">
        <v>1154</v>
      </c>
      <c r="E1672" s="68" t="s">
        <v>3212</v>
      </c>
      <c r="F1672" s="68">
        <v>0.99099999999999999</v>
      </c>
      <c r="G1672" s="68" t="s">
        <v>3213</v>
      </c>
      <c r="H1672" s="68" t="s">
        <v>3214</v>
      </c>
      <c r="I1672" s="68" t="s">
        <v>3215</v>
      </c>
      <c r="J1672" s="68" t="s">
        <v>3216</v>
      </c>
      <c r="K1672" s="68" t="s">
        <v>510</v>
      </c>
      <c r="W1672" s="213">
        <v>1672</v>
      </c>
      <c r="X1672" s="214">
        <v>10</v>
      </c>
    </row>
    <row r="1673" spans="1:24" ht="15" customHeight="1" x14ac:dyDescent="0.25">
      <c r="A1673" s="124" t="s">
        <v>3082</v>
      </c>
      <c r="B1673" s="188" t="s">
        <v>8083</v>
      </c>
      <c r="C1673" s="124">
        <v>0</v>
      </c>
      <c r="D1673" s="126" t="s">
        <v>384</v>
      </c>
      <c r="E1673" s="126" t="s">
        <v>3218</v>
      </c>
      <c r="F1673" s="126">
        <v>0.98199999999999998</v>
      </c>
      <c r="G1673" s="126" t="s">
        <v>3219</v>
      </c>
      <c r="H1673" s="126" t="s">
        <v>3220</v>
      </c>
      <c r="I1673" s="126" t="s">
        <v>3221</v>
      </c>
      <c r="J1673" s="126" t="s">
        <v>3222</v>
      </c>
      <c r="K1673" s="126" t="s">
        <v>510</v>
      </c>
      <c r="W1673" s="213">
        <v>1673</v>
      </c>
      <c r="X1673" s="214">
        <v>16</v>
      </c>
    </row>
    <row r="1674" spans="1:24" x14ac:dyDescent="0.25">
      <c r="A1674" s="1" t="s">
        <v>0</v>
      </c>
    </row>
  </sheetData>
  <pageMargins left="0.25" right="0.25" top="0.75" bottom="0.75" header="0.3" footer="0.3"/>
  <pageSetup scale="84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C1DB7-31C5-4F7A-975E-CC3C12DF1005}">
  <sheetPr codeName="Sheet2"/>
  <dimension ref="A1:AA17"/>
  <sheetViews>
    <sheetView workbookViewId="0">
      <selection activeCell="F10" sqref="F10"/>
    </sheetView>
  </sheetViews>
  <sheetFormatPr defaultRowHeight="15" x14ac:dyDescent="0.25"/>
  <cols>
    <col min="1" max="1" width="4.42578125" style="1" customWidth="1"/>
    <col min="2" max="2" width="15.7109375" style="1" customWidth="1"/>
    <col min="3" max="4" width="15.7109375" customWidth="1"/>
    <col min="27" max="27" width="0" style="1" hidden="1" customWidth="1"/>
  </cols>
  <sheetData>
    <row r="1" spans="1:27" x14ac:dyDescent="0.25">
      <c r="A1" s="206" t="s">
        <v>0</v>
      </c>
      <c r="B1" s="205" t="s">
        <v>232</v>
      </c>
      <c r="C1" s="207" t="s">
        <v>9328</v>
      </c>
      <c r="D1" s="208" t="s">
        <v>9329</v>
      </c>
      <c r="AA1" s="203" t="s">
        <v>9332</v>
      </c>
    </row>
    <row r="2" spans="1:27" x14ac:dyDescent="0.25">
      <c r="A2" s="167" t="s">
        <v>1</v>
      </c>
      <c r="B2" s="151" t="s">
        <v>8029</v>
      </c>
      <c r="C2" s="152" t="s">
        <v>8044</v>
      </c>
      <c r="D2" s="168" t="s">
        <v>8045</v>
      </c>
      <c r="AA2" s="214">
        <v>1</v>
      </c>
    </row>
    <row r="3" spans="1:27" x14ac:dyDescent="0.25">
      <c r="A3" s="167" t="s">
        <v>9</v>
      </c>
      <c r="B3" s="151" t="s">
        <v>8030</v>
      </c>
      <c r="C3" s="153" t="s">
        <v>8046</v>
      </c>
      <c r="D3" s="169" t="s">
        <v>8047</v>
      </c>
      <c r="AA3" s="214">
        <v>2</v>
      </c>
    </row>
    <row r="4" spans="1:27" x14ac:dyDescent="0.25">
      <c r="A4" s="167" t="s">
        <v>24</v>
      </c>
      <c r="B4" s="151" t="s">
        <v>8031</v>
      </c>
      <c r="C4" s="154" t="s">
        <v>8048</v>
      </c>
      <c r="D4" s="170" t="s">
        <v>8049</v>
      </c>
      <c r="AA4" s="214">
        <v>3</v>
      </c>
    </row>
    <row r="5" spans="1:27" x14ac:dyDescent="0.25">
      <c r="A5" s="171" t="s">
        <v>17</v>
      </c>
      <c r="B5" s="151" t="s">
        <v>8032</v>
      </c>
      <c r="C5" s="155" t="s">
        <v>8050</v>
      </c>
      <c r="D5" s="172" t="s">
        <v>8051</v>
      </c>
      <c r="AA5" s="214">
        <v>4</v>
      </c>
    </row>
    <row r="6" spans="1:27" x14ac:dyDescent="0.25">
      <c r="A6" s="167" t="s">
        <v>71</v>
      </c>
      <c r="B6" s="151" t="s">
        <v>8033</v>
      </c>
      <c r="C6" s="156" t="s">
        <v>8052</v>
      </c>
      <c r="D6" s="173" t="s">
        <v>8053</v>
      </c>
      <c r="AA6" s="214">
        <v>5</v>
      </c>
    </row>
    <row r="7" spans="1:27" x14ac:dyDescent="0.25">
      <c r="A7" s="171" t="s">
        <v>108</v>
      </c>
      <c r="B7" s="151" t="s">
        <v>8034</v>
      </c>
      <c r="C7" s="157" t="s">
        <v>8054</v>
      </c>
      <c r="D7" s="174" t="s">
        <v>8055</v>
      </c>
      <c r="AA7" s="214">
        <v>6</v>
      </c>
    </row>
    <row r="8" spans="1:27" x14ac:dyDescent="0.25">
      <c r="A8" s="167" t="s">
        <v>1535</v>
      </c>
      <c r="B8" s="151" t="s">
        <v>8035</v>
      </c>
      <c r="C8" s="158" t="s">
        <v>8056</v>
      </c>
      <c r="D8" s="175" t="s">
        <v>8057</v>
      </c>
      <c r="AA8" s="214">
        <v>7</v>
      </c>
    </row>
    <row r="9" spans="1:27" x14ac:dyDescent="0.25">
      <c r="A9" s="171" t="s">
        <v>1485</v>
      </c>
      <c r="B9" s="151" t="s">
        <v>8036</v>
      </c>
      <c r="C9" s="159" t="s">
        <v>8058</v>
      </c>
      <c r="D9" s="176" t="s">
        <v>8059</v>
      </c>
      <c r="AA9" s="214">
        <v>8</v>
      </c>
    </row>
    <row r="10" spans="1:27" x14ac:dyDescent="0.25">
      <c r="A10" s="167" t="s">
        <v>1778</v>
      </c>
      <c r="B10" s="151" t="s">
        <v>8037</v>
      </c>
      <c r="C10" s="160" t="s">
        <v>8060</v>
      </c>
      <c r="D10" s="177" t="s">
        <v>8061</v>
      </c>
      <c r="AA10" s="214">
        <v>9</v>
      </c>
    </row>
    <row r="11" spans="1:27" x14ac:dyDescent="0.25">
      <c r="A11" s="171" t="s">
        <v>1966</v>
      </c>
      <c r="B11" s="151" t="s">
        <v>8038</v>
      </c>
      <c r="C11" s="161" t="s">
        <v>8062</v>
      </c>
      <c r="D11" s="178" t="s">
        <v>8063</v>
      </c>
      <c r="AA11" s="214">
        <v>10</v>
      </c>
    </row>
    <row r="12" spans="1:27" x14ac:dyDescent="0.25">
      <c r="A12" s="167" t="s">
        <v>1993</v>
      </c>
      <c r="B12" s="151" t="s">
        <v>8039</v>
      </c>
      <c r="C12" s="162" t="s">
        <v>8064</v>
      </c>
      <c r="D12" s="179" t="s">
        <v>8065</v>
      </c>
      <c r="AA12" s="214">
        <v>11</v>
      </c>
    </row>
    <row r="13" spans="1:27" x14ac:dyDescent="0.25">
      <c r="A13" s="167" t="s">
        <v>2136</v>
      </c>
      <c r="B13" s="151" t="s">
        <v>8040</v>
      </c>
      <c r="C13" s="163" t="s">
        <v>8066</v>
      </c>
      <c r="D13" s="180" t="s">
        <v>8067</v>
      </c>
      <c r="AA13" s="214">
        <v>12</v>
      </c>
    </row>
    <row r="14" spans="1:27" x14ac:dyDescent="0.25">
      <c r="A14" s="167" t="s">
        <v>0</v>
      </c>
      <c r="B14" s="151" t="s">
        <v>8041</v>
      </c>
      <c r="C14" s="164" t="s">
        <v>8068</v>
      </c>
      <c r="D14" s="181" t="s">
        <v>8069</v>
      </c>
      <c r="AA14" s="214">
        <v>13</v>
      </c>
    </row>
    <row r="15" spans="1:27" x14ac:dyDescent="0.25">
      <c r="A15" s="171" t="s">
        <v>2240</v>
      </c>
      <c r="B15" s="151" t="s">
        <v>8042</v>
      </c>
      <c r="C15" s="165" t="s">
        <v>8070</v>
      </c>
      <c r="D15" s="182" t="s">
        <v>8071</v>
      </c>
      <c r="AA15" s="214">
        <v>14</v>
      </c>
    </row>
    <row r="16" spans="1:27" x14ac:dyDescent="0.25">
      <c r="A16" s="171" t="s">
        <v>2763</v>
      </c>
      <c r="B16" s="151" t="s">
        <v>8043</v>
      </c>
      <c r="C16" s="166" t="s">
        <v>8072</v>
      </c>
      <c r="D16" s="183" t="s">
        <v>8073</v>
      </c>
      <c r="AA16" s="214">
        <v>15</v>
      </c>
    </row>
    <row r="17" spans="1:27" ht="15.75" thickBot="1" x14ac:dyDescent="0.3">
      <c r="A17" s="184" t="s">
        <v>3082</v>
      </c>
      <c r="B17" s="185" t="s">
        <v>9333</v>
      </c>
      <c r="C17" s="186" t="s">
        <v>8074</v>
      </c>
      <c r="D17" s="187" t="s">
        <v>8075</v>
      </c>
      <c r="AA17" s="214">
        <v>16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28E2A-159C-45AF-A82A-EB7D59C0DCC8}">
  <sheetPr codeName="Sheet1"/>
  <dimension ref="A1:AA362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8.85546875" style="1"/>
    <col min="3" max="3" width="13.7109375" style="1" customWidth="1"/>
    <col min="4" max="4" width="18.5703125" style="234" customWidth="1"/>
    <col min="5" max="5" width="14.5703125" style="1" customWidth="1"/>
    <col min="6" max="6" width="8.85546875" customWidth="1"/>
    <col min="7" max="7" width="8.7109375" customWidth="1"/>
    <col min="8" max="8" width="8.85546875" style="234" customWidth="1"/>
    <col min="11" max="11" width="8.85546875" style="228"/>
    <col min="12" max="13" width="8.85546875" style="226"/>
    <col min="27" max="27" width="9.140625" style="204" hidden="1" customWidth="1"/>
  </cols>
  <sheetData>
    <row r="1" spans="1:27" s="217" customFormat="1" x14ac:dyDescent="0.25">
      <c r="A1" s="216" t="s">
        <v>0</v>
      </c>
      <c r="B1" s="218"/>
      <c r="C1" s="235" t="s">
        <v>9582</v>
      </c>
      <c r="D1" s="225" t="s">
        <v>9576</v>
      </c>
      <c r="E1" s="219" t="s">
        <v>9577</v>
      </c>
      <c r="F1" s="219"/>
      <c r="H1" s="225" t="s">
        <v>9581</v>
      </c>
      <c r="K1" s="227" t="s">
        <v>9578</v>
      </c>
      <c r="L1" s="225" t="s">
        <v>9579</v>
      </c>
      <c r="M1" s="225" t="s">
        <v>9580</v>
      </c>
      <c r="AA1" s="219" t="s">
        <v>9607</v>
      </c>
    </row>
    <row r="2" spans="1:27" s="220" customFormat="1" x14ac:dyDescent="0.25">
      <c r="A2" s="236"/>
      <c r="B2" s="231" t="s">
        <v>9575</v>
      </c>
      <c r="C2" s="223" t="s">
        <v>9608</v>
      </c>
      <c r="D2" s="238">
        <f>IF($C$2="","", IFERROR( INDEX('Sorting Data'!$E$2:$E$1700, MATCH($C$2,'Sorting Data'!$P$2:$P$1700,0) ), "" ))</f>
        <v>1</v>
      </c>
      <c r="E2" s="224">
        <f>IF($C$2="","", IFERROR( INDEX('Sorting Data'!$F$2:$F$1700, MATCH($C$2,'Sorting Data'!$P$2:$P$1700,0) ), "" ))</f>
        <v>1.7000000000000001E-2</v>
      </c>
      <c r="F2" s="222"/>
      <c r="G2" s="222"/>
      <c r="H2" s="232">
        <f>IF( OR(D2="",E2=""), "", D2*(1+E2) )</f>
        <v>1.0169999999999999</v>
      </c>
      <c r="I2" s="222"/>
      <c r="J2" s="222"/>
      <c r="K2" s="229">
        <v>0</v>
      </c>
      <c r="L2" s="230">
        <f>IF($D$2="","", ($D$2*(1-$E$2^2)/(1+$E$2*COS(RADIANS(K2)))) * COS(RADIANS(K2)) )</f>
        <v>0.9830000000000001</v>
      </c>
      <c r="M2" s="230">
        <f>IF($D$2="","", ($D$2*(1-$E$2^2)/(1+$E$2*COS(RADIANS(K2)))) * SIN(RADIANS(K2)) )</f>
        <v>0</v>
      </c>
      <c r="AA2" s="212" t="str" cm="1">
        <f t="array" ref="AA2:AA23">_xlfn._xlws.FILTER('Sorting Data'!$P$2:$P$1700,
        'Sorting Data'!$P$2:$P$1700&lt;&gt;"")</f>
        <v>Mercury ☿</v>
      </c>
    </row>
    <row r="3" spans="1:27" x14ac:dyDescent="0.25">
      <c r="A3" s="237"/>
      <c r="B3" s="221"/>
      <c r="C3" s="215"/>
      <c r="D3" s="233"/>
      <c r="E3" s="215"/>
      <c r="F3" s="221"/>
      <c r="G3" s="221"/>
      <c r="H3" s="233"/>
      <c r="I3" s="221"/>
      <c r="J3" s="221"/>
      <c r="K3" s="229">
        <f>K2+1</f>
        <v>1</v>
      </c>
      <c r="L3" s="230">
        <f t="shared" ref="L3:L66" si="0">IF($D$2="","", ($D$2*(1-$E$2^2)/(1+$E$2*COS(RADIANS(K3)))) * COS(RADIANS(K3)) )</f>
        <v>0.98285278658561481</v>
      </c>
      <c r="M3" s="230">
        <f t="shared" ref="M3:M66" si="1">IF($D$2="","", ($D$2*(1-$E$2^2)/(1+$E$2*COS(RADIANS(K3)))) * SIN(RADIANS(K3)) )</f>
        <v>1.7155759204731488E-2</v>
      </c>
      <c r="AA3" s="212" t="str">
        <v>Venus ♀</v>
      </c>
    </row>
    <row r="4" spans="1:27" x14ac:dyDescent="0.25">
      <c r="A4" s="237"/>
      <c r="B4" s="221"/>
      <c r="C4" s="215"/>
      <c r="D4" s="233"/>
      <c r="E4" s="215"/>
      <c r="F4" s="221"/>
      <c r="G4" s="221"/>
      <c r="H4" s="233"/>
      <c r="I4" s="221"/>
      <c r="J4" s="221"/>
      <c r="K4" s="229">
        <f t="shared" ref="K4:K67" si="2">K3+1</f>
        <v>2</v>
      </c>
      <c r="L4" s="230">
        <f t="shared" si="0"/>
        <v>0.98241118668835337</v>
      </c>
      <c r="M4" s="230">
        <f t="shared" si="1"/>
        <v>3.430655459645833E-2</v>
      </c>
      <c r="AA4" s="212" t="str">
        <v>Earth ⊕</v>
      </c>
    </row>
    <row r="5" spans="1:27" x14ac:dyDescent="0.25">
      <c r="A5" s="237"/>
      <c r="B5" s="221"/>
      <c r="C5" s="215"/>
      <c r="D5" s="233"/>
      <c r="E5" s="215"/>
      <c r="F5" s="221"/>
      <c r="G5" s="221"/>
      <c r="H5" s="233"/>
      <c r="I5" s="221"/>
      <c r="J5" s="221"/>
      <c r="K5" s="229">
        <f t="shared" si="2"/>
        <v>3</v>
      </c>
      <c r="L5" s="230">
        <f t="shared" si="0"/>
        <v>0.98167532133874424</v>
      </c>
      <c r="M5" s="230">
        <f t="shared" si="1"/>
        <v>5.1447423568329459E-2</v>
      </c>
      <c r="AA5" s="212" t="str">
        <v>Mars ♂</v>
      </c>
    </row>
    <row r="6" spans="1:27" x14ac:dyDescent="0.25">
      <c r="A6" s="237"/>
      <c r="B6" s="221"/>
      <c r="C6" s="215"/>
      <c r="D6" s="233"/>
      <c r="E6" s="215"/>
      <c r="F6" s="221"/>
      <c r="G6" s="221"/>
      <c r="H6" s="233"/>
      <c r="I6" s="221"/>
      <c r="J6" s="221"/>
      <c r="K6" s="229">
        <f t="shared" si="2"/>
        <v>4</v>
      </c>
      <c r="L6" s="230">
        <f t="shared" si="0"/>
        <v>0.98064539223048386</v>
      </c>
      <c r="M6" s="230">
        <f t="shared" si="1"/>
        <v>6.8573405925771061E-2</v>
      </c>
      <c r="AA6" s="212" t="str">
        <v>Vesta ⚶</v>
      </c>
    </row>
    <row r="7" spans="1:27" x14ac:dyDescent="0.25">
      <c r="A7" s="237"/>
      <c r="B7" s="221"/>
      <c r="C7" s="215"/>
      <c r="D7" s="233"/>
      <c r="E7" s="215"/>
      <c r="F7" s="221"/>
      <c r="G7" s="221"/>
      <c r="H7" s="233"/>
      <c r="I7" s="221"/>
      <c r="J7" s="221"/>
      <c r="K7" s="229">
        <f t="shared" si="2"/>
        <v>5</v>
      </c>
      <c r="L7" s="230">
        <f t="shared" si="0"/>
        <v>0.97932168168464784</v>
      </c>
      <c r="M7" s="230">
        <f t="shared" si="1"/>
        <v>8.5679545092550199E-2</v>
      </c>
      <c r="AA7" s="212" t="str">
        <v>Juno ⚵</v>
      </c>
    </row>
    <row r="8" spans="1:27" x14ac:dyDescent="0.25">
      <c r="A8" s="237"/>
      <c r="B8" s="221"/>
      <c r="C8" s="215"/>
      <c r="D8" s="233"/>
      <c r="E8" s="215"/>
      <c r="F8" s="221"/>
      <c r="G8" s="221"/>
      <c r="H8" s="233"/>
      <c r="I8" s="221"/>
      <c r="J8" s="221"/>
      <c r="K8" s="229">
        <f t="shared" si="2"/>
        <v>6</v>
      </c>
      <c r="L8" s="230">
        <f t="shared" si="0"/>
        <v>0.97770455259956612</v>
      </c>
      <c r="M8" s="230">
        <f t="shared" si="1"/>
        <v>0.10276088931674776</v>
      </c>
      <c r="AA8" s="212" t="str">
        <v>Ceres ⚳</v>
      </c>
    </row>
    <row r="9" spans="1:27" x14ac:dyDescent="0.25">
      <c r="A9" s="237"/>
      <c r="B9" s="221"/>
      <c r="C9" s="215"/>
      <c r="D9" s="233"/>
      <c r="E9" s="215"/>
      <c r="F9" s="221"/>
      <c r="G9" s="221"/>
      <c r="H9" s="233"/>
      <c r="I9" s="221"/>
      <c r="J9" s="221"/>
      <c r="K9" s="229">
        <f t="shared" si="2"/>
        <v>7</v>
      </c>
      <c r="L9" s="230">
        <f t="shared" si="0"/>
        <v>0.97579444838633755</v>
      </c>
      <c r="M9" s="230">
        <f t="shared" si="1"/>
        <v>0.11981249287660846</v>
      </c>
      <c r="AA9" s="212" t="str">
        <v>Pallas ⚴</v>
      </c>
    </row>
    <row r="10" spans="1:27" x14ac:dyDescent="0.25">
      <c r="A10" s="237"/>
      <c r="B10" s="221"/>
      <c r="C10" s="215"/>
      <c r="D10" s="233"/>
      <c r="E10" s="215"/>
      <c r="F10" s="221"/>
      <c r="G10" s="221"/>
      <c r="H10" s="233"/>
      <c r="I10" s="221"/>
      <c r="J10" s="221"/>
      <c r="K10" s="229">
        <f t="shared" si="2"/>
        <v>8</v>
      </c>
      <c r="L10" s="230">
        <f t="shared" si="0"/>
        <v>0.97359189288995618</v>
      </c>
      <c r="M10" s="230">
        <f t="shared" si="1"/>
        <v>0.13682941728623571</v>
      </c>
      <c r="AA10" s="212" t="str">
        <v>Hygiea ⚕</v>
      </c>
    </row>
    <row r="11" spans="1:27" x14ac:dyDescent="0.25">
      <c r="A11" s="237"/>
      <c r="B11" s="221"/>
      <c r="C11" s="215"/>
      <c r="D11" s="233"/>
      <c r="E11" s="215"/>
      <c r="F11" s="221"/>
      <c r="G11" s="221"/>
      <c r="H11" s="233"/>
      <c r="I11" s="221"/>
      <c r="J11" s="221"/>
      <c r="K11" s="229">
        <f t="shared" si="2"/>
        <v>9</v>
      </c>
      <c r="L11" s="230">
        <f t="shared" si="0"/>
        <v>0.97109749029601389</v>
      </c>
      <c r="M11" s="230">
        <f t="shared" si="1"/>
        <v>0.15380673250109597</v>
      </c>
      <c r="AA11" s="212" t="str">
        <v>Jupiter ♃</v>
      </c>
    </row>
    <row r="12" spans="1:27" x14ac:dyDescent="0.25">
      <c r="A12" s="237"/>
      <c r="B12" s="221"/>
      <c r="C12" s="215"/>
      <c r="D12" s="233"/>
      <c r="E12" s="215"/>
      <c r="F12" s="221"/>
      <c r="G12" s="221"/>
      <c r="H12" s="233"/>
      <c r="I12" s="221"/>
      <c r="J12" s="221"/>
      <c r="K12" s="229">
        <f t="shared" si="2"/>
        <v>10</v>
      </c>
      <c r="L12" s="230">
        <f t="shared" si="0"/>
        <v>0.96831192502294239</v>
      </c>
      <c r="M12" s="230">
        <f t="shared" si="1"/>
        <v>0.17073951812329694</v>
      </c>
      <c r="AA12" s="212" t="str">
        <v>Saturn ♄</v>
      </c>
    </row>
    <row r="13" spans="1:27" x14ac:dyDescent="0.25">
      <c r="A13" s="237"/>
      <c r="B13" s="221"/>
      <c r="C13" s="215"/>
      <c r="D13" s="233"/>
      <c r="E13" s="215"/>
      <c r="F13" s="221"/>
      <c r="G13" s="221"/>
      <c r="H13" s="233"/>
      <c r="I13" s="221"/>
      <c r="J13" s="221"/>
      <c r="K13" s="229">
        <f t="shared" si="2"/>
        <v>11</v>
      </c>
      <c r="L13" s="230">
        <f t="shared" si="0"/>
        <v>0.96523596159973934</v>
      </c>
      <c r="M13" s="230">
        <f t="shared" si="1"/>
        <v>0.18762286460660027</v>
      </c>
      <c r="AA13" s="212" t="str">
        <v>Chiron ⚷</v>
      </c>
    </row>
    <row r="14" spans="1:27" x14ac:dyDescent="0.25">
      <c r="A14" s="237"/>
      <c r="B14" s="221"/>
      <c r="C14" s="215"/>
      <c r="D14" s="233"/>
      <c r="E14" s="215"/>
      <c r="F14" s="221"/>
      <c r="G14" s="221"/>
      <c r="H14" s="233"/>
      <c r="I14" s="221"/>
      <c r="J14" s="221"/>
      <c r="K14" s="229">
        <f t="shared" si="2"/>
        <v>12</v>
      </c>
      <c r="L14" s="230">
        <f t="shared" si="0"/>
        <v>0.96187044452913373</v>
      </c>
      <c r="M14" s="230">
        <f t="shared" si="1"/>
        <v>0.20445187446112842</v>
      </c>
      <c r="AA14" s="212" t="str">
        <v>Uranus ♅</v>
      </c>
    </row>
    <row r="15" spans="1:27" x14ac:dyDescent="0.25">
      <c r="A15" s="237"/>
      <c r="B15" s="221"/>
      <c r="C15" s="215"/>
      <c r="D15" s="233"/>
      <c r="E15" s="215"/>
      <c r="F15" s="221"/>
      <c r="G15" s="221"/>
      <c r="H15" s="233"/>
      <c r="I15" s="221"/>
      <c r="J15" s="221"/>
      <c r="K15" s="229">
        <f t="shared" si="2"/>
        <v>13</v>
      </c>
      <c r="L15" s="230">
        <f t="shared" si="0"/>
        <v>0.95821629813612852</v>
      </c>
      <c r="M15" s="230">
        <f t="shared" si="1"/>
        <v>0.22122166345772126</v>
      </c>
      <c r="AA15" s="212" t="str">
        <v>Neptune ♆</v>
      </c>
    </row>
    <row r="16" spans="1:27" x14ac:dyDescent="0.25">
      <c r="A16" s="237"/>
      <c r="B16" s="221"/>
      <c r="C16" s="215"/>
      <c r="D16" s="233"/>
      <c r="E16" s="215"/>
      <c r="F16" s="221"/>
      <c r="G16" s="221"/>
      <c r="H16" s="233"/>
      <c r="I16" s="221"/>
      <c r="J16" s="221"/>
      <c r="K16" s="229">
        <f t="shared" si="2"/>
        <v>14</v>
      </c>
      <c r="L16" s="230">
        <f t="shared" si="0"/>
        <v>0.95427452640185273</v>
      </c>
      <c r="M16" s="230">
        <f t="shared" si="1"/>
        <v>0.23792736183189606</v>
      </c>
      <c r="AA16" s="239" t="str">
        <v>Orcus 🝿</v>
      </c>
    </row>
    <row r="17" spans="1:27" x14ac:dyDescent="0.25">
      <c r="A17" s="237"/>
      <c r="B17" s="221"/>
      <c r="C17" s="215"/>
      <c r="D17" s="233"/>
      <c r="E17" s="215"/>
      <c r="F17" s="221"/>
      <c r="G17" s="221"/>
      <c r="H17" s="233"/>
      <c r="I17" s="221"/>
      <c r="J17" s="221"/>
      <c r="K17" s="229">
        <f t="shared" si="2"/>
        <v>15</v>
      </c>
      <c r="L17" s="230">
        <f t="shared" si="0"/>
        <v>0.95004621278265766</v>
      </c>
      <c r="M17" s="230">
        <f t="shared" si="1"/>
        <v>0.25456411548735963</v>
      </c>
      <c r="AA17" s="212" t="str">
        <v>Pluto ♇</v>
      </c>
    </row>
    <row r="18" spans="1:27" x14ac:dyDescent="0.25">
      <c r="A18" s="237"/>
      <c r="B18" s="221"/>
      <c r="C18" s="215"/>
      <c r="D18" s="233"/>
      <c r="E18" s="215"/>
      <c r="F18" s="221"/>
      <c r="G18" s="221"/>
      <c r="H18" s="233"/>
      <c r="I18" s="221"/>
      <c r="J18" s="221"/>
      <c r="K18" s="229">
        <f t="shared" si="2"/>
        <v>16</v>
      </c>
      <c r="L18" s="230">
        <f t="shared" si="0"/>
        <v>0.94553252001437726</v>
      </c>
      <c r="M18" s="230">
        <f t="shared" si="1"/>
        <v>0.27112708719902034</v>
      </c>
      <c r="AA18" s="239" t="str">
        <v>Haumea 🝻</v>
      </c>
    </row>
    <row r="19" spans="1:27" x14ac:dyDescent="0.25">
      <c r="A19" s="237"/>
      <c r="B19" s="221"/>
      <c r="C19" s="215"/>
      <c r="D19" s="233"/>
      <c r="E19" s="215"/>
      <c r="F19" s="221"/>
      <c r="G19" s="221"/>
      <c r="H19" s="233"/>
      <c r="I19" s="221"/>
      <c r="J19" s="221"/>
      <c r="K19" s="229">
        <f t="shared" si="2"/>
        <v>17</v>
      </c>
      <c r="L19" s="230">
        <f t="shared" si="0"/>
        <v>0.94073468990167164</v>
      </c>
      <c r="M19" s="230">
        <f t="shared" si="1"/>
        <v>0.28761145781543968</v>
      </c>
      <c r="AA19" s="239" t="str">
        <v>Quaoar 🝾</v>
      </c>
    </row>
    <row r="20" spans="1:27" x14ac:dyDescent="0.25">
      <c r="A20" s="237"/>
      <c r="B20" s="221"/>
      <c r="C20" s="215"/>
      <c r="D20" s="233"/>
      <c r="E20" s="215"/>
      <c r="F20" s="221"/>
      <c r="G20" s="221"/>
      <c r="H20" s="233"/>
      <c r="I20" s="221"/>
      <c r="J20" s="221"/>
      <c r="K20" s="229">
        <f t="shared" si="2"/>
        <v>18</v>
      </c>
      <c r="L20" s="230">
        <f t="shared" si="0"/>
        <v>0.93565404309236899</v>
      </c>
      <c r="M20" s="230">
        <f t="shared" si="1"/>
        <v>0.30401242746066315</v>
      </c>
      <c r="AA20" s="239" t="str">
        <v>Makemake 🝼</v>
      </c>
    </row>
    <row r="21" spans="1:27" x14ac:dyDescent="0.25">
      <c r="A21" s="237"/>
      <c r="B21" s="221"/>
      <c r="C21" s="215"/>
      <c r="D21" s="233"/>
      <c r="E21" s="215"/>
      <c r="F21" s="221"/>
      <c r="G21" s="221"/>
      <c r="H21" s="233"/>
      <c r="I21" s="221"/>
      <c r="J21" s="221"/>
      <c r="K21" s="229">
        <f t="shared" si="2"/>
        <v>19</v>
      </c>
      <c r="L21" s="230">
        <f t="shared" si="0"/>
        <v>0.93029197883670911</v>
      </c>
      <c r="M21" s="230">
        <f t="shared" si="1"/>
        <v>0.32032521673536385</v>
      </c>
      <c r="AA21" s="239" t="str">
        <v>Gonggong 🝽</v>
      </c>
    </row>
    <row r="22" spans="1:27" x14ac:dyDescent="0.25">
      <c r="A22" s="237"/>
      <c r="B22" s="221"/>
      <c r="C22" s="215"/>
      <c r="D22" s="233"/>
      <c r="E22" s="215"/>
      <c r="F22" s="221"/>
      <c r="G22" s="221"/>
      <c r="H22" s="233"/>
      <c r="I22" s="221"/>
      <c r="J22" s="221"/>
      <c r="K22" s="229">
        <f t="shared" si="2"/>
        <v>20</v>
      </c>
      <c r="L22" s="230">
        <f t="shared" si="0"/>
        <v>0.92464997473139676</v>
      </c>
      <c r="M22" s="230">
        <f t="shared" si="1"/>
        <v>0.33654506791722455</v>
      </c>
      <c r="AA22" s="239" t="str">
        <v>Eris ⯰</v>
      </c>
    </row>
    <row r="23" spans="1:27" x14ac:dyDescent="0.25">
      <c r="A23" s="237"/>
      <c r="B23" s="221"/>
      <c r="C23" s="215"/>
      <c r="D23" s="233"/>
      <c r="E23" s="215"/>
      <c r="F23" s="221"/>
      <c r="G23" s="221"/>
      <c r="H23" s="233"/>
      <c r="I23" s="221"/>
      <c r="J23" s="221"/>
      <c r="K23" s="229">
        <f t="shared" si="2"/>
        <v>21</v>
      </c>
      <c r="L23" s="230">
        <f t="shared" si="0"/>
        <v>0.91872958644835923</v>
      </c>
      <c r="M23" s="230">
        <f t="shared" si="1"/>
        <v>0.352667246160486</v>
      </c>
      <c r="AA23" s="239" t="str">
        <v>Sedna ⯲</v>
      </c>
    </row>
    <row r="24" spans="1:27" x14ac:dyDescent="0.25">
      <c r="A24" s="237"/>
      <c r="B24" s="221"/>
      <c r="C24" s="215"/>
      <c r="D24" s="233"/>
      <c r="E24" s="215"/>
      <c r="F24" s="221"/>
      <c r="G24" s="221"/>
      <c r="H24" s="233"/>
      <c r="I24" s="221"/>
      <c r="J24" s="221"/>
      <c r="K24" s="229">
        <f t="shared" si="2"/>
        <v>22</v>
      </c>
      <c r="L24" s="230">
        <f t="shared" si="0"/>
        <v>0.91253244744810025</v>
      </c>
      <c r="M24" s="230">
        <f t="shared" si="1"/>
        <v>0.36868704069457453</v>
      </c>
    </row>
    <row r="25" spans="1:27" x14ac:dyDescent="0.25">
      <c r="A25" s="237"/>
      <c r="B25" s="221"/>
      <c r="C25" s="215"/>
      <c r="D25" s="233"/>
      <c r="E25" s="215"/>
      <c r="F25" s="221"/>
      <c r="G25" s="221"/>
      <c r="H25" s="233"/>
      <c r="I25" s="221"/>
      <c r="J25" s="221"/>
      <c r="K25" s="229">
        <f t="shared" si="2"/>
        <v>23</v>
      </c>
      <c r="L25" s="230">
        <f t="shared" si="0"/>
        <v>0.90606026867754497</v>
      </c>
      <c r="M25" s="230">
        <f t="shared" si="1"/>
        <v>0.38459976602172596</v>
      </c>
    </row>
    <row r="26" spans="1:27" x14ac:dyDescent="0.25">
      <c r="A26" s="237"/>
      <c r="B26" s="221"/>
      <c r="C26" s="215"/>
      <c r="D26" s="233"/>
      <c r="E26" s="215"/>
      <c r="F26" s="221"/>
      <c r="G26" s="221"/>
      <c r="H26" s="233"/>
      <c r="I26" s="221"/>
      <c r="J26" s="221"/>
      <c r="K26" s="229">
        <f t="shared" si="2"/>
        <v>24</v>
      </c>
      <c r="L26" s="230">
        <f t="shared" si="0"/>
        <v>0.89931483825225123</v>
      </c>
      <c r="M26" s="230">
        <f t="shared" si="1"/>
        <v>0.4004007631135087</v>
      </c>
    </row>
    <row r="27" spans="1:27" x14ac:dyDescent="0.25">
      <c r="A27" s="237"/>
      <c r="B27" s="221"/>
      <c r="C27" s="215"/>
      <c r="D27" s="233"/>
      <c r="E27" s="215"/>
      <c r="F27" s="221"/>
      <c r="G27" s="221"/>
      <c r="H27" s="233"/>
      <c r="I27" s="221"/>
      <c r="J27" s="221"/>
      <c r="K27" s="229">
        <f t="shared" si="2"/>
        <v>25</v>
      </c>
      <c r="L27" s="230">
        <f t="shared" si="0"/>
        <v>0.89229802112287837</v>
      </c>
      <c r="M27" s="230">
        <f t="shared" si="1"/>
        <v>0.4160854006061489</v>
      </c>
    </row>
    <row r="28" spans="1:27" x14ac:dyDescent="0.25">
      <c r="A28" s="237"/>
      <c r="B28" s="221"/>
      <c r="C28" s="215"/>
      <c r="D28" s="233"/>
      <c r="E28" s="215"/>
      <c r="F28" s="221"/>
      <c r="G28" s="221"/>
      <c r="H28" s="233"/>
      <c r="I28" s="221"/>
      <c r="J28" s="221"/>
      <c r="K28" s="229">
        <f t="shared" si="2"/>
        <v>26</v>
      </c>
      <c r="L28" s="230">
        <f t="shared" si="0"/>
        <v>0.88501175872577931</v>
      </c>
      <c r="M28" s="230">
        <f t="shared" si="1"/>
        <v>0.43164907599454988</v>
      </c>
    </row>
    <row r="29" spans="1:27" x14ac:dyDescent="0.25">
      <c r="A29" s="237"/>
      <c r="B29" s="221"/>
      <c r="C29" s="215"/>
      <c r="D29" s="233"/>
      <c r="E29" s="215"/>
      <c r="F29" s="221"/>
      <c r="G29" s="221"/>
      <c r="H29" s="233"/>
      <c r="I29" s="221"/>
      <c r="J29" s="221"/>
      <c r="K29" s="229">
        <f t="shared" si="2"/>
        <v>27</v>
      </c>
      <c r="L29" s="230">
        <f t="shared" si="0"/>
        <v>0.87745806861759745</v>
      </c>
      <c r="M29" s="230">
        <f t="shared" si="1"/>
        <v>0.44708721682489461</v>
      </c>
    </row>
    <row r="30" spans="1:27" x14ac:dyDescent="0.25">
      <c r="A30" s="237"/>
      <c r="B30" s="221"/>
      <c r="C30" s="215"/>
      <c r="D30" s="233"/>
      <c r="E30" s="215"/>
      <c r="F30" s="221"/>
      <c r="G30" s="221"/>
      <c r="H30" s="233"/>
      <c r="I30" s="221"/>
      <c r="J30" s="221"/>
      <c r="K30" s="229">
        <f t="shared" si="2"/>
        <v>28</v>
      </c>
      <c r="L30" s="230">
        <f t="shared" si="0"/>
        <v>0.86963904409373294</v>
      </c>
      <c r="M30" s="230">
        <f t="shared" si="1"/>
        <v>0.46239528188571039</v>
      </c>
    </row>
    <row r="31" spans="1:27" x14ac:dyDescent="0.25">
      <c r="A31" s="237"/>
      <c r="B31" s="221"/>
      <c r="C31" s="215"/>
      <c r="D31" s="233"/>
      <c r="E31" s="215"/>
      <c r="F31" s="221"/>
      <c r="G31" s="221"/>
      <c r="H31" s="233"/>
      <c r="I31" s="221"/>
      <c r="J31" s="221"/>
      <c r="K31" s="229">
        <f t="shared" si="2"/>
        <v>29</v>
      </c>
      <c r="L31" s="230">
        <f t="shared" si="0"/>
        <v>0.86155685379054658</v>
      </c>
      <c r="M31" s="230">
        <f t="shared" si="1"/>
        <v>0.47756876239726986</v>
      </c>
    </row>
    <row r="32" spans="1:27" x14ac:dyDescent="0.25">
      <c r="A32" s="237"/>
      <c r="B32" s="221"/>
      <c r="C32" s="215"/>
      <c r="D32" s="233"/>
      <c r="E32" s="215"/>
      <c r="F32" s="221"/>
      <c r="G32" s="221"/>
      <c r="H32" s="233"/>
      <c r="I32" s="221"/>
      <c r="J32" s="221"/>
      <c r="K32" s="229">
        <f t="shared" si="2"/>
        <v>30</v>
      </c>
      <c r="L32" s="230">
        <f t="shared" si="0"/>
        <v>0.85321374127116545</v>
      </c>
      <c r="M32" s="230">
        <f t="shared" si="1"/>
        <v>0.49260318319919499</v>
      </c>
    </row>
    <row r="33" spans="1:13" x14ac:dyDescent="0.25">
      <c r="A33" s="237"/>
      <c r="B33" s="221"/>
      <c r="C33" s="215"/>
      <c r="D33" s="233"/>
      <c r="E33" s="215"/>
      <c r="F33" s="221"/>
      <c r="G33" s="221"/>
      <c r="H33" s="233"/>
      <c r="I33" s="221"/>
      <c r="J33" s="221"/>
      <c r="K33" s="229">
        <f t="shared" si="2"/>
        <v>31</v>
      </c>
      <c r="L33" s="230">
        <f t="shared" si="0"/>
        <v>0.84461202459474805</v>
      </c>
      <c r="M33" s="230">
        <f t="shared" si="1"/>
        <v>0.50749410393612127</v>
      </c>
    </row>
    <row r="34" spans="1:13" x14ac:dyDescent="0.25">
      <c r="A34" s="237"/>
      <c r="B34" s="221"/>
      <c r="C34" s="215"/>
      <c r="D34" s="233"/>
      <c r="E34" s="215"/>
      <c r="F34" s="221"/>
      <c r="G34" s="221"/>
      <c r="H34" s="233"/>
      <c r="I34" s="221"/>
      <c r="J34" s="221"/>
      <c r="K34" s="229">
        <f t="shared" si="2"/>
        <v>32</v>
      </c>
      <c r="L34" s="230">
        <f t="shared" si="0"/>
        <v>0.83575409586907279</v>
      </c>
      <c r="M34" s="230">
        <f t="shared" si="1"/>
        <v>0.52223712024127344</v>
      </c>
    </row>
    <row r="35" spans="1:13" x14ac:dyDescent="0.25">
      <c r="A35" s="237"/>
      <c r="B35" s="221"/>
      <c r="C35" s="215"/>
      <c r="D35" s="233"/>
      <c r="E35" s="215"/>
      <c r="F35" s="221"/>
      <c r="G35" s="221"/>
      <c r="H35" s="233"/>
      <c r="I35" s="221"/>
      <c r="J35" s="221"/>
      <c r="K35" s="229">
        <f t="shared" si="2"/>
        <v>33</v>
      </c>
      <c r="L35" s="230">
        <f t="shared" si="0"/>
        <v>0.82664242078630124</v>
      </c>
      <c r="M35" s="230">
        <f t="shared" si="1"/>
        <v>0.53682786491779566</v>
      </c>
    </row>
    <row r="36" spans="1:13" x14ac:dyDescent="0.25">
      <c r="A36" s="237"/>
      <c r="B36" s="221"/>
      <c r="C36" s="215"/>
      <c r="D36" s="233"/>
      <c r="E36" s="215"/>
      <c r="F36" s="221"/>
      <c r="G36" s="221"/>
      <c r="H36" s="233"/>
      <c r="I36" s="221"/>
      <c r="J36" s="221"/>
      <c r="K36" s="229">
        <f t="shared" si="2"/>
        <v>34</v>
      </c>
      <c r="L36" s="230">
        <f t="shared" si="0"/>
        <v>0.81727953814177401</v>
      </c>
      <c r="M36" s="230">
        <f t="shared" si="1"/>
        <v>0.55126200911767154</v>
      </c>
    </row>
    <row r="37" spans="1:13" x14ac:dyDescent="0.25">
      <c r="A37" s="237"/>
      <c r="B37" s="221"/>
      <c r="C37" s="215"/>
      <c r="D37" s="233"/>
      <c r="E37" s="215"/>
      <c r="F37" s="221"/>
      <c r="G37" s="221"/>
      <c r="H37" s="233"/>
      <c r="I37" s="221"/>
      <c r="J37" s="221"/>
      <c r="K37" s="229">
        <f t="shared" si="2"/>
        <v>35</v>
      </c>
      <c r="L37" s="230">
        <f t="shared" si="0"/>
        <v>0.80766805933569241</v>
      </c>
      <c r="M37" s="230">
        <f t="shared" si="1"/>
        <v>0.56553526351805894</v>
      </c>
    </row>
    <row r="38" spans="1:13" x14ac:dyDescent="0.25">
      <c r="A38" s="237"/>
      <c r="B38" s="221"/>
      <c r="C38" s="215"/>
      <c r="D38" s="233"/>
      <c r="E38" s="215"/>
      <c r="F38" s="221"/>
      <c r="G38" s="221"/>
      <c r="H38" s="233"/>
      <c r="I38" s="221"/>
      <c r="J38" s="221"/>
      <c r="K38" s="229">
        <f t="shared" si="2"/>
        <v>36</v>
      </c>
      <c r="L38" s="230">
        <f t="shared" si="0"/>
        <v>0.79781066785753674</v>
      </c>
      <c r="M38" s="230">
        <f t="shared" si="1"/>
        <v>0.57964337949486</v>
      </c>
    </row>
    <row r="39" spans="1:13" x14ac:dyDescent="0.25">
      <c r="A39" s="237"/>
      <c r="B39" s="221"/>
      <c r="C39" s="215"/>
      <c r="D39" s="233"/>
      <c r="E39" s="215"/>
      <c r="F39" s="221"/>
      <c r="G39" s="221"/>
      <c r="H39" s="233"/>
      <c r="I39" s="221"/>
      <c r="J39" s="221"/>
      <c r="K39" s="229">
        <f t="shared" si="2"/>
        <v>37</v>
      </c>
      <c r="L39" s="230">
        <f t="shared" si="0"/>
        <v>0.78771011875307306</v>
      </c>
      <c r="M39" s="230">
        <f t="shared" si="1"/>
        <v>0.59358215029333117</v>
      </c>
    </row>
    <row r="40" spans="1:13" x14ac:dyDescent="0.25">
      <c r="A40" s="237"/>
      <c r="B40" s="221"/>
      <c r="C40" s="215"/>
      <c r="D40" s="233"/>
      <c r="E40" s="215"/>
      <c r="F40" s="221"/>
      <c r="G40" s="221"/>
      <c r="H40" s="233"/>
      <c r="I40" s="221"/>
      <c r="J40" s="221"/>
      <c r="K40" s="229">
        <f t="shared" si="2"/>
        <v>38</v>
      </c>
      <c r="L40" s="230">
        <f t="shared" si="0"/>
        <v>0.77736923807380087</v>
      </c>
      <c r="M40" s="230">
        <f t="shared" si="1"/>
        <v>0.60734741219553912</v>
      </c>
    </row>
    <row r="41" spans="1:13" x14ac:dyDescent="0.25">
      <c r="A41" s="237"/>
      <c r="B41" s="221"/>
      <c r="C41" s="215"/>
      <c r="D41" s="233"/>
      <c r="E41" s="215"/>
      <c r="F41" s="221"/>
      <c r="G41" s="221"/>
      <c r="H41" s="233"/>
      <c r="I41" s="221"/>
      <c r="J41" s="221"/>
      <c r="K41" s="229">
        <f t="shared" si="2"/>
        <v>39</v>
      </c>
      <c r="L41" s="230">
        <f t="shared" si="0"/>
        <v>0.76679092230869061</v>
      </c>
      <c r="M41" s="230">
        <f t="shared" si="1"/>
        <v>0.62093504568445079</v>
      </c>
    </row>
    <row r="42" spans="1:13" x14ac:dyDescent="0.25">
      <c r="A42" s="237"/>
      <c r="B42" s="221"/>
      <c r="C42" s="215"/>
      <c r="D42" s="233"/>
      <c r="E42" s="215"/>
      <c r="F42" s="221"/>
      <c r="G42" s="221"/>
      <c r="H42" s="233"/>
      <c r="I42" s="221"/>
      <c r="J42" s="221"/>
      <c r="K42" s="229">
        <f t="shared" si="2"/>
        <v>40</v>
      </c>
      <c r="L42" s="230">
        <f t="shared" si="0"/>
        <v>0.75597813779806267</v>
      </c>
      <c r="M42" s="230">
        <f t="shared" si="1"/>
        <v>0.63434097660444133</v>
      </c>
    </row>
    <row r="43" spans="1:13" x14ac:dyDescent="0.25">
      <c r="A43" s="237"/>
      <c r="B43" s="221"/>
      <c r="C43" s="215"/>
      <c r="D43" s="233"/>
      <c r="E43" s="215"/>
      <c r="F43" s="221"/>
      <c r="G43" s="221"/>
      <c r="H43" s="233"/>
      <c r="I43" s="221"/>
      <c r="J43" s="221"/>
      <c r="K43" s="229">
        <f t="shared" si="2"/>
        <v>41</v>
      </c>
      <c r="L43" s="230">
        <f t="shared" si="0"/>
        <v>0.74493392012945925</v>
      </c>
      <c r="M43" s="230">
        <f t="shared" si="1"/>
        <v>0.64756117731799123</v>
      </c>
    </row>
    <row r="44" spans="1:13" x14ac:dyDescent="0.25">
      <c r="A44" s="237"/>
      <c r="B44" s="221"/>
      <c r="C44" s="215"/>
      <c r="D44" s="233"/>
      <c r="E44" s="215"/>
      <c r="F44" s="221"/>
      <c r="G44" s="221"/>
      <c r="H44" s="233"/>
      <c r="I44" s="221"/>
      <c r="J44" s="221"/>
      <c r="K44" s="229">
        <f t="shared" si="2"/>
        <v>42</v>
      </c>
      <c r="L44" s="230">
        <f t="shared" si="0"/>
        <v>0.73366137351536143</v>
      </c>
      <c r="M44" s="230">
        <f t="shared" si="1"/>
        <v>0.66059166785833967</v>
      </c>
    </row>
    <row r="45" spans="1:13" x14ac:dyDescent="0.25">
      <c r="A45" s="237"/>
      <c r="B45" s="221"/>
      <c r="C45" s="215"/>
      <c r="D45" s="233"/>
      <c r="E45" s="215"/>
      <c r="F45" s="221"/>
      <c r="G45" s="221"/>
      <c r="H45" s="233"/>
      <c r="I45" s="221"/>
      <c r="J45" s="221"/>
      <c r="K45" s="229">
        <f t="shared" si="2"/>
        <v>43</v>
      </c>
      <c r="L45" s="230">
        <f t="shared" si="0"/>
        <v>0.72216367015260574</v>
      </c>
      <c r="M45" s="230">
        <f t="shared" si="1"/>
        <v>0.67342851707784701</v>
      </c>
    </row>
    <row r="46" spans="1:13" x14ac:dyDescent="0.25">
      <c r="A46" s="237"/>
      <c r="B46" s="221"/>
      <c r="C46" s="215"/>
      <c r="D46" s="233"/>
      <c r="E46" s="215"/>
      <c r="F46" s="221"/>
      <c r="G46" s="221"/>
      <c r="H46" s="233"/>
      <c r="I46" s="221"/>
      <c r="J46" s="221"/>
      <c r="K46" s="229">
        <f t="shared" si="2"/>
        <v>44</v>
      </c>
      <c r="L46" s="230">
        <f t="shared" si="0"/>
        <v>0.71044404956335361</v>
      </c>
      <c r="M46" s="230">
        <f t="shared" si="1"/>
        <v>0.68606784379181107</v>
      </c>
    </row>
    <row r="47" spans="1:13" x14ac:dyDescent="0.25">
      <c r="A47" s="237"/>
      <c r="B47" s="221"/>
      <c r="C47" s="215"/>
      <c r="D47" s="233"/>
      <c r="E47" s="215"/>
      <c r="F47" s="221"/>
      <c r="G47" s="221"/>
      <c r="H47" s="233"/>
      <c r="I47" s="221"/>
      <c r="J47" s="221"/>
      <c r="K47" s="229">
        <f t="shared" si="2"/>
        <v>45</v>
      </c>
      <c r="L47" s="230">
        <f t="shared" si="0"/>
        <v>0.69850581791747368</v>
      </c>
      <c r="M47" s="230">
        <f t="shared" si="1"/>
        <v>0.69850581791747357</v>
      </c>
    </row>
    <row r="48" spans="1:13" x14ac:dyDescent="0.25">
      <c r="A48" s="237"/>
      <c r="B48" s="221"/>
      <c r="C48" s="215"/>
      <c r="D48" s="233"/>
      <c r="E48" s="215"/>
      <c r="F48" s="221"/>
      <c r="G48" s="221"/>
      <c r="H48" s="233"/>
      <c r="I48" s="221"/>
      <c r="J48" s="221"/>
      <c r="K48" s="229">
        <f t="shared" si="2"/>
        <v>46</v>
      </c>
      <c r="L48" s="230">
        <f t="shared" si="0"/>
        <v>0.6863523473361931</v>
      </c>
      <c r="M48" s="230">
        <f t="shared" si="1"/>
        <v>0.71073866160794197</v>
      </c>
    </row>
    <row r="49" spans="1:13" x14ac:dyDescent="0.25">
      <c r="A49" s="237"/>
      <c r="B49" s="221"/>
      <c r="C49" s="215"/>
      <c r="D49" s="233"/>
      <c r="E49" s="215"/>
      <c r="F49" s="221"/>
      <c r="G49" s="221"/>
      <c r="H49" s="233"/>
      <c r="I49" s="221"/>
      <c r="J49" s="221"/>
      <c r="K49" s="229">
        <f t="shared" si="2"/>
        <v>47</v>
      </c>
      <c r="L49" s="230">
        <f t="shared" si="0"/>
        <v>0.67398707517688317</v>
      </c>
      <c r="M49" s="230">
        <f t="shared" si="1"/>
        <v>0.72276265038074294</v>
      </c>
    </row>
    <row r="50" spans="1:13" x14ac:dyDescent="0.25">
      <c r="A50" s="237"/>
      <c r="B50" s="221"/>
      <c r="C50" s="215"/>
      <c r="D50" s="233"/>
      <c r="E50" s="215"/>
      <c r="F50" s="221"/>
      <c r="G50" s="221"/>
      <c r="H50" s="233"/>
      <c r="I50" s="221"/>
      <c r="J50" s="221"/>
      <c r="K50" s="229">
        <f t="shared" si="2"/>
        <v>48</v>
      </c>
      <c r="L50" s="230">
        <f t="shared" si="0"/>
        <v>0.66141350329884363</v>
      </c>
      <c r="M50" s="230">
        <f t="shared" si="1"/>
        <v>0.73457411424071539</v>
      </c>
    </row>
    <row r="51" spans="1:13" x14ac:dyDescent="0.25">
      <c r="A51" s="237"/>
      <c r="B51" s="221"/>
      <c r="C51" s="215"/>
      <c r="D51" s="233"/>
      <c r="E51" s="215"/>
      <c r="F51" s="221"/>
      <c r="G51" s="221"/>
      <c r="H51" s="233"/>
      <c r="I51" s="221"/>
      <c r="J51" s="221"/>
      <c r="K51" s="229">
        <f t="shared" si="2"/>
        <v>49</v>
      </c>
      <c r="L51" s="230">
        <f t="shared" si="0"/>
        <v>0.648635197309953</v>
      </c>
      <c r="M51" s="230">
        <f t="shared" si="1"/>
        <v>0.74616943879693598</v>
      </c>
    </row>
    <row r="52" spans="1:13" x14ac:dyDescent="0.25">
      <c r="A52" s="237"/>
      <c r="B52" s="221"/>
      <c r="C52" s="215"/>
      <c r="D52" s="233"/>
      <c r="E52" s="215"/>
      <c r="F52" s="221"/>
      <c r="G52" s="221"/>
      <c r="H52" s="233"/>
      <c r="I52" s="221"/>
      <c r="J52" s="221"/>
      <c r="K52" s="229">
        <f t="shared" si="2"/>
        <v>50</v>
      </c>
      <c r="L52" s="230">
        <f t="shared" si="0"/>
        <v>0.63565578579406223</v>
      </c>
      <c r="M52" s="230">
        <f t="shared" si="1"/>
        <v>0.75754506637336916</v>
      </c>
    </row>
    <row r="53" spans="1:13" x14ac:dyDescent="0.25">
      <c r="A53" s="237"/>
      <c r="B53" s="221"/>
      <c r="C53" s="215"/>
      <c r="D53" s="233"/>
      <c r="E53" s="215"/>
      <c r="F53" s="221"/>
      <c r="G53" s="221"/>
      <c r="H53" s="233"/>
      <c r="I53" s="221"/>
      <c r="J53" s="221"/>
      <c r="K53" s="229">
        <f t="shared" si="2"/>
        <v>51</v>
      </c>
      <c r="L53" s="230">
        <f t="shared" si="0"/>
        <v>0.62247895951900256</v>
      </c>
      <c r="M53" s="230">
        <f t="shared" si="1"/>
        <v>0.76869749711291357</v>
      </c>
    </row>
    <row r="54" spans="1:13" x14ac:dyDescent="0.25">
      <c r="A54" s="237"/>
      <c r="B54" s="221"/>
      <c r="C54" s="215"/>
      <c r="D54" s="233"/>
      <c r="E54" s="215"/>
      <c r="F54" s="221"/>
      <c r="G54" s="221"/>
      <c r="H54" s="233"/>
      <c r="I54" s="221"/>
      <c r="J54" s="221"/>
      <c r="K54" s="229">
        <f t="shared" si="2"/>
        <v>52</v>
      </c>
      <c r="L54" s="230">
        <f t="shared" si="0"/>
        <v>0.60910847062509643</v>
      </c>
      <c r="M54" s="230">
        <f t="shared" si="1"/>
        <v>0.77962329007451592</v>
      </c>
    </row>
    <row r="55" spans="1:13" x14ac:dyDescent="0.25">
      <c r="A55" s="237"/>
      <c r="B55" s="221"/>
      <c r="C55" s="215"/>
      <c r="D55" s="233"/>
      <c r="E55" s="215"/>
      <c r="F55" s="221"/>
      <c r="G55" s="221"/>
      <c r="H55" s="233"/>
      <c r="I55" s="221"/>
      <c r="J55" s="221"/>
      <c r="K55" s="229">
        <f t="shared" si="2"/>
        <v>53</v>
      </c>
      <c r="L55" s="230">
        <f t="shared" si="0"/>
        <v>0.59554813179405297</v>
      </c>
      <c r="M55" s="230">
        <f t="shared" si="1"/>
        <v>0.79031906432300725</v>
      </c>
    </row>
    <row r="56" spans="1:13" x14ac:dyDescent="0.25">
      <c r="A56" s="237"/>
      <c r="B56" s="221"/>
      <c r="C56" s="215"/>
      <c r="D56" s="233"/>
      <c r="E56" s="215"/>
      <c r="F56" s="221"/>
      <c r="G56" s="221"/>
      <c r="H56" s="233"/>
      <c r="I56" s="221"/>
      <c r="J56" s="221"/>
      <c r="K56" s="229">
        <f t="shared" si="2"/>
        <v>54</v>
      </c>
      <c r="L56" s="230">
        <f t="shared" si="0"/>
        <v>0.58180181539814435</v>
      </c>
      <c r="M56" s="230">
        <f t="shared" si="1"/>
        <v>0.80078150001131321</v>
      </c>
    </row>
    <row r="57" spans="1:13" x14ac:dyDescent="0.25">
      <c r="A57" s="237"/>
      <c r="B57" s="221"/>
      <c r="C57" s="215"/>
      <c r="D57" s="233"/>
      <c r="E57" s="215"/>
      <c r="F57" s="221"/>
      <c r="G57" s="221"/>
      <c r="H57" s="233"/>
      <c r="I57" s="221"/>
      <c r="J57" s="221"/>
      <c r="K57" s="229">
        <f t="shared" si="2"/>
        <v>55</v>
      </c>
      <c r="L57" s="230">
        <f t="shared" si="0"/>
        <v>0.56787345262956102</v>
      </c>
      <c r="M57" s="230">
        <f t="shared" si="1"/>
        <v>0.81100733945467007</v>
      </c>
    </row>
    <row r="58" spans="1:13" x14ac:dyDescent="0.25">
      <c r="A58" s="237"/>
      <c r="B58" s="221"/>
      <c r="C58" s="215"/>
      <c r="D58" s="233"/>
      <c r="E58" s="215"/>
      <c r="F58" s="221"/>
      <c r="G58" s="221"/>
      <c r="H58" s="233"/>
      <c r="I58" s="221"/>
      <c r="J58" s="221"/>
      <c r="K58" s="229">
        <f t="shared" si="2"/>
        <v>56</v>
      </c>
      <c r="L58" s="230">
        <f t="shared" si="0"/>
        <v>0.55376703260984861</v>
      </c>
      <c r="M58" s="230">
        <f t="shared" si="1"/>
        <v>0.82099338819648349</v>
      </c>
    </row>
    <row r="59" spans="1:13" x14ac:dyDescent="0.25">
      <c r="A59" s="237"/>
      <c r="B59" s="221"/>
      <c r="C59" s="215"/>
      <c r="D59" s="233"/>
      <c r="E59" s="215"/>
      <c r="F59" s="221"/>
      <c r="G59" s="221"/>
      <c r="H59" s="233"/>
      <c r="I59" s="221"/>
      <c r="J59" s="221"/>
      <c r="K59" s="229">
        <f t="shared" si="2"/>
        <v>57</v>
      </c>
      <c r="L59" s="230">
        <f t="shared" si="0"/>
        <v>0.53948660147934258</v>
      </c>
      <c r="M59" s="230">
        <f t="shared" si="1"/>
        <v>0.83073651606544008</v>
      </c>
    </row>
    <row r="60" spans="1:13" x14ac:dyDescent="0.25">
      <c r="A60" s="237"/>
      <c r="B60" s="221"/>
      <c r="C60" s="215"/>
      <c r="D60" s="233"/>
      <c r="E60" s="215"/>
      <c r="F60" s="221"/>
      <c r="G60" s="221"/>
      <c r="H60" s="233"/>
      <c r="I60" s="221"/>
      <c r="J60" s="221"/>
      <c r="K60" s="229">
        <f t="shared" si="2"/>
        <v>58</v>
      </c>
      <c r="L60" s="230">
        <f t="shared" si="0"/>
        <v>0.52503626146651594</v>
      </c>
      <c r="M60" s="230">
        <f t="shared" si="1"/>
        <v>0.84023365822349072</v>
      </c>
    </row>
    <row r="61" spans="1:13" x14ac:dyDescent="0.25">
      <c r="A61" s="237"/>
      <c r="B61" s="221"/>
      <c r="C61" s="215"/>
      <c r="D61" s="233"/>
      <c r="E61" s="215"/>
      <c r="F61" s="221"/>
      <c r="G61" s="221"/>
      <c r="H61" s="233"/>
      <c r="I61" s="221"/>
      <c r="J61" s="221"/>
      <c r="K61" s="229">
        <f t="shared" si="2"/>
        <v>59</v>
      </c>
      <c r="L61" s="230">
        <f t="shared" si="0"/>
        <v>0.51042016993717021</v>
      </c>
      <c r="M61" s="230">
        <f t="shared" si="1"/>
        <v>0.84948181620429719</v>
      </c>
    </row>
    <row r="62" spans="1:13" x14ac:dyDescent="0.25">
      <c r="A62" s="237"/>
      <c r="B62" s="221"/>
      <c r="C62" s="215"/>
      <c r="D62" s="233"/>
      <c r="E62" s="215"/>
      <c r="F62" s="221"/>
      <c r="G62" s="221"/>
      <c r="H62" s="233"/>
      <c r="I62" s="221"/>
      <c r="J62" s="221"/>
      <c r="K62" s="229">
        <f t="shared" si="2"/>
        <v>60</v>
      </c>
      <c r="L62" s="230">
        <f t="shared" si="0"/>
        <v>0.49564253842340122</v>
      </c>
      <c r="M62" s="230">
        <f t="shared" si="1"/>
        <v>0.85847805894174012</v>
      </c>
    </row>
    <row r="63" spans="1:13" x14ac:dyDescent="0.25">
      <c r="A63" s="237"/>
      <c r="B63" s="221"/>
      <c r="C63" s="215"/>
      <c r="D63" s="233"/>
      <c r="E63" s="215"/>
      <c r="F63" s="221"/>
      <c r="G63" s="221"/>
      <c r="H63" s="233"/>
      <c r="I63" s="221"/>
      <c r="J63" s="221"/>
      <c r="K63" s="229">
        <f t="shared" si="2"/>
        <v>61</v>
      </c>
      <c r="L63" s="230">
        <f t="shared" si="0"/>
        <v>0.48070763163228608</v>
      </c>
      <c r="M63" s="230">
        <f t="shared" si="1"/>
        <v>0.86721952378806799</v>
      </c>
    </row>
    <row r="64" spans="1:13" x14ac:dyDescent="0.25">
      <c r="A64" s="237"/>
      <c r="B64" s="221"/>
      <c r="C64" s="215"/>
      <c r="D64" s="233"/>
      <c r="E64" s="215"/>
      <c r="F64" s="221"/>
      <c r="G64" s="221"/>
      <c r="H64" s="233"/>
      <c r="I64" s="221"/>
      <c r="J64" s="221"/>
      <c r="K64" s="229">
        <f t="shared" si="2"/>
        <v>62</v>
      </c>
      <c r="L64" s="230">
        <f t="shared" si="0"/>
        <v>0.46561976643424369</v>
      </c>
      <c r="M64" s="230">
        <f t="shared" si="1"/>
        <v>0.87570341752125958</v>
      </c>
    </row>
    <row r="65" spans="1:13" x14ac:dyDescent="0.25">
      <c r="A65" s="237"/>
      <c r="B65" s="221"/>
      <c r="C65" s="215"/>
      <c r="D65" s="233"/>
      <c r="E65" s="215"/>
      <c r="F65" s="221"/>
      <c r="G65" s="221"/>
      <c r="H65" s="233"/>
      <c r="I65" s="221"/>
      <c r="J65" s="221"/>
      <c r="K65" s="229">
        <f t="shared" si="2"/>
        <v>63</v>
      </c>
      <c r="L65" s="230">
        <f t="shared" si="0"/>
        <v>0.45038331083102706</v>
      </c>
      <c r="M65" s="230">
        <f t="shared" si="1"/>
        <v>0.8839270173411653</v>
      </c>
    </row>
    <row r="66" spans="1:13" x14ac:dyDescent="0.25">
      <c r="A66" s="237"/>
      <c r="B66" s="221"/>
      <c r="C66" s="215"/>
      <c r="D66" s="233"/>
      <c r="E66" s="215"/>
      <c r="F66" s="221"/>
      <c r="G66" s="221"/>
      <c r="H66" s="233"/>
      <c r="I66" s="221"/>
      <c r="J66" s="221"/>
      <c r="K66" s="229">
        <f t="shared" si="2"/>
        <v>64</v>
      </c>
      <c r="L66" s="230">
        <f t="shared" si="0"/>
        <v>0.43500268290332422</v>
      </c>
      <c r="M66" s="230">
        <f t="shared" si="1"/>
        <v>0.89188767185398599</v>
      </c>
    </row>
    <row r="67" spans="1:13" x14ac:dyDescent="0.25">
      <c r="A67" s="237"/>
      <c r="B67" s="221"/>
      <c r="C67" s="215"/>
      <c r="D67" s="233"/>
      <c r="E67" s="215"/>
      <c r="F67" s="221"/>
      <c r="G67" s="221"/>
      <c r="H67" s="233"/>
      <c r="I67" s="221"/>
      <c r="J67" s="221"/>
      <c r="K67" s="229">
        <f t="shared" si="2"/>
        <v>65</v>
      </c>
      <c r="L67" s="230">
        <f t="shared" ref="L67:L130" si="3">IF($D$2="","", ($D$2*(1-$E$2^2)/(1+$E$2*COS(RADIANS(K67)))) * COS(RADIANS(K67)) )</f>
        <v>0.41948234973794479</v>
      </c>
      <c r="M67" s="230">
        <f t="shared" ref="M67:M130" si="4">IF($D$2="","", ($D$2*(1-$E$2^2)/(1+$E$2*COS(RADIANS(K67)))) * SIN(RADIANS(K67)) )</f>
        <v>0.89958280204463359</v>
      </c>
    </row>
    <row r="68" spans="1:13" x14ac:dyDescent="0.25">
      <c r="A68" s="237"/>
      <c r="B68" s="221"/>
      <c r="C68" s="215"/>
      <c r="D68" s="233"/>
      <c r="E68" s="215"/>
      <c r="F68" s="221"/>
      <c r="G68" s="221"/>
      <c r="H68" s="233"/>
      <c r="I68" s="221"/>
      <c r="J68" s="221"/>
      <c r="K68" s="229">
        <f t="shared" ref="K68:K131" si="5">K67+1</f>
        <v>66</v>
      </c>
      <c r="L68" s="230">
        <f t="shared" si="3"/>
        <v>0.40382682633458744</v>
      </c>
      <c r="M68" s="230">
        <f t="shared" si="4"/>
        <v>0.9070099022365149</v>
      </c>
    </row>
    <row r="69" spans="1:13" x14ac:dyDescent="0.25">
      <c r="A69" s="237"/>
      <c r="B69" s="221"/>
      <c r="C69" s="215"/>
      <c r="D69" s="233"/>
      <c r="E69" s="215"/>
      <c r="F69" s="221"/>
      <c r="G69" s="221"/>
      <c r="H69" s="233"/>
      <c r="I69" s="221"/>
      <c r="J69" s="221"/>
      <c r="K69" s="229">
        <f t="shared" si="5"/>
        <v>67</v>
      </c>
      <c r="L69" s="230">
        <f t="shared" si="3"/>
        <v>0.38804067449219104</v>
      </c>
      <c r="M69" s="230">
        <f t="shared" si="4"/>
        <v>0.91416654103827322</v>
      </c>
    </row>
    <row r="70" spans="1:13" x14ac:dyDescent="0.25">
      <c r="A70" s="237"/>
      <c r="B70" s="221"/>
      <c r="C70" s="215"/>
      <c r="D70" s="233"/>
      <c r="E70" s="215"/>
      <c r="F70" s="221"/>
      <c r="G70" s="221"/>
      <c r="H70" s="233"/>
      <c r="I70" s="221"/>
      <c r="J70" s="221"/>
      <c r="K70" s="229">
        <f t="shared" si="5"/>
        <v>68</v>
      </c>
      <c r="L70" s="230">
        <f t="shared" si="3"/>
        <v>0.37212850167488309</v>
      </c>
      <c r="M70" s="230">
        <f t="shared" si="4"/>
        <v>0.92105036227700732</v>
      </c>
    </row>
    <row r="71" spans="1:13" x14ac:dyDescent="0.25">
      <c r="A71" s="237"/>
      <c r="B71" s="221"/>
      <c r="C71" s="215"/>
      <c r="D71" s="233"/>
      <c r="E71" s="215"/>
      <c r="F71" s="221"/>
      <c r="G71" s="221"/>
      <c r="H71" s="233"/>
      <c r="I71" s="221"/>
      <c r="J71" s="221"/>
      <c r="K71" s="229">
        <f t="shared" si="5"/>
        <v>69</v>
      </c>
      <c r="L71" s="230">
        <f t="shared" si="3"/>
        <v>0.35609495985755313</v>
      </c>
      <c r="M71" s="230">
        <f t="shared" si="4"/>
        <v>0.92765908591748958</v>
      </c>
    </row>
    <row r="72" spans="1:13" x14ac:dyDescent="0.25">
      <c r="A72" s="237"/>
      <c r="B72" s="221"/>
      <c r="C72" s="215"/>
      <c r="D72" s="233"/>
      <c r="E72" s="215"/>
      <c r="F72" s="221"/>
      <c r="G72" s="221"/>
      <c r="H72" s="233"/>
      <c r="I72" s="221"/>
      <c r="J72" s="221"/>
      <c r="K72" s="229">
        <f t="shared" si="5"/>
        <v>70</v>
      </c>
      <c r="L72" s="230">
        <f t="shared" si="3"/>
        <v>0.33994474435108962</v>
      </c>
      <c r="M72" s="230">
        <f t="shared" si="4"/>
        <v>0.93399050896689273</v>
      </c>
    </row>
    <row r="73" spans="1:13" x14ac:dyDescent="0.25">
      <c r="A73" s="237"/>
      <c r="B73" s="221"/>
      <c r="C73" s="215"/>
      <c r="D73" s="233"/>
      <c r="E73" s="215"/>
      <c r="F73" s="221"/>
      <c r="G73" s="221"/>
      <c r="H73" s="233"/>
      <c r="I73" s="221"/>
      <c r="J73" s="221"/>
      <c r="K73" s="229">
        <f t="shared" si="5"/>
        <v>71</v>
      </c>
      <c r="L73" s="230">
        <f t="shared" si="3"/>
        <v>0.32368259260733234</v>
      </c>
      <c r="M73" s="230">
        <f t="shared" si="4"/>
        <v>0.94004250636452613</v>
      </c>
    </row>
    <row r="74" spans="1:13" x14ac:dyDescent="0.25">
      <c r="A74" s="237"/>
      <c r="B74" s="221"/>
      <c r="C74" s="215"/>
      <c r="D74" s="233"/>
      <c r="E74" s="215"/>
      <c r="F74" s="221"/>
      <c r="G74" s="221"/>
      <c r="H74" s="233"/>
      <c r="I74" s="221"/>
      <c r="J74" s="221"/>
      <c r="K74" s="229">
        <f t="shared" si="5"/>
        <v>72</v>
      </c>
      <c r="L74" s="230">
        <f t="shared" si="3"/>
        <v>0.30731328300380245</v>
      </c>
      <c r="M74" s="230">
        <f t="shared" si="4"/>
        <v>0.94581303185608223</v>
      </c>
    </row>
    <row r="75" spans="1:13" x14ac:dyDescent="0.25">
      <c r="A75" s="237"/>
      <c r="B75" s="221"/>
      <c r="C75" s="215"/>
      <c r="D75" s="233"/>
      <c r="E75" s="215"/>
      <c r="F75" s="221"/>
      <c r="G75" s="221"/>
      <c r="H75" s="233"/>
      <c r="I75" s="221"/>
      <c r="J75" s="221"/>
      <c r="K75" s="229">
        <f t="shared" si="5"/>
        <v>73</v>
      </c>
      <c r="L75" s="230">
        <f t="shared" si="3"/>
        <v>0.29084163360829107</v>
      </c>
      <c r="M75" s="230">
        <f t="shared" si="4"/>
        <v>0.95130011885188381</v>
      </c>
    </row>
    <row r="76" spans="1:13" x14ac:dyDescent="0.25">
      <c r="A76" s="237"/>
      <c r="B76" s="221"/>
      <c r="C76" s="215"/>
      <c r="D76" s="233"/>
      <c r="E76" s="215"/>
      <c r="F76" s="221"/>
      <c r="G76" s="221"/>
      <c r="H76" s="233"/>
      <c r="I76" s="221"/>
      <c r="J76" s="221"/>
      <c r="K76" s="229">
        <f t="shared" si="5"/>
        <v>74</v>
      </c>
      <c r="L76" s="230">
        <f t="shared" si="3"/>
        <v>0.27427250092339478</v>
      </c>
      <c r="M76" s="230">
        <f t="shared" si="4"/>
        <v>0.95650188126861602</v>
      </c>
    </row>
    <row r="77" spans="1:13" x14ac:dyDescent="0.25">
      <c r="A77" s="237"/>
      <c r="B77" s="221"/>
      <c r="C77" s="215"/>
      <c r="D77" s="233"/>
      <c r="E77" s="215"/>
      <c r="F77" s="221"/>
      <c r="G77" s="221"/>
      <c r="H77" s="233"/>
      <c r="I77" s="221"/>
      <c r="J77" s="221"/>
      <c r="K77" s="229">
        <f t="shared" si="5"/>
        <v>75</v>
      </c>
      <c r="L77" s="230">
        <f t="shared" si="3"/>
        <v>0.25761077861110598</v>
      </c>
      <c r="M77" s="230">
        <f t="shared" si="4"/>
        <v>0.96141651435402542</v>
      </c>
    </row>
    <row r="78" spans="1:13" x14ac:dyDescent="0.25">
      <c r="A78" s="237"/>
      <c r="B78" s="221"/>
      <c r="C78" s="215"/>
      <c r="D78" s="233"/>
      <c r="E78" s="215"/>
      <c r="F78" s="221"/>
      <c r="G78" s="221"/>
      <c r="H78" s="233"/>
      <c r="I78" s="221"/>
      <c r="J78" s="221"/>
      <c r="K78" s="229">
        <f t="shared" si="5"/>
        <v>76</v>
      </c>
      <c r="L78" s="230">
        <f t="shared" si="3"/>
        <v>0.2408613961975761</v>
      </c>
      <c r="M78" s="230">
        <f t="shared" si="4"/>
        <v>0.9660422954940614</v>
      </c>
    </row>
    <row r="79" spans="1:13" x14ac:dyDescent="0.25">
      <c r="A79" s="237"/>
      <c r="B79" s="221"/>
      <c r="C79" s="215"/>
      <c r="D79" s="233"/>
      <c r="E79" s="215"/>
      <c r="F79" s="221"/>
      <c r="G79" s="221"/>
      <c r="H79" s="233"/>
      <c r="I79" s="221"/>
      <c r="J79" s="221"/>
      <c r="K79" s="229">
        <f t="shared" si="5"/>
        <v>77</v>
      </c>
      <c r="L79" s="230">
        <f t="shared" si="3"/>
        <v>0.22402931775818763</v>
      </c>
      <c r="M79" s="230">
        <f t="shared" si="4"/>
        <v>0.97037758500192905</v>
      </c>
    </row>
    <row r="80" spans="1:13" x14ac:dyDescent="0.25">
      <c r="A80" s="237"/>
      <c r="B80" s="221"/>
      <c r="C80" s="215"/>
      <c r="D80" s="233"/>
      <c r="E80" s="215"/>
      <c r="F80" s="221"/>
      <c r="G80" s="221"/>
      <c r="H80" s="233"/>
      <c r="I80" s="221"/>
      <c r="J80" s="221"/>
      <c r="K80" s="229">
        <f t="shared" si="5"/>
        <v>78</v>
      </c>
      <c r="L80" s="230">
        <f t="shared" si="3"/>
        <v>0.20711954058308468</v>
      </c>
      <c r="M80" s="230">
        <f t="shared" si="4"/>
        <v>0.97442082688852416</v>
      </c>
    </row>
    <row r="81" spans="1:13" x14ac:dyDescent="0.25">
      <c r="A81" s="237"/>
      <c r="B81" s="221"/>
      <c r="C81" s="215"/>
      <c r="D81" s="233"/>
      <c r="E81" s="215"/>
      <c r="F81" s="221"/>
      <c r="G81" s="221"/>
      <c r="H81" s="233"/>
      <c r="I81" s="221"/>
      <c r="J81" s="221"/>
      <c r="K81" s="229">
        <f t="shared" si="5"/>
        <v>79</v>
      </c>
      <c r="L81" s="230">
        <f t="shared" si="3"/>
        <v>0.19013709382332492</v>
      </c>
      <c r="M81" s="230">
        <f t="shared" si="4"/>
        <v>0.97817054961370942</v>
      </c>
    </row>
    <row r="82" spans="1:13" x14ac:dyDescent="0.25">
      <c r="A82" s="237"/>
      <c r="B82" s="221"/>
      <c r="C82" s="215"/>
      <c r="D82" s="233"/>
      <c r="E82" s="215"/>
      <c r="F82" s="221"/>
      <c r="G82" s="221"/>
      <c r="H82" s="233"/>
      <c r="I82" s="221"/>
      <c r="J82" s="221"/>
      <c r="K82" s="229">
        <f t="shared" si="5"/>
        <v>80</v>
      </c>
      <c r="L82" s="230">
        <f t="shared" si="3"/>
        <v>0.1730870371178389</v>
      </c>
      <c r="M82" s="230">
        <f t="shared" si="4"/>
        <v>0.98162536681789503</v>
      </c>
    </row>
    <row r="83" spans="1:13" x14ac:dyDescent="0.25">
      <c r="A83" s="237"/>
      <c r="B83" s="221"/>
      <c r="C83" s="215"/>
      <c r="D83" s="233"/>
      <c r="E83" s="215"/>
      <c r="F83" s="221"/>
      <c r="G83" s="221"/>
      <c r="H83" s="233"/>
      <c r="I83" s="221"/>
      <c r="J83" s="221"/>
      <c r="K83" s="229">
        <f t="shared" si="5"/>
        <v>81</v>
      </c>
      <c r="L83" s="230">
        <f t="shared" si="3"/>
        <v>0.15597445920138747</v>
      </c>
      <c r="M83" s="230">
        <f t="shared" si="4"/>
        <v>0.98478397803338058</v>
      </c>
    </row>
    <row r="84" spans="1:13" x14ac:dyDescent="0.25">
      <c r="A84" s="237"/>
      <c r="B84" s="221"/>
      <c r="C84" s="215"/>
      <c r="D84" s="233"/>
      <c r="E84" s="215"/>
      <c r="F84" s="221"/>
      <c r="G84" s="221"/>
      <c r="H84" s="233"/>
      <c r="I84" s="221"/>
      <c r="J84" s="221"/>
      <c r="K84" s="229">
        <f t="shared" si="5"/>
        <v>82</v>
      </c>
      <c r="L84" s="230">
        <f t="shared" si="3"/>
        <v>0.1388044764937349</v>
      </c>
      <c r="M84" s="230">
        <f t="shared" si="4"/>
        <v>0.98764516937491165</v>
      </c>
    </row>
    <row r="85" spans="1:13" x14ac:dyDescent="0.25">
      <c r="A85" s="237"/>
      <c r="B85" s="221"/>
      <c r="C85" s="215"/>
      <c r="D85" s="233"/>
      <c r="E85" s="215"/>
      <c r="F85" s="221"/>
      <c r="G85" s="221"/>
      <c r="H85" s="233"/>
      <c r="I85" s="221"/>
      <c r="J85" s="221"/>
      <c r="K85" s="229">
        <f t="shared" si="5"/>
        <v>83</v>
      </c>
      <c r="L85" s="230">
        <f t="shared" si="3"/>
        <v>0.12158223167026583</v>
      </c>
      <c r="M85" s="230">
        <f t="shared" si="4"/>
        <v>0.99020781420890891</v>
      </c>
    </row>
    <row r="86" spans="1:13" x14ac:dyDescent="0.25">
      <c r="A86" s="237"/>
      <c r="B86" s="221"/>
      <c r="C86" s="215"/>
      <c r="D86" s="233"/>
      <c r="E86" s="215"/>
      <c r="F86" s="221"/>
      <c r="G86" s="221"/>
      <c r="H86" s="233"/>
      <c r="I86" s="221"/>
      <c r="J86" s="221"/>
      <c r="K86" s="229">
        <f t="shared" si="5"/>
        <v>84</v>
      </c>
      <c r="L86" s="230">
        <f t="shared" si="3"/>
        <v>0.10431289221429231</v>
      </c>
      <c r="M86" s="230">
        <f t="shared" si="4"/>
        <v>0.99247087380081467</v>
      </c>
    </row>
    <row r="87" spans="1:13" x14ac:dyDescent="0.25">
      <c r="A87" s="237"/>
      <c r="B87" s="221"/>
      <c r="C87" s="215"/>
      <c r="D87" s="233"/>
      <c r="E87" s="215"/>
      <c r="F87" s="221"/>
      <c r="G87" s="221"/>
      <c r="H87" s="233"/>
      <c r="I87" s="221"/>
      <c r="J87" s="221"/>
      <c r="K87" s="229">
        <f t="shared" si="5"/>
        <v>85</v>
      </c>
      <c r="L87" s="230">
        <f t="shared" si="3"/>
        <v>8.7001648951315486E-2</v>
      </c>
      <c r="M87" s="230">
        <f t="shared" si="4"/>
        <v>0.99443339794001795</v>
      </c>
    </row>
    <row r="88" spans="1:13" x14ac:dyDescent="0.25">
      <c r="A88" s="237"/>
      <c r="B88" s="221"/>
      <c r="C88" s="215"/>
      <c r="D88" s="233"/>
      <c r="E88" s="215"/>
      <c r="F88" s="221"/>
      <c r="G88" s="221"/>
      <c r="H88" s="233"/>
      <c r="I88" s="221"/>
      <c r="J88" s="221"/>
      <c r="K88" s="229">
        <f t="shared" si="5"/>
        <v>86</v>
      </c>
      <c r="L88" s="230">
        <f t="shared" si="3"/>
        <v>6.9653714565521593E-2</v>
      </c>
      <c r="M88" s="230">
        <f t="shared" si="4"/>
        <v>0.99609452554179956</v>
      </c>
    </row>
    <row r="89" spans="1:13" x14ac:dyDescent="0.25">
      <c r="A89" s="237"/>
      <c r="B89" s="221"/>
      <c r="C89" s="215"/>
      <c r="D89" s="233"/>
      <c r="E89" s="215"/>
      <c r="F89" s="221"/>
      <c r="G89" s="221"/>
      <c r="H89" s="233"/>
      <c r="I89" s="221"/>
      <c r="J89" s="221"/>
      <c r="K89" s="229">
        <f t="shared" si="5"/>
        <v>87</v>
      </c>
      <c r="L89" s="230">
        <f t="shared" si="3"/>
        <v>5.2274322098811873E-2</v>
      </c>
      <c r="M89" s="230">
        <f t="shared" si="4"/>
        <v>0.99745348522575827</v>
      </c>
    </row>
    <row r="90" spans="1:13" x14ac:dyDescent="0.25">
      <c r="A90" s="237"/>
      <c r="B90" s="221"/>
      <c r="C90" s="215"/>
      <c r="D90" s="233"/>
      <c r="E90" s="215"/>
      <c r="F90" s="221"/>
      <c r="G90" s="221"/>
      <c r="H90" s="233"/>
      <c r="I90" s="221"/>
      <c r="J90" s="221"/>
      <c r="K90" s="229">
        <f t="shared" si="5"/>
        <v>88</v>
      </c>
      <c r="L90" s="230">
        <f t="shared" si="3"/>
        <v>3.486872343268025E-2</v>
      </c>
      <c r="M90" s="230">
        <f t="shared" si="4"/>
        <v>0.99850959587016297</v>
      </c>
    </row>
    <row r="91" spans="1:13" x14ac:dyDescent="0.25">
      <c r="A91" s="237"/>
      <c r="B91" s="221"/>
      <c r="C91" s="215"/>
      <c r="D91" s="233"/>
      <c r="E91" s="215"/>
      <c r="F91" s="221"/>
      <c r="G91" s="221"/>
      <c r="H91" s="233"/>
      <c r="I91" s="221"/>
      <c r="J91" s="221"/>
      <c r="K91" s="229">
        <f t="shared" si="5"/>
        <v>89</v>
      </c>
      <c r="L91" s="230">
        <f t="shared" si="3"/>
        <v>1.7442187753276189E-2</v>
      </c>
      <c r="M91" s="230">
        <f t="shared" si="4"/>
        <v>0.99926226714169009</v>
      </c>
    </row>
    <row r="92" spans="1:13" x14ac:dyDescent="0.25">
      <c r="A92" s="237"/>
      <c r="B92" s="221"/>
      <c r="C92" s="215"/>
      <c r="D92" s="233"/>
      <c r="E92" s="215"/>
      <c r="F92" s="221"/>
      <c r="G92" s="221"/>
      <c r="H92" s="233"/>
      <c r="I92" s="221"/>
      <c r="J92" s="221"/>
      <c r="K92" s="229">
        <f t="shared" si="5"/>
        <v>90</v>
      </c>
      <c r="L92" s="230">
        <f t="shared" si="3"/>
        <v>6.1239719350257574E-17</v>
      </c>
      <c r="M92" s="230">
        <f t="shared" si="4"/>
        <v>0.99971100000000002</v>
      </c>
    </row>
    <row r="93" spans="1:13" x14ac:dyDescent="0.25">
      <c r="A93" s="237"/>
      <c r="B93" s="221"/>
      <c r="C93" s="215"/>
      <c r="D93" s="233"/>
      <c r="E93" s="215"/>
      <c r="F93" s="221"/>
      <c r="G93" s="221"/>
      <c r="H93" s="233"/>
      <c r="I93" s="221"/>
      <c r="J93" s="221"/>
      <c r="K93" s="229">
        <f t="shared" si="5"/>
        <v>91</v>
      </c>
      <c r="L93" s="230">
        <f t="shared" si="3"/>
        <v>-1.7452540701995908E-2</v>
      </c>
      <c r="M93" s="230">
        <f t="shared" si="4"/>
        <v>0.99985538717661482</v>
      </c>
    </row>
    <row r="94" spans="1:13" x14ac:dyDescent="0.25">
      <c r="A94" s="237"/>
      <c r="B94" s="221"/>
      <c r="C94" s="215"/>
      <c r="D94" s="233"/>
      <c r="E94" s="215"/>
      <c r="F94" s="221"/>
      <c r="G94" s="221"/>
      <c r="H94" s="233"/>
      <c r="I94" s="221"/>
      <c r="J94" s="221"/>
      <c r="K94" s="229">
        <f t="shared" si="5"/>
        <v>92</v>
      </c>
      <c r="L94" s="230">
        <f t="shared" si="3"/>
        <v>-3.4910122625014341E-2</v>
      </c>
      <c r="M94" s="230">
        <f t="shared" si="4"/>
        <v>0.99969511362755359</v>
      </c>
    </row>
    <row r="95" spans="1:13" x14ac:dyDescent="0.25">
      <c r="A95" s="237"/>
      <c r="B95" s="221"/>
      <c r="C95" s="215"/>
      <c r="D95" s="233"/>
      <c r="E95" s="215"/>
      <c r="F95" s="221"/>
      <c r="G95" s="221"/>
      <c r="H95" s="233"/>
      <c r="I95" s="221"/>
      <c r="J95" s="221"/>
      <c r="K95" s="229">
        <f t="shared" si="5"/>
        <v>93</v>
      </c>
      <c r="L95" s="230">
        <f t="shared" si="3"/>
        <v>-5.2367423037320462E-2</v>
      </c>
      <c r="M95" s="230">
        <f t="shared" si="4"/>
        <v>0.9992299569591987</v>
      </c>
    </row>
    <row r="96" spans="1:13" x14ac:dyDescent="0.25">
      <c r="A96" s="237"/>
      <c r="B96" s="221"/>
      <c r="C96" s="215"/>
      <c r="D96" s="233"/>
      <c r="E96" s="215"/>
      <c r="F96" s="221"/>
      <c r="G96" s="221"/>
      <c r="H96" s="233"/>
      <c r="I96" s="221"/>
      <c r="J96" s="221"/>
      <c r="K96" s="229">
        <f t="shared" si="5"/>
        <v>94</v>
      </c>
      <c r="L96" s="230">
        <f t="shared" si="3"/>
        <v>-6.9819109816526115E-2</v>
      </c>
      <c r="M96" s="230">
        <f t="shared" si="4"/>
        <v>0.99845978782685907</v>
      </c>
    </row>
    <row r="97" spans="1:13" x14ac:dyDescent="0.25">
      <c r="A97" s="237"/>
      <c r="B97" s="221"/>
      <c r="C97" s="215"/>
      <c r="D97" s="233"/>
      <c r="E97" s="215"/>
      <c r="F97" s="221"/>
      <c r="G97" s="221"/>
      <c r="H97" s="233"/>
      <c r="I97" s="221"/>
      <c r="J97" s="221"/>
      <c r="K97" s="229">
        <f t="shared" si="5"/>
        <v>95</v>
      </c>
      <c r="L97" s="230">
        <f t="shared" si="3"/>
        <v>-8.7259843077406904E-2</v>
      </c>
      <c r="M97" s="230">
        <f t="shared" si="4"/>
        <v>0.99738457030550753</v>
      </c>
    </row>
    <row r="98" spans="1:13" x14ac:dyDescent="0.25">
      <c r="A98" s="237"/>
      <c r="B98" s="221"/>
      <c r="C98" s="215"/>
      <c r="D98" s="233"/>
      <c r="E98" s="215"/>
      <c r="F98" s="221"/>
      <c r="G98" s="221"/>
      <c r="H98" s="233"/>
      <c r="I98" s="221"/>
      <c r="J98" s="221"/>
      <c r="K98" s="229">
        <f t="shared" si="5"/>
        <v>96</v>
      </c>
      <c r="L98" s="230">
        <f t="shared" si="3"/>
        <v>-0.10468427681369076</v>
      </c>
      <c r="M98" s="230">
        <f t="shared" si="4"/>
        <v>0.99600436223217614</v>
      </c>
    </row>
    <row r="99" spans="1:13" x14ac:dyDescent="0.25">
      <c r="A99" s="237"/>
      <c r="B99" s="221"/>
      <c r="C99" s="215"/>
      <c r="D99" s="233"/>
      <c r="E99" s="215"/>
      <c r="F99" s="221"/>
      <c r="G99" s="221"/>
      <c r="H99" s="233"/>
      <c r="I99" s="221"/>
      <c r="J99" s="221"/>
      <c r="K99" s="229">
        <f t="shared" si="5"/>
        <v>97</v>
      </c>
      <c r="L99" s="230">
        <f t="shared" si="3"/>
        <v>-0.12208706055333757</v>
      </c>
      <c r="M99" s="230">
        <f t="shared" si="4"/>
        <v>0.99431931551949382</v>
      </c>
    </row>
    <row r="100" spans="1:13" x14ac:dyDescent="0.25">
      <c r="A100" s="237"/>
      <c r="B100" s="221"/>
      <c r="C100" s="215"/>
      <c r="D100" s="233"/>
      <c r="E100" s="215"/>
      <c r="F100" s="221"/>
      <c r="G100" s="221"/>
      <c r="H100" s="233"/>
      <c r="I100" s="221"/>
      <c r="J100" s="221"/>
      <c r="K100" s="229">
        <f t="shared" si="5"/>
        <v>98</v>
      </c>
      <c r="L100" s="230">
        <f t="shared" si="3"/>
        <v>-0.13946284102681272</v>
      </c>
      <c r="M100" s="230">
        <f t="shared" si="4"/>
        <v>0.99232967643986614</v>
      </c>
    </row>
    <row r="101" spans="1:13" x14ac:dyDescent="0.25">
      <c r="A101" s="237"/>
      <c r="B101" s="221"/>
      <c r="C101" s="215"/>
      <c r="D101" s="233"/>
      <c r="E101" s="215"/>
      <c r="F101" s="221"/>
      <c r="G101" s="221"/>
      <c r="H101" s="233"/>
      <c r="I101" s="221"/>
      <c r="J101" s="221"/>
      <c r="K101" s="229">
        <f t="shared" si="5"/>
        <v>99</v>
      </c>
      <c r="L101" s="230">
        <f t="shared" si="3"/>
        <v>-0.15680626384783408</v>
      </c>
      <c r="M101" s="230">
        <f t="shared" si="4"/>
        <v>0.99003578587979724</v>
      </c>
    </row>
    <row r="102" spans="1:13" x14ac:dyDescent="0.25">
      <c r="A102" s="237"/>
      <c r="B102" s="221"/>
      <c r="C102" s="215"/>
      <c r="D102" s="233"/>
      <c r="E102" s="215"/>
      <c r="F102" s="221"/>
      <c r="G102" s="221"/>
      <c r="H102" s="233"/>
      <c r="I102" s="221"/>
      <c r="J102" s="221"/>
      <c r="K102" s="229">
        <f t="shared" si="5"/>
        <v>100</v>
      </c>
      <c r="L102" s="230">
        <f t="shared" si="3"/>
        <v>-0.17411197520606145</v>
      </c>
      <c r="M102" s="230">
        <f t="shared" si="4"/>
        <v>0.98743807956386587</v>
      </c>
    </row>
    <row r="103" spans="1:13" x14ac:dyDescent="0.25">
      <c r="A103" s="237"/>
      <c r="B103" s="221"/>
      <c r="C103" s="215"/>
      <c r="D103" s="233"/>
      <c r="E103" s="215"/>
      <c r="F103" s="221"/>
      <c r="G103" s="221"/>
      <c r="H103" s="233"/>
      <c r="I103" s="221"/>
      <c r="J103" s="221"/>
      <c r="K103" s="229">
        <f t="shared" si="5"/>
        <v>101</v>
      </c>
      <c r="L103" s="230">
        <f t="shared" si="3"/>
        <v>-0.19137462357117205</v>
      </c>
      <c r="M103" s="230">
        <f t="shared" si="4"/>
        <v>0.98453708824787955</v>
      </c>
    </row>
    <row r="104" spans="1:13" x14ac:dyDescent="0.25">
      <c r="A104" s="237"/>
      <c r="B104" s="221"/>
      <c r="C104" s="215"/>
      <c r="D104" s="233"/>
      <c r="E104" s="215"/>
      <c r="F104" s="221"/>
      <c r="G104" s="221"/>
      <c r="H104" s="233"/>
      <c r="I104" s="221"/>
      <c r="J104" s="221"/>
      <c r="K104" s="229">
        <f t="shared" si="5"/>
        <v>102</v>
      </c>
      <c r="L104" s="230">
        <f t="shared" si="3"/>
        <v>-0.20858886140775065</v>
      </c>
      <c r="M104" s="230">
        <f t="shared" si="4"/>
        <v>0.98133343788073202</v>
      </c>
    </row>
    <row r="105" spans="1:13" x14ac:dyDescent="0.25">
      <c r="A105" s="237"/>
      <c r="B105" s="221"/>
      <c r="C105" s="215"/>
      <c r="D105" s="233"/>
      <c r="E105" s="215"/>
      <c r="F105" s="221"/>
      <c r="G105" s="221"/>
      <c r="H105" s="233"/>
      <c r="I105" s="221"/>
      <c r="J105" s="221"/>
      <c r="K105" s="229">
        <f t="shared" si="5"/>
        <v>103</v>
      </c>
      <c r="L105" s="230">
        <f t="shared" si="3"/>
        <v>-0.22574934690040527</v>
      </c>
      <c r="M105" s="230">
        <f t="shared" si="4"/>
        <v>0.97782784973450998</v>
      </c>
    </row>
    <row r="106" spans="1:13" x14ac:dyDescent="0.25">
      <c r="A106" s="237"/>
      <c r="B106" s="221"/>
      <c r="C106" s="215"/>
      <c r="D106" s="233"/>
      <c r="E106" s="215"/>
      <c r="F106" s="221"/>
      <c r="G106" s="221"/>
      <c r="H106" s="233"/>
      <c r="I106" s="221"/>
      <c r="J106" s="221"/>
      <c r="K106" s="229">
        <f t="shared" si="5"/>
        <v>104</v>
      </c>
      <c r="L106" s="230">
        <f t="shared" si="3"/>
        <v>-0.24285074568850035</v>
      </c>
      <c r="M106" s="230">
        <f t="shared" si="4"/>
        <v>0.97402114050239919</v>
      </c>
    </row>
    <row r="107" spans="1:13" x14ac:dyDescent="0.25">
      <c r="A107" s="237"/>
      <c r="B107" s="221"/>
      <c r="C107" s="215"/>
      <c r="D107" s="233"/>
      <c r="E107" s="215"/>
      <c r="F107" s="221"/>
      <c r="G107" s="221"/>
      <c r="H107" s="233"/>
      <c r="I107" s="221"/>
      <c r="J107" s="221"/>
      <c r="K107" s="229">
        <f t="shared" si="5"/>
        <v>105</v>
      </c>
      <c r="L107" s="230">
        <f t="shared" si="3"/>
        <v>-0.25988773260988135</v>
      </c>
      <c r="M107" s="230">
        <f t="shared" si="4"/>
        <v>0.96991422236395175</v>
      </c>
    </row>
    <row r="108" spans="1:13" x14ac:dyDescent="0.25">
      <c r="A108" s="237"/>
      <c r="B108" s="221"/>
      <c r="C108" s="215"/>
      <c r="D108" s="233"/>
      <c r="E108" s="215"/>
      <c r="F108" s="221"/>
      <c r="G108" s="221"/>
      <c r="H108" s="233"/>
      <c r="I108" s="221"/>
      <c r="J108" s="221"/>
      <c r="K108" s="229">
        <f t="shared" si="5"/>
        <v>106</v>
      </c>
      <c r="L108" s="230">
        <f t="shared" si="3"/>
        <v>-0.27685499345294967</v>
      </c>
      <c r="M108" s="230">
        <f t="shared" si="4"/>
        <v>0.9655081030172975</v>
      </c>
    </row>
    <row r="109" spans="1:13" x14ac:dyDescent="0.25">
      <c r="A109" s="237"/>
      <c r="B109" s="221"/>
      <c r="C109" s="215"/>
      <c r="D109" s="233"/>
      <c r="E109" s="215"/>
      <c r="F109" s="221"/>
      <c r="G109" s="221"/>
      <c r="H109" s="233"/>
      <c r="I109" s="221"/>
      <c r="J109" s="221"/>
      <c r="K109" s="229">
        <f t="shared" si="5"/>
        <v>107</v>
      </c>
      <c r="L109" s="230">
        <f t="shared" si="3"/>
        <v>-0.293747226716427</v>
      </c>
      <c r="M109" s="230">
        <f t="shared" si="4"/>
        <v>0.96080388567788011</v>
      </c>
    </row>
    <row r="110" spans="1:13" x14ac:dyDescent="0.25">
      <c r="A110" s="237"/>
      <c r="B110" s="221"/>
      <c r="C110" s="215"/>
      <c r="D110" s="233"/>
      <c r="E110" s="215"/>
      <c r="F110" s="221"/>
      <c r="G110" s="221"/>
      <c r="H110" s="233"/>
      <c r="I110" s="221"/>
      <c r="J110" s="221"/>
      <c r="K110" s="229">
        <f t="shared" si="5"/>
        <v>108</v>
      </c>
      <c r="L110" s="230">
        <f t="shared" si="3"/>
        <v>-0.31055914537612933</v>
      </c>
      <c r="M110" s="230">
        <f t="shared" si="4"/>
        <v>0.95580276904332984</v>
      </c>
    </row>
    <row r="111" spans="1:13" x14ac:dyDescent="0.25">
      <c r="A111" s="237"/>
      <c r="B111" s="221"/>
      <c r="C111" s="215"/>
      <c r="D111" s="233"/>
      <c r="E111" s="215"/>
      <c r="F111" s="221"/>
      <c r="G111" s="221"/>
      <c r="H111" s="233"/>
      <c r="I111" s="221"/>
      <c r="J111" s="221"/>
      <c r="K111" s="229">
        <f t="shared" si="5"/>
        <v>109</v>
      </c>
      <c r="L111" s="230">
        <f t="shared" si="3"/>
        <v>-0.32728547865806318</v>
      </c>
      <c r="M111" s="230">
        <f t="shared" si="4"/>
        <v>0.9505060472240856</v>
      </c>
    </row>
    <row r="112" spans="1:13" x14ac:dyDescent="0.25">
      <c r="A112" s="237"/>
      <c r="B112" s="221"/>
      <c r="C112" s="215"/>
      <c r="D112" s="233"/>
      <c r="E112" s="215"/>
      <c r="F112" s="221"/>
      <c r="G112" s="221"/>
      <c r="H112" s="233"/>
      <c r="I112" s="221"/>
      <c r="J112" s="221"/>
      <c r="K112" s="229">
        <f t="shared" si="5"/>
        <v>110</v>
      </c>
      <c r="L112" s="230">
        <f t="shared" si="3"/>
        <v>-0.34392097381712744</v>
      </c>
      <c r="M112" s="230">
        <f t="shared" si="4"/>
        <v>0.94491510963940206</v>
      </c>
    </row>
    <row r="113" spans="1:13" x14ac:dyDescent="0.25">
      <c r="A113" s="237"/>
      <c r="B113" s="221"/>
      <c r="C113" s="215"/>
      <c r="D113" s="233"/>
      <c r="E113" s="215"/>
      <c r="F113" s="221"/>
      <c r="G113" s="221"/>
      <c r="H113" s="233"/>
      <c r="I113" s="221"/>
      <c r="J113" s="221"/>
      <c r="K113" s="229">
        <f t="shared" si="5"/>
        <v>111</v>
      </c>
      <c r="L113" s="230">
        <f t="shared" si="3"/>
        <v>-0.36046039792069878</v>
      </c>
      <c r="M113" s="230">
        <f t="shared" si="4"/>
        <v>0.93903144087838875</v>
      </c>
    </row>
    <row r="114" spans="1:13" x14ac:dyDescent="0.25">
      <c r="A114" s="237"/>
      <c r="B114" s="221"/>
      <c r="C114" s="215"/>
      <c r="D114" s="233"/>
      <c r="E114" s="215"/>
      <c r="F114" s="221"/>
      <c r="G114" s="221"/>
      <c r="H114" s="233"/>
      <c r="I114" s="221"/>
      <c r="J114" s="221"/>
      <c r="K114" s="229">
        <f t="shared" si="5"/>
        <v>112</v>
      </c>
      <c r="L114" s="230">
        <f t="shared" si="3"/>
        <v>-0.37689853963635717</v>
      </c>
      <c r="M114" s="230">
        <f t="shared" si="4"/>
        <v>0.93285662052574825</v>
      </c>
    </row>
    <row r="115" spans="1:13" x14ac:dyDescent="0.25">
      <c r="A115" s="237"/>
      <c r="B115" s="221"/>
      <c r="C115" s="215"/>
      <c r="D115" s="233"/>
      <c r="E115" s="215"/>
      <c r="F115" s="221"/>
      <c r="G115" s="221"/>
      <c r="H115" s="233"/>
      <c r="I115" s="221"/>
      <c r="J115" s="221"/>
      <c r="K115" s="229">
        <f t="shared" si="5"/>
        <v>113</v>
      </c>
      <c r="L115" s="230">
        <f t="shared" si="3"/>
        <v>-0.39323021102299494</v>
      </c>
      <c r="M115" s="230">
        <f t="shared" si="4"/>
        <v>0.92639232295189611</v>
      </c>
    </row>
    <row r="116" spans="1:13" x14ac:dyDescent="0.25">
      <c r="A116" s="237"/>
      <c r="B116" s="221"/>
      <c r="C116" s="215"/>
      <c r="D116" s="233"/>
      <c r="E116" s="215"/>
      <c r="F116" s="221"/>
      <c r="G116" s="221"/>
      <c r="H116" s="233"/>
      <c r="I116" s="221"/>
      <c r="J116" s="221"/>
      <c r="K116" s="229">
        <f t="shared" si="5"/>
        <v>114</v>
      </c>
      <c r="L116" s="230">
        <f t="shared" si="3"/>
        <v>-0.40945024932453711</v>
      </c>
      <c r="M116" s="230">
        <f t="shared" si="4"/>
        <v>0.9196403170671601</v>
      </c>
    </row>
    <row r="117" spans="1:13" x14ac:dyDescent="0.25">
      <c r="A117" s="237"/>
      <c r="B117" s="221"/>
      <c r="C117" s="215"/>
      <c r="D117" s="233"/>
      <c r="E117" s="215"/>
      <c r="F117" s="221"/>
      <c r="G117" s="221"/>
      <c r="H117" s="233"/>
      <c r="I117" s="221"/>
      <c r="J117" s="221"/>
      <c r="K117" s="229">
        <f t="shared" si="5"/>
        <v>115</v>
      </c>
      <c r="L117" s="230">
        <f t="shared" si="3"/>
        <v>-0.42555351876548753</v>
      </c>
      <c r="M117" s="230">
        <f t="shared" si="4"/>
        <v>0.91260246603978268</v>
      </c>
    </row>
    <row r="118" spans="1:13" x14ac:dyDescent="0.25">
      <c r="A118" s="237"/>
      <c r="B118" s="221"/>
      <c r="C118" s="215"/>
      <c r="D118" s="233"/>
      <c r="E118" s="215"/>
      <c r="F118" s="221"/>
      <c r="G118" s="221"/>
      <c r="H118" s="233"/>
      <c r="I118" s="221"/>
      <c r="J118" s="221"/>
      <c r="K118" s="229">
        <f t="shared" si="5"/>
        <v>116</v>
      </c>
      <c r="L118" s="230">
        <f t="shared" si="3"/>
        <v>-0.44153491234749964</v>
      </c>
      <c r="M118" s="230">
        <f t="shared" si="4"/>
        <v>0.9052807269774561</v>
      </c>
    </row>
    <row r="119" spans="1:13" x14ac:dyDescent="0.25">
      <c r="A119" s="237"/>
      <c r="B119" s="221"/>
      <c r="C119" s="215"/>
      <c r="D119" s="233"/>
      <c r="E119" s="215"/>
      <c r="F119" s="221"/>
      <c r="G119" s="221"/>
      <c r="H119" s="233"/>
      <c r="I119" s="221"/>
      <c r="J119" s="221"/>
      <c r="K119" s="229">
        <f t="shared" si="5"/>
        <v>117</v>
      </c>
      <c r="L119" s="230">
        <f t="shared" si="3"/>
        <v>-0.45738935364615718</v>
      </c>
      <c r="M119" s="230">
        <f t="shared" si="4"/>
        <v>0.89767715057215891</v>
      </c>
    </row>
    <row r="120" spans="1:13" x14ac:dyDescent="0.25">
      <c r="A120" s="237"/>
      <c r="B120" s="221"/>
      <c r="C120" s="215"/>
      <c r="D120" s="233"/>
      <c r="E120" s="215"/>
      <c r="F120" s="221"/>
      <c r="G120" s="221"/>
      <c r="H120" s="233"/>
      <c r="I120" s="221"/>
      <c r="J120" s="221"/>
      <c r="K120" s="229">
        <f t="shared" si="5"/>
        <v>118</v>
      </c>
      <c r="L120" s="230">
        <f t="shared" si="3"/>
        <v>-0.47311179860714297</v>
      </c>
      <c r="M120" s="230">
        <f t="shared" si="4"/>
        <v>0.88979388070805732</v>
      </c>
    </row>
    <row r="121" spans="1:13" x14ac:dyDescent="0.25">
      <c r="A121" s="237"/>
      <c r="B121" s="221"/>
      <c r="C121" s="215"/>
      <c r="D121" s="233"/>
      <c r="E121" s="215"/>
      <c r="F121" s="221"/>
      <c r="G121" s="221"/>
      <c r="H121" s="233"/>
      <c r="I121" s="221"/>
      <c r="J121" s="221"/>
      <c r="K121" s="229">
        <f t="shared" si="5"/>
        <v>119</v>
      </c>
      <c r="L121" s="230">
        <f t="shared" si="3"/>
        <v>-0.48869723734094772</v>
      </c>
      <c r="M121" s="230">
        <f t="shared" si="4"/>
        <v>0.88163315403228315</v>
      </c>
    </row>
    <row r="122" spans="1:13" x14ac:dyDescent="0.25">
      <c r="A122" s="237"/>
      <c r="B122" s="221"/>
      <c r="C122" s="215"/>
      <c r="D122" s="233"/>
      <c r="E122" s="215"/>
      <c r="F122" s="221"/>
      <c r="G122" s="221"/>
      <c r="H122" s="233"/>
      <c r="I122" s="221"/>
      <c r="J122" s="221"/>
      <c r="K122" s="229">
        <f t="shared" si="5"/>
        <v>120</v>
      </c>
      <c r="L122" s="230">
        <f t="shared" si="3"/>
        <v>-0.50414069591527966</v>
      </c>
      <c r="M122" s="230">
        <f t="shared" si="4"/>
        <v>0.87319729948839642</v>
      </c>
    </row>
    <row r="123" spans="1:13" x14ac:dyDescent="0.25">
      <c r="A123" s="237"/>
      <c r="B123" s="221"/>
      <c r="C123" s="215"/>
      <c r="D123" s="233"/>
      <c r="E123" s="215"/>
      <c r="F123" s="221"/>
      <c r="G123" s="221"/>
      <c r="H123" s="233"/>
      <c r="I123" s="221"/>
      <c r="J123" s="221"/>
      <c r="K123" s="229">
        <f t="shared" si="5"/>
        <v>121</v>
      </c>
      <c r="L123" s="230">
        <f t="shared" si="3"/>
        <v>-0.51943723814430276</v>
      </c>
      <c r="M123" s="230">
        <f t="shared" si="4"/>
        <v>0.86448873781238278</v>
      </c>
    </row>
    <row r="124" spans="1:13" x14ac:dyDescent="0.25">
      <c r="A124" s="237"/>
      <c r="B124" s="221"/>
      <c r="C124" s="215"/>
      <c r="D124" s="233"/>
      <c r="E124" s="215"/>
      <c r="F124" s="221"/>
      <c r="G124" s="221"/>
      <c r="H124" s="233"/>
      <c r="I124" s="221"/>
      <c r="J124" s="221"/>
      <c r="K124" s="229">
        <f t="shared" si="5"/>
        <v>122</v>
      </c>
      <c r="L124" s="230">
        <f t="shared" si="3"/>
        <v>-0.53458196737383379</v>
      </c>
      <c r="M124" s="230">
        <f t="shared" si="4"/>
        <v>0.8555099809910427</v>
      </c>
    </row>
    <row r="125" spans="1:13" x14ac:dyDescent="0.25">
      <c r="A125" s="237"/>
      <c r="B125" s="221"/>
      <c r="C125" s="215"/>
      <c r="D125" s="233"/>
      <c r="E125" s="215"/>
      <c r="F125" s="221"/>
      <c r="G125" s="221"/>
      <c r="H125" s="233"/>
      <c r="I125" s="221"/>
      <c r="J125" s="221"/>
      <c r="K125" s="229">
        <f t="shared" si="5"/>
        <v>123</v>
      </c>
      <c r="L125" s="230">
        <f t="shared" si="3"/>
        <v>-0.54957002826162271</v>
      </c>
      <c r="M125" s="230">
        <f t="shared" si="4"/>
        <v>0.84626363168266294</v>
      </c>
    </row>
    <row r="126" spans="1:13" x14ac:dyDescent="0.25">
      <c r="A126" s="237"/>
      <c r="B126" s="221"/>
      <c r="C126" s="215"/>
      <c r="D126" s="233"/>
      <c r="E126" s="215"/>
      <c r="F126" s="221"/>
      <c r="G126" s="221"/>
      <c r="H126" s="233"/>
      <c r="I126" s="221"/>
      <c r="J126" s="221"/>
      <c r="K126" s="229">
        <f t="shared" si="5"/>
        <v>124</v>
      </c>
      <c r="L126" s="230">
        <f t="shared" si="3"/>
        <v>-0.56439660855181084</v>
      </c>
      <c r="M126" s="230">
        <f t="shared" si="4"/>
        <v>0.83675238259987894</v>
      </c>
    </row>
    <row r="127" spans="1:13" x14ac:dyDescent="0.25">
      <c r="A127" s="237"/>
      <c r="B127" s="221"/>
      <c r="C127" s="215"/>
      <c r="D127" s="233"/>
      <c r="E127" s="215"/>
      <c r="F127" s="221"/>
      <c r="G127" s="221"/>
      <c r="H127" s="233"/>
      <c r="I127" s="221"/>
      <c r="J127" s="221"/>
      <c r="K127" s="229">
        <f t="shared" si="5"/>
        <v>125</v>
      </c>
      <c r="L127" s="230">
        <f t="shared" si="3"/>
        <v>-0.57905694084267967</v>
      </c>
      <c r="M127" s="230">
        <f t="shared" si="4"/>
        <v>0.82697901585465927</v>
      </c>
    </row>
    <row r="128" spans="1:13" x14ac:dyDescent="0.25">
      <c r="A128" s="237"/>
      <c r="B128" s="221"/>
      <c r="C128" s="215"/>
      <c r="D128" s="233"/>
      <c r="E128" s="215"/>
      <c r="F128" s="221"/>
      <c r="G128" s="221"/>
      <c r="H128" s="233"/>
      <c r="I128" s="221"/>
      <c r="J128" s="221"/>
      <c r="K128" s="229">
        <f t="shared" si="5"/>
        <v>126</v>
      </c>
      <c r="L128" s="230">
        <f t="shared" si="3"/>
        <v>-0.59354630434677202</v>
      </c>
      <c r="M128" s="230">
        <f t="shared" si="4"/>
        <v>0.81694640226537796</v>
      </c>
    </row>
    <row r="129" spans="1:13" x14ac:dyDescent="0.25">
      <c r="A129" s="237"/>
      <c r="B129" s="221"/>
      <c r="C129" s="215"/>
      <c r="D129" s="233"/>
      <c r="E129" s="215"/>
      <c r="F129" s="221"/>
      <c r="G129" s="221"/>
      <c r="H129" s="233"/>
      <c r="I129" s="221"/>
      <c r="J129" s="221"/>
      <c r="K129" s="229">
        <f t="shared" si="5"/>
        <v>127</v>
      </c>
      <c r="L129" s="230">
        <f t="shared" si="3"/>
        <v>-0.60786002664247718</v>
      </c>
      <c r="M129" s="230">
        <f t="shared" si="4"/>
        <v>0.80665750062594366</v>
      </c>
    </row>
    <row r="130" spans="1:13" x14ac:dyDescent="0.25">
      <c r="A130" s="237"/>
      <c r="B130" s="221"/>
      <c r="C130" s="215"/>
      <c r="D130" s="233"/>
      <c r="E130" s="215"/>
      <c r="F130" s="221"/>
      <c r="G130" s="221"/>
      <c r="H130" s="233"/>
      <c r="I130" s="221"/>
      <c r="J130" s="221"/>
      <c r="K130" s="229">
        <f t="shared" si="5"/>
        <v>128</v>
      </c>
      <c r="L130" s="230">
        <f t="shared" si="3"/>
        <v>-0.62199348541615151</v>
      </c>
      <c r="M130" s="230">
        <f t="shared" si="4"/>
        <v>0.79611535693701097</v>
      </c>
    </row>
    <row r="131" spans="1:13" x14ac:dyDescent="0.25">
      <c r="A131" s="237"/>
      <c r="B131" s="221"/>
      <c r="C131" s="215"/>
      <c r="D131" s="233"/>
      <c r="E131" s="215"/>
      <c r="F131" s="221"/>
      <c r="G131" s="221"/>
      <c r="H131" s="233"/>
      <c r="I131" s="221"/>
      <c r="J131" s="221"/>
      <c r="K131" s="229">
        <f t="shared" si="5"/>
        <v>129</v>
      </c>
      <c r="L131" s="230">
        <f t="shared" ref="L131:L194" si="6">IF($D$2="","", ($D$2*(1-$E$2^2)/(1+$E$2*COS(RADIANS(K131)))) * COS(RADIANS(K131)) )</f>
        <v>-0.63594211019385216</v>
      </c>
      <c r="M131" s="230">
        <f t="shared" ref="M131:M194" si="7">IF($D$2="","", ($D$2*(1-$E$2^2)/(1+$E$2*COS(RADIANS(K131)))) * SIN(RADIANS(K131)) )</f>
        <v>0.7853231035992887</v>
      </c>
    </row>
    <row r="132" spans="1:13" x14ac:dyDescent="0.25">
      <c r="A132" s="237"/>
      <c r="B132" s="221"/>
      <c r="C132" s="215"/>
      <c r="D132" s="233"/>
      <c r="E132" s="215"/>
      <c r="F132" s="221"/>
      <c r="G132" s="221"/>
      <c r="H132" s="233"/>
      <c r="I132" s="221"/>
      <c r="J132" s="221"/>
      <c r="K132" s="229">
        <f t="shared" ref="K132:K195" si="8">K131+1</f>
        <v>130</v>
      </c>
      <c r="L132" s="230">
        <f t="shared" si="6"/>
        <v>-0.64970138406174849</v>
      </c>
      <c r="M132" s="230">
        <f t="shared" si="7"/>
        <v>0.77428395856901922</v>
      </c>
    </row>
    <row r="133" spans="1:13" x14ac:dyDescent="0.25">
      <c r="A133" s="237"/>
      <c r="B133" s="221"/>
      <c r="C133" s="215"/>
      <c r="D133" s="233"/>
      <c r="E133" s="215"/>
      <c r="F133" s="221"/>
      <c r="G133" s="221"/>
      <c r="H133" s="233"/>
      <c r="I133" s="221"/>
      <c r="J133" s="221"/>
      <c r="K133" s="229">
        <f t="shared" si="8"/>
        <v>131</v>
      </c>
      <c r="L133" s="230">
        <f t="shared" si="6"/>
        <v>-0.66326684537427216</v>
      </c>
      <c r="M133" s="230">
        <f t="shared" si="7"/>
        <v>0.7630012244757054</v>
      </c>
    </row>
    <row r="134" spans="1:13" x14ac:dyDescent="0.25">
      <c r="A134" s="237"/>
      <c r="B134" s="221"/>
      <c r="C134" s="215"/>
      <c r="D134" s="233"/>
      <c r="E134" s="215"/>
      <c r="F134" s="221"/>
      <c r="G134" s="221"/>
      <c r="H134" s="233"/>
      <c r="I134" s="221"/>
      <c r="J134" s="221"/>
      <c r="K134" s="229">
        <f t="shared" si="8"/>
        <v>132</v>
      </c>
      <c r="L134" s="230">
        <f t="shared" si="6"/>
        <v>-0.67663408944907477</v>
      </c>
      <c r="M134" s="230">
        <f t="shared" si="7"/>
        <v>0.75147828770219793</v>
      </c>
    </row>
    <row r="135" spans="1:13" x14ac:dyDescent="0.25">
      <c r="A135" s="237"/>
      <c r="B135" s="221"/>
      <c r="C135" s="215"/>
      <c r="D135" s="233"/>
      <c r="E135" s="215"/>
      <c r="F135" s="221"/>
      <c r="G135" s="221"/>
      <c r="H135" s="233"/>
      <c r="I135" s="221"/>
      <c r="J135" s="221"/>
      <c r="K135" s="229">
        <f t="shared" si="8"/>
        <v>133</v>
      </c>
      <c r="L135" s="230">
        <f t="shared" si="6"/>
        <v>-0.68979877024783687</v>
      </c>
      <c r="M135" s="230">
        <f t="shared" si="7"/>
        <v>0.7397186174272854</v>
      </c>
    </row>
    <row r="136" spans="1:13" x14ac:dyDescent="0.25">
      <c r="A136" s="237"/>
      <c r="B136" s="221"/>
      <c r="C136" s="215"/>
      <c r="D136" s="233"/>
      <c r="E136" s="215"/>
      <c r="F136" s="221"/>
      <c r="G136" s="221"/>
      <c r="H136" s="233"/>
      <c r="I136" s="221"/>
      <c r="J136" s="221"/>
      <c r="K136" s="229">
        <f t="shared" si="8"/>
        <v>134</v>
      </c>
      <c r="L136" s="230">
        <f t="shared" si="6"/>
        <v>-0.7027566020419993</v>
      </c>
      <c r="M136" s="230">
        <f t="shared" si="7"/>
        <v>0.72772576463094585</v>
      </c>
    </row>
    <row r="137" spans="1:13" x14ac:dyDescent="0.25">
      <c r="A137" s="237"/>
      <c r="B137" s="221"/>
      <c r="C137" s="215"/>
      <c r="D137" s="233"/>
      <c r="E137" s="215"/>
      <c r="F137" s="221"/>
      <c r="G137" s="221"/>
      <c r="H137" s="233"/>
      <c r="I137" s="221"/>
      <c r="J137" s="221"/>
      <c r="K137" s="229">
        <f t="shared" si="8"/>
        <v>135</v>
      </c>
      <c r="L137" s="230">
        <f t="shared" si="6"/>
        <v>-0.71550336106245815</v>
      </c>
      <c r="M137" s="230">
        <f t="shared" si="7"/>
        <v>0.71550336106245827</v>
      </c>
    </row>
    <row r="138" spans="1:13" x14ac:dyDescent="0.25">
      <c r="A138" s="237"/>
      <c r="B138" s="221"/>
      <c r="C138" s="215"/>
      <c r="D138" s="233"/>
      <c r="E138" s="215"/>
      <c r="F138" s="221"/>
      <c r="G138" s="221"/>
      <c r="H138" s="233"/>
      <c r="I138" s="221"/>
      <c r="J138" s="221"/>
      <c r="K138" s="229">
        <f t="shared" si="8"/>
        <v>136</v>
      </c>
      <c r="L138" s="230">
        <f t="shared" si="6"/>
        <v>-0.7280348871322917</v>
      </c>
      <c r="M138" s="230">
        <f t="shared" si="7"/>
        <v>0.70305511817158894</v>
      </c>
    </row>
    <row r="139" spans="1:13" x14ac:dyDescent="0.25">
      <c r="A139" s="237"/>
      <c r="B139" s="221"/>
      <c r="C139" s="215"/>
      <c r="D139" s="233"/>
      <c r="E139" s="215"/>
      <c r="F139" s="221"/>
      <c r="G139" s="221"/>
      <c r="H139" s="233"/>
      <c r="I139" s="221"/>
      <c r="J139" s="221"/>
      <c r="K139" s="229">
        <f t="shared" si="8"/>
        <v>137</v>
      </c>
      <c r="L139" s="230">
        <f t="shared" si="6"/>
        <v>-0.74034708528156434</v>
      </c>
      <c r="M139" s="230">
        <f t="shared" si="7"/>
        <v>0.6903848260031048</v>
      </c>
    </row>
    <row r="140" spans="1:13" x14ac:dyDescent="0.25">
      <c r="A140" s="237"/>
      <c r="B140" s="221"/>
      <c r="C140" s="215"/>
      <c r="D140" s="233"/>
      <c r="E140" s="215"/>
      <c r="F140" s="221"/>
      <c r="G140" s="221"/>
      <c r="H140" s="233"/>
      <c r="I140" s="221"/>
      <c r="J140" s="221"/>
      <c r="K140" s="229">
        <f t="shared" si="8"/>
        <v>138</v>
      </c>
      <c r="L140" s="230">
        <f t="shared" si="6"/>
        <v>-0.75243592734327458</v>
      </c>
      <c r="M140" s="230">
        <f t="shared" si="7"/>
        <v>0.67749635205488035</v>
      </c>
    </row>
    <row r="141" spans="1:13" x14ac:dyDescent="0.25">
      <c r="A141" s="237"/>
      <c r="B141" s="221"/>
      <c r="C141" s="215"/>
      <c r="D141" s="233"/>
      <c r="E141" s="215"/>
      <c r="F141" s="221"/>
      <c r="G141" s="221"/>
      <c r="H141" s="233"/>
      <c r="I141" s="221"/>
      <c r="J141" s="221"/>
      <c r="K141" s="229">
        <f t="shared" si="8"/>
        <v>139</v>
      </c>
      <c r="L141" s="230">
        <f t="shared" si="6"/>
        <v>-0.76429745352950362</v>
      </c>
      <c r="M141" s="230">
        <f t="shared" si="7"/>
        <v>0.66439364009991131</v>
      </c>
    </row>
    <row r="142" spans="1:13" x14ac:dyDescent="0.25">
      <c r="A142" s="237"/>
      <c r="B142" s="221"/>
      <c r="C142" s="215"/>
      <c r="D142" s="233"/>
      <c r="E142" s="215"/>
      <c r="F142" s="221"/>
      <c r="G142" s="221"/>
      <c r="H142" s="233"/>
      <c r="I142" s="221"/>
      <c r="J142" s="221"/>
      <c r="K142" s="229">
        <f t="shared" si="8"/>
        <v>140</v>
      </c>
      <c r="L142" s="230">
        <f t="shared" si="6"/>
        <v>-0.77592777398682955</v>
      </c>
      <c r="M142" s="230">
        <f t="shared" si="7"/>
        <v>0.65108070897255677</v>
      </c>
    </row>
    <row r="143" spans="1:13" x14ac:dyDescent="0.25">
      <c r="A143" s="237"/>
      <c r="B143" s="221"/>
      <c r="C143" s="215"/>
      <c r="D143" s="233"/>
      <c r="E143" s="215"/>
      <c r="F143" s="221"/>
      <c r="G143" s="221"/>
      <c r="H143" s="233"/>
      <c r="I143" s="221"/>
      <c r="J143" s="221"/>
      <c r="K143" s="229">
        <f t="shared" si="8"/>
        <v>141</v>
      </c>
      <c r="L143" s="230">
        <f t="shared" si="6"/>
        <v>-0.78732307033008164</v>
      </c>
      <c r="M143" s="230">
        <f t="shared" si="7"/>
        <v>0.6375616513193697</v>
      </c>
    </row>
    <row r="144" spans="1:13" x14ac:dyDescent="0.25">
      <c r="A144" s="237"/>
      <c r="B144" s="221"/>
      <c r="C144" s="215"/>
      <c r="D144" s="233"/>
      <c r="E144" s="215"/>
      <c r="F144" s="221"/>
      <c r="G144" s="221"/>
      <c r="H144" s="233"/>
      <c r="I144" s="221"/>
      <c r="J144" s="221"/>
      <c r="K144" s="229">
        <f t="shared" si="8"/>
        <v>142</v>
      </c>
      <c r="L144" s="230">
        <f t="shared" si="6"/>
        <v>-0.79847959715350247</v>
      </c>
      <c r="M144" s="230">
        <f t="shared" si="7"/>
        <v>0.62384063231490572</v>
      </c>
    </row>
    <row r="145" spans="1:13" x14ac:dyDescent="0.25">
      <c r="A145" s="237"/>
      <c r="B145" s="221"/>
      <c r="C145" s="215"/>
      <c r="D145" s="233"/>
      <c r="E145" s="215"/>
      <c r="F145" s="221"/>
      <c r="G145" s="221"/>
      <c r="H145" s="233"/>
      <c r="I145" s="221"/>
      <c r="J145" s="221"/>
      <c r="K145" s="229">
        <f t="shared" si="8"/>
        <v>143</v>
      </c>
      <c r="L145" s="230">
        <f t="shared" si="6"/>
        <v>-0.80939368351840757</v>
      </c>
      <c r="M145" s="230">
        <f t="shared" si="7"/>
        <v>0.60992188834291505</v>
      </c>
    </row>
    <row r="146" spans="1:13" x14ac:dyDescent="0.25">
      <c r="A146" s="237"/>
      <c r="B146" s="221"/>
      <c r="C146" s="215"/>
      <c r="D146" s="233"/>
      <c r="E146" s="215"/>
      <c r="F146" s="221"/>
      <c r="G146" s="221"/>
      <c r="H146" s="233"/>
      <c r="I146" s="221"/>
      <c r="J146" s="221"/>
      <c r="K146" s="229">
        <f t="shared" si="8"/>
        <v>144</v>
      </c>
      <c r="L146" s="230">
        <f t="shared" si="6"/>
        <v>-0.82006173441642416</v>
      </c>
      <c r="M146" s="230">
        <f t="shared" si="7"/>
        <v>0.59580972564336987</v>
      </c>
    </row>
    <row r="147" spans="1:13" x14ac:dyDescent="0.25">
      <c r="A147" s="237"/>
      <c r="B147" s="221"/>
      <c r="C147" s="215"/>
      <c r="D147" s="233"/>
      <c r="E147" s="215"/>
      <c r="F147" s="221"/>
      <c r="G147" s="221"/>
      <c r="H147" s="233"/>
      <c r="I147" s="221"/>
      <c r="J147" s="221"/>
      <c r="K147" s="229">
        <f t="shared" si="8"/>
        <v>145</v>
      </c>
      <c r="L147" s="230">
        <f t="shared" si="6"/>
        <v>-0.83048023220741551</v>
      </c>
      <c r="M147" s="230">
        <f t="shared" si="7"/>
        <v>0.58150851892578237</v>
      </c>
    </row>
    <row r="148" spans="1:13" x14ac:dyDescent="0.25">
      <c r="A148" s="237"/>
      <c r="B148" s="221"/>
      <c r="C148" s="215"/>
      <c r="D148" s="233"/>
      <c r="E148" s="215"/>
      <c r="F148" s="221"/>
      <c r="G148" s="221"/>
      <c r="H148" s="233"/>
      <c r="I148" s="221"/>
      <c r="J148" s="221"/>
      <c r="K148" s="229">
        <f t="shared" si="8"/>
        <v>146</v>
      </c>
      <c r="L148" s="230">
        <f t="shared" si="6"/>
        <v>-0.84064573803118736</v>
      </c>
      <c r="M148" s="230">
        <f t="shared" si="7"/>
        <v>0.56702270994932336</v>
      </c>
    </row>
    <row r="149" spans="1:13" x14ac:dyDescent="0.25">
      <c r="A149" s="237"/>
      <c r="B149" s="221"/>
      <c r="C149" s="215"/>
      <c r="D149" s="233"/>
      <c r="E149" s="215"/>
      <c r="F149" s="221"/>
      <c r="G149" s="221"/>
      <c r="H149" s="233"/>
      <c r="I149" s="221"/>
      <c r="J149" s="221"/>
      <c r="K149" s="229">
        <f t="shared" si="8"/>
        <v>147</v>
      </c>
      <c r="L149" s="230">
        <f t="shared" si="6"/>
        <v>-0.85055489319210487</v>
      </c>
      <c r="M149" s="230">
        <f t="shared" si="7"/>
        <v>0.55235680607025073</v>
      </c>
    </row>
    <row r="150" spans="1:13" x14ac:dyDescent="0.25">
      <c r="A150" s="237"/>
      <c r="B150" s="221"/>
      <c r="C150" s="215"/>
      <c r="D150" s="233"/>
      <c r="E150" s="215"/>
      <c r="F150" s="221"/>
      <c r="G150" s="221"/>
      <c r="H150" s="233"/>
      <c r="I150" s="221"/>
      <c r="J150" s="221"/>
      <c r="K150" s="229">
        <f t="shared" si="8"/>
        <v>148</v>
      </c>
      <c r="L150" s="230">
        <f t="shared" si="6"/>
        <v>-0.86020442051574009</v>
      </c>
      <c r="M150" s="230">
        <f t="shared" si="7"/>
        <v>0.53751537875720901</v>
      </c>
    </row>
    <row r="151" spans="1:13" x14ac:dyDescent="0.25">
      <c r="A151" s="237"/>
      <c r="B151" s="221"/>
      <c r="C151" s="215"/>
      <c r="D151" s="233"/>
      <c r="E151" s="215"/>
      <c r="F151" s="221"/>
      <c r="G151" s="221"/>
      <c r="H151" s="233"/>
      <c r="I151" s="221"/>
      <c r="J151" s="221"/>
      <c r="K151" s="229">
        <f t="shared" si="8"/>
        <v>149</v>
      </c>
      <c r="L151" s="230">
        <f t="shared" si="6"/>
        <v>-0.86959112567669294</v>
      </c>
      <c r="M151" s="230">
        <f t="shared" si="7"/>
        <v>0.52250306207497099</v>
      </c>
    </row>
    <row r="152" spans="1:13" x14ac:dyDescent="0.25">
      <c r="A152" s="237"/>
      <c r="B152" s="221"/>
      <c r="C152" s="215"/>
      <c r="D152" s="233"/>
      <c r="E152" s="215"/>
      <c r="F152" s="221"/>
      <c r="G152" s="221"/>
      <c r="H152" s="233"/>
      <c r="I152" s="221"/>
      <c r="J152" s="221"/>
      <c r="K152" s="229">
        <f t="shared" si="8"/>
        <v>150</v>
      </c>
      <c r="L152" s="230">
        <f t="shared" si="6"/>
        <v>-0.87871189849674414</v>
      </c>
      <c r="M152" s="230">
        <f t="shared" si="7"/>
        <v>0.50732455113722219</v>
      </c>
    </row>
    <row r="153" spans="1:13" x14ac:dyDescent="0.25">
      <c r="A153" s="237"/>
      <c r="B153" s="221"/>
      <c r="C153" s="215"/>
      <c r="D153" s="233"/>
      <c r="E153" s="215"/>
      <c r="F153" s="221"/>
      <c r="G153" s="221"/>
      <c r="H153" s="233"/>
      <c r="I153" s="221"/>
      <c r="J153" s="221"/>
      <c r="K153" s="229">
        <f t="shared" si="8"/>
        <v>151</v>
      </c>
      <c r="L153" s="230">
        <f t="shared" si="6"/>
        <v>-0.88756371421249802</v>
      </c>
      <c r="M153" s="230">
        <f t="shared" si="7"/>
        <v>0.49198460052902643</v>
      </c>
    </row>
    <row r="154" spans="1:13" x14ac:dyDescent="0.25">
      <c r="A154" s="237"/>
      <c r="B154" s="221"/>
      <c r="C154" s="215"/>
      <c r="D154" s="233"/>
      <c r="E154" s="215"/>
      <c r="F154" s="221"/>
      <c r="G154" s="221"/>
      <c r="H154" s="233"/>
      <c r="I154" s="221"/>
      <c r="J154" s="221"/>
      <c r="K154" s="229">
        <f t="shared" si="8"/>
        <v>152</v>
      </c>
      <c r="L154" s="230">
        <f t="shared" si="6"/>
        <v>-0.89614363471170821</v>
      </c>
      <c r="M154" s="230">
        <f t="shared" si="7"/>
        <v>0.4764880226996141</v>
      </c>
    </row>
    <row r="155" spans="1:13" x14ac:dyDescent="0.25">
      <c r="A155" s="237"/>
      <c r="B155" s="221"/>
      <c r="C155" s="215"/>
      <c r="D155" s="233"/>
      <c r="E155" s="215"/>
      <c r="F155" s="221"/>
      <c r="G155" s="221"/>
      <c r="H155" s="233"/>
      <c r="I155" s="221"/>
      <c r="J155" s="221"/>
      <c r="K155" s="229">
        <f t="shared" si="8"/>
        <v>153</v>
      </c>
      <c r="L155" s="230">
        <f t="shared" si="6"/>
        <v>-0.90444880973747566</v>
      </c>
      <c r="M155" s="230">
        <f t="shared" si="7"/>
        <v>0.46083968632618849</v>
      </c>
    </row>
    <row r="156" spans="1:13" x14ac:dyDescent="0.25">
      <c r="A156" s="237"/>
      <c r="B156" s="221"/>
      <c r="C156" s="215"/>
      <c r="D156" s="233"/>
      <c r="E156" s="215"/>
      <c r="F156" s="221"/>
      <c r="G156" s="221"/>
      <c r="H156" s="233"/>
      <c r="I156" s="221"/>
      <c r="J156" s="221"/>
      <c r="K156" s="229">
        <f t="shared" si="8"/>
        <v>154</v>
      </c>
      <c r="L156" s="230">
        <f t="shared" si="6"/>
        <v>-0.91247647805954168</v>
      </c>
      <c r="M156" s="230">
        <f t="shared" si="7"/>
        <v>0.44504451464944061</v>
      </c>
    </row>
    <row r="157" spans="1:13" x14ac:dyDescent="0.25">
      <c r="A157" s="237"/>
      <c r="B157" s="221"/>
      <c r="C157" s="215"/>
      <c r="D157" s="233"/>
      <c r="E157" s="215"/>
      <c r="F157" s="221"/>
      <c r="G157" s="221"/>
      <c r="H157" s="233"/>
      <c r="I157" s="221"/>
      <c r="J157" s="221"/>
      <c r="K157" s="229">
        <f t="shared" si="8"/>
        <v>155</v>
      </c>
      <c r="L157" s="230">
        <f t="shared" si="6"/>
        <v>-0.92022396861189881</v>
      </c>
      <c r="M157" s="230">
        <f t="shared" si="7"/>
        <v>0.42910748378151353</v>
      </c>
    </row>
    <row r="158" spans="1:13" x14ac:dyDescent="0.25">
      <c r="A158" s="237"/>
      <c r="B158" s="221"/>
      <c r="C158" s="215"/>
      <c r="D158" s="233"/>
      <c r="E158" s="215"/>
      <c r="F158" s="221"/>
      <c r="G158" s="221"/>
      <c r="H158" s="233"/>
      <c r="I158" s="221"/>
      <c r="J158" s="221"/>
      <c r="K158" s="229">
        <f t="shared" si="8"/>
        <v>156</v>
      </c>
      <c r="L158" s="230">
        <f t="shared" si="6"/>
        <v>-0.92768870159598138</v>
      </c>
      <c r="M158" s="230">
        <f t="shared" si="7"/>
        <v>0.41303362098716195</v>
      </c>
    </row>
    <row r="159" spans="1:13" x14ac:dyDescent="0.25">
      <c r="A159" s="237"/>
      <c r="B159" s="221"/>
      <c r="C159" s="215"/>
      <c r="D159" s="233"/>
      <c r="E159" s="215"/>
      <c r="F159" s="221"/>
      <c r="G159" s="221"/>
      <c r="H159" s="233"/>
      <c r="I159" s="221"/>
      <c r="J159" s="221"/>
      <c r="K159" s="229">
        <f t="shared" si="8"/>
        <v>157</v>
      </c>
      <c r="L159" s="230">
        <f t="shared" si="6"/>
        <v>-0.93486818954869655</v>
      </c>
      <c r="M159" s="230">
        <f t="shared" si="7"/>
        <v>0.39682800293888887</v>
      </c>
    </row>
    <row r="160" spans="1:13" x14ac:dyDescent="0.25">
      <c r="A160" s="237"/>
      <c r="B160" s="221"/>
      <c r="C160" s="215"/>
      <c r="D160" s="233"/>
      <c r="E160" s="215"/>
      <c r="F160" s="221"/>
      <c r="G160" s="221"/>
      <c r="H160" s="233"/>
      <c r="I160" s="221"/>
      <c r="J160" s="221"/>
      <c r="K160" s="229">
        <f t="shared" si="8"/>
        <v>158</v>
      </c>
      <c r="L160" s="230">
        <f t="shared" si="6"/>
        <v>-0.94176003837458855</v>
      </c>
      <c r="M160" s="230">
        <f t="shared" si="7"/>
        <v>0.3804957539468577</v>
      </c>
    </row>
    <row r="161" spans="1:13" x14ac:dyDescent="0.25">
      <c r="A161" s="237"/>
      <c r="B161" s="221"/>
      <c r="C161" s="215"/>
      <c r="D161" s="233"/>
      <c r="E161" s="215"/>
      <c r="F161" s="221"/>
      <c r="G161" s="221"/>
      <c r="H161" s="233"/>
      <c r="I161" s="221"/>
      <c r="J161" s="221"/>
      <c r="K161" s="229">
        <f t="shared" si="8"/>
        <v>159</v>
      </c>
      <c r="L161" s="230">
        <f t="shared" si="6"/>
        <v>-0.94836194834145149</v>
      </c>
      <c r="M161" s="230">
        <f t="shared" si="7"/>
        <v>0.36404204416439806</v>
      </c>
    </row>
    <row r="162" spans="1:13" x14ac:dyDescent="0.25">
      <c r="A162" s="237"/>
      <c r="B162" s="221"/>
      <c r="C162" s="215"/>
      <c r="D162" s="233"/>
      <c r="E162" s="215"/>
      <c r="F162" s="221"/>
      <c r="G162" s="221"/>
      <c r="H162" s="233"/>
      <c r="I162" s="221"/>
      <c r="J162" s="221"/>
      <c r="K162" s="229">
        <f t="shared" si="8"/>
        <v>160</v>
      </c>
      <c r="L162" s="230">
        <f t="shared" si="6"/>
        <v>-0.95467171503871473</v>
      </c>
      <c r="M162" s="230">
        <f t="shared" si="7"/>
        <v>0.34747208776995836</v>
      </c>
    </row>
    <row r="163" spans="1:13" x14ac:dyDescent="0.25">
      <c r="A163" s="237"/>
      <c r="B163" s="221"/>
      <c r="C163" s="215"/>
      <c r="D163" s="233"/>
      <c r="E163" s="215"/>
      <c r="F163" s="221"/>
      <c r="G163" s="221"/>
      <c r="H163" s="233"/>
      <c r="I163" s="221"/>
      <c r="J163" s="221"/>
      <c r="K163" s="229">
        <f t="shared" si="8"/>
        <v>161</v>
      </c>
      <c r="L163" s="230">
        <f t="shared" si="6"/>
        <v>-0.96068723029796088</v>
      </c>
      <c r="M163" s="230">
        <f t="shared" si="7"/>
        <v>0.33079114112635577</v>
      </c>
    </row>
    <row r="164" spans="1:13" x14ac:dyDescent="0.25">
      <c r="A164" s="237"/>
      <c r="B164" s="221"/>
      <c r="C164" s="215"/>
      <c r="D164" s="233"/>
      <c r="E164" s="215"/>
      <c r="F164" s="221"/>
      <c r="G164" s="221"/>
      <c r="H164" s="233"/>
      <c r="I164" s="221"/>
      <c r="J164" s="221"/>
      <c r="K164" s="229">
        <f t="shared" si="8"/>
        <v>162</v>
      </c>
      <c r="L164" s="230">
        <f t="shared" si="6"/>
        <v>-0.96640648307495569</v>
      </c>
      <c r="M164" s="230">
        <f t="shared" si="7"/>
        <v>0.31400450091822607</v>
      </c>
    </row>
    <row r="165" spans="1:13" x14ac:dyDescent="0.25">
      <c r="A165" s="237"/>
      <c r="B165" s="221"/>
      <c r="C165" s="215"/>
      <c r="D165" s="233"/>
      <c r="E165" s="215"/>
      <c r="F165" s="221"/>
      <c r="G165" s="221"/>
      <c r="H165" s="233"/>
      <c r="I165" s="221"/>
      <c r="J165" s="221"/>
      <c r="K165" s="229">
        <f t="shared" si="8"/>
        <v>163</v>
      </c>
      <c r="L165" s="230">
        <f t="shared" si="6"/>
        <v>-0.97182756029258599</v>
      </c>
      <c r="M165" s="230">
        <f t="shared" si="7"/>
        <v>0.29711750226855949</v>
      </c>
    </row>
    <row r="166" spans="1:13" x14ac:dyDescent="0.25">
      <c r="A166" s="237"/>
      <c r="B166" s="221"/>
      <c r="C166" s="215"/>
      <c r="D166" s="233"/>
      <c r="E166" s="215"/>
      <c r="F166" s="221"/>
      <c r="G166" s="221"/>
      <c r="H166" s="233"/>
      <c r="I166" s="221"/>
      <c r="J166" s="221"/>
      <c r="K166" s="229">
        <f t="shared" si="8"/>
        <v>164</v>
      </c>
      <c r="L166" s="230">
        <f t="shared" si="6"/>
        <v>-0.97694864764413658</v>
      </c>
      <c r="M166" s="230">
        <f t="shared" si="7"/>
        <v>0.28013551683526372</v>
      </c>
    </row>
    <row r="167" spans="1:13" x14ac:dyDescent="0.25">
      <c r="A167" s="237"/>
      <c r="B167" s="221"/>
      <c r="C167" s="215"/>
      <c r="D167" s="233"/>
      <c r="E167" s="215"/>
      <c r="F167" s="221"/>
      <c r="G167" s="221"/>
      <c r="H167" s="233"/>
      <c r="I167" s="221"/>
      <c r="J167" s="221"/>
      <c r="K167" s="229">
        <f t="shared" si="8"/>
        <v>165</v>
      </c>
      <c r="L167" s="230">
        <f t="shared" si="6"/>
        <v>-0.9817680303563554</v>
      </c>
      <c r="M167" s="230">
        <f t="shared" si="7"/>
        <v>0.26306395088867968</v>
      </c>
    </row>
    <row r="168" spans="1:13" x14ac:dyDescent="0.25">
      <c r="A168" s="237"/>
      <c r="B168" s="221"/>
      <c r="C168" s="215"/>
      <c r="D168" s="233"/>
      <c r="E168" s="215"/>
      <c r="F168" s="221"/>
      <c r="G168" s="221"/>
      <c r="H168" s="233"/>
      <c r="I168" s="221"/>
      <c r="J168" s="221"/>
      <c r="K168" s="229">
        <f t="shared" si="8"/>
        <v>166</v>
      </c>
      <c r="L168" s="230">
        <f t="shared" si="6"/>
        <v>-0.98628409391178495</v>
      </c>
      <c r="M168" s="230">
        <f t="shared" si="7"/>
        <v>0.24590824337102143</v>
      </c>
    </row>
    <row r="169" spans="1:13" x14ac:dyDescent="0.25">
      <c r="A169" s="237"/>
      <c r="B169" s="221"/>
      <c r="C169" s="215"/>
      <c r="D169" s="233"/>
      <c r="E169" s="215"/>
      <c r="F169" s="221"/>
      <c r="G169" s="221"/>
      <c r="H169" s="233"/>
      <c r="I169" s="221"/>
      <c r="J169" s="221"/>
      <c r="K169" s="229">
        <f t="shared" si="8"/>
        <v>167</v>
      </c>
      <c r="L169" s="230">
        <f t="shared" si="6"/>
        <v>-0.9904953247298629</v>
      </c>
      <c r="M169" s="230">
        <f t="shared" si="7"/>
        <v>0.22867386393871092</v>
      </c>
    </row>
    <row r="170" spans="1:13" x14ac:dyDescent="0.25">
      <c r="A170" s="237"/>
      <c r="B170" s="221"/>
      <c r="C170" s="215"/>
      <c r="D170" s="233"/>
      <c r="E170" s="215"/>
      <c r="F170" s="221"/>
      <c r="G170" s="221"/>
      <c r="H170" s="233"/>
      <c r="I170" s="221"/>
      <c r="J170" s="221"/>
      <c r="K170" s="229">
        <f t="shared" si="8"/>
        <v>168</v>
      </c>
      <c r="L170" s="230">
        <f t="shared" si="6"/>
        <v>-0.99440031080632429</v>
      </c>
      <c r="M170" s="230">
        <f t="shared" si="7"/>
        <v>0.2113663109885936</v>
      </c>
    </row>
    <row r="171" spans="1:13" x14ac:dyDescent="0.25">
      <c r="A171" s="237"/>
      <c r="B171" s="221"/>
      <c r="C171" s="215"/>
      <c r="D171" s="233"/>
      <c r="E171" s="215"/>
      <c r="F171" s="221"/>
      <c r="G171" s="221"/>
      <c r="H171" s="233"/>
      <c r="I171" s="221"/>
      <c r="J171" s="221"/>
      <c r="K171" s="229">
        <f t="shared" si="8"/>
        <v>169</v>
      </c>
      <c r="L171" s="230">
        <f t="shared" si="6"/>
        <v>-0.99799774231046057</v>
      </c>
      <c r="M171" s="230">
        <f t="shared" si="7"/>
        <v>0.19399110966905259</v>
      </c>
    </row>
    <row r="172" spans="1:13" x14ac:dyDescent="0.25">
      <c r="A172" s="237"/>
      <c r="B172" s="221"/>
      <c r="C172" s="215"/>
      <c r="D172" s="233"/>
      <c r="E172" s="215"/>
      <c r="F172" s="221"/>
      <c r="G172" s="221"/>
      <c r="H172" s="233"/>
      <c r="I172" s="221"/>
      <c r="J172" s="221"/>
      <c r="K172" s="229">
        <f t="shared" si="8"/>
        <v>170</v>
      </c>
      <c r="L172" s="230">
        <f t="shared" si="6"/>
        <v>-1.0012864121398257</v>
      </c>
      <c r="M172" s="230">
        <f t="shared" si="7"/>
        <v>0.1765538098770271</v>
      </c>
    </row>
    <row r="173" spans="1:13" x14ac:dyDescent="0.25">
      <c r="A173" s="237"/>
      <c r="B173" s="221"/>
      <c r="C173" s="215"/>
      <c r="D173" s="233"/>
      <c r="E173" s="215"/>
      <c r="F173" s="221"/>
      <c r="G173" s="221"/>
      <c r="H173" s="233"/>
      <c r="I173" s="221"/>
      <c r="J173" s="221"/>
      <c r="K173" s="229">
        <f t="shared" si="8"/>
        <v>171</v>
      </c>
      <c r="L173" s="230">
        <f t="shared" si="6"/>
        <v>-1.0042652164320029</v>
      </c>
      <c r="M173" s="230">
        <f t="shared" si="7"/>
        <v>0.15905998424198223</v>
      </c>
    </row>
    <row r="174" spans="1:13" x14ac:dyDescent="0.25">
      <c r="A174" s="237"/>
      <c r="B174" s="221"/>
      <c r="C174" s="215"/>
      <c r="D174" s="233"/>
      <c r="E174" s="215"/>
      <c r="F174" s="221"/>
      <c r="G174" s="221"/>
      <c r="H174" s="233"/>
      <c r="I174" s="221"/>
      <c r="J174" s="221"/>
      <c r="K174" s="229">
        <f t="shared" si="8"/>
        <v>172</v>
      </c>
      <c r="L174" s="230">
        <f t="shared" si="6"/>
        <v>-1.0069331550330738</v>
      </c>
      <c r="M174" s="230">
        <f t="shared" si="7"/>
        <v>0.1415152260978606</v>
      </c>
    </row>
    <row r="175" spans="1:13" x14ac:dyDescent="0.25">
      <c r="A175" s="237"/>
      <c r="B175" s="221"/>
      <c r="C175" s="215"/>
      <c r="D175" s="233"/>
      <c r="E175" s="215"/>
      <c r="F175" s="221"/>
      <c r="G175" s="221"/>
      <c r="H175" s="233"/>
      <c r="I175" s="221"/>
      <c r="J175" s="221"/>
      <c r="K175" s="229">
        <f t="shared" si="8"/>
        <v>173</v>
      </c>
      <c r="L175" s="230">
        <f t="shared" si="6"/>
        <v>-1.0092893319224665</v>
      </c>
      <c r="M175" s="230">
        <f t="shared" si="7"/>
        <v>0.12392514744408606</v>
      </c>
    </row>
    <row r="176" spans="1:13" x14ac:dyDescent="0.25">
      <c r="A176" s="237"/>
      <c r="B176" s="221"/>
      <c r="C176" s="215"/>
      <c r="D176" s="233"/>
      <c r="E176" s="215"/>
      <c r="F176" s="221"/>
      <c r="G176" s="221"/>
      <c r="H176" s="233"/>
      <c r="I176" s="221"/>
      <c r="J176" s="221"/>
      <c r="K176" s="229">
        <f t="shared" si="8"/>
        <v>174</v>
      </c>
      <c r="L176" s="230">
        <f t="shared" si="6"/>
        <v>-1.0113329555938875</v>
      </c>
      <c r="M176" s="230">
        <f t="shared" si="7"/>
        <v>0.10629537689667215</v>
      </c>
    </row>
    <row r="177" spans="1:13" x14ac:dyDescent="0.25">
      <c r="A177" s="237"/>
      <c r="B177" s="221"/>
      <c r="C177" s="215"/>
      <c r="D177" s="233"/>
      <c r="E177" s="215"/>
      <c r="F177" s="221"/>
      <c r="G177" s="221"/>
      <c r="H177" s="233"/>
      <c r="I177" s="221"/>
      <c r="J177" s="221"/>
      <c r="K177" s="229">
        <f t="shared" si="8"/>
        <v>175</v>
      </c>
      <c r="L177" s="230">
        <f t="shared" si="6"/>
        <v>-1.0130633393920665</v>
      </c>
      <c r="M177" s="230">
        <f t="shared" si="7"/>
        <v>8.8631557630521482E-2</v>
      </c>
    </row>
    <row r="178" spans="1:13" x14ac:dyDescent="0.25">
      <c r="A178" s="237"/>
      <c r="B178" s="221"/>
      <c r="C178" s="215"/>
      <c r="D178" s="233"/>
      <c r="E178" s="215"/>
      <c r="F178" s="221"/>
      <c r="G178" s="221"/>
      <c r="H178" s="233"/>
      <c r="I178" s="221"/>
      <c r="J178" s="221"/>
      <c r="K178" s="229">
        <f t="shared" si="8"/>
        <v>176</v>
      </c>
      <c r="L178" s="230">
        <f t="shared" si="6"/>
        <v>-1.014479901805081</v>
      </c>
      <c r="M178" s="230">
        <f t="shared" si="7"/>
        <v>7.0939345313995039E-2</v>
      </c>
    </row>
    <row r="179" spans="1:13" x14ac:dyDescent="0.25">
      <c r="A179" s="237"/>
      <c r="B179" s="221"/>
      <c r="C179" s="215"/>
      <c r="D179" s="233"/>
      <c r="E179" s="215"/>
      <c r="F179" s="221"/>
      <c r="G179" s="221"/>
      <c r="H179" s="233"/>
      <c r="I179" s="221"/>
      <c r="J179" s="221"/>
      <c r="K179" s="229">
        <f t="shared" si="8"/>
        <v>177</v>
      </c>
      <c r="L179" s="230">
        <f t="shared" si="6"/>
        <v>-1.0155821667120577</v>
      </c>
      <c r="M179" s="230">
        <f t="shared" si="7"/>
        <v>5.322440603683825E-2</v>
      </c>
    </row>
    <row r="180" spans="1:13" x14ac:dyDescent="0.25">
      <c r="A180" s="237"/>
      <c r="B180" s="221"/>
      <c r="C180" s="215"/>
      <c r="D180" s="233"/>
      <c r="E180" s="215"/>
      <c r="F180" s="221"/>
      <c r="G180" s="221"/>
      <c r="H180" s="233"/>
      <c r="I180" s="221"/>
      <c r="J180" s="221"/>
      <c r="K180" s="229">
        <f t="shared" si="8"/>
        <v>178</v>
      </c>
      <c r="L180" s="230">
        <f t="shared" si="6"/>
        <v>-1.0163697635860747</v>
      </c>
      <c r="M180" s="230">
        <f t="shared" si="7"/>
        <v>3.5492414232571622E-2</v>
      </c>
    </row>
    <row r="181" spans="1:13" x14ac:dyDescent="0.25">
      <c r="A181" s="237"/>
      <c r="B181" s="221"/>
      <c r="C181" s="215"/>
      <c r="D181" s="233"/>
      <c r="E181" s="215"/>
      <c r="F181" s="221"/>
      <c r="G181" s="221"/>
      <c r="H181" s="233"/>
      <c r="I181" s="221"/>
      <c r="J181" s="221"/>
      <c r="K181" s="229">
        <f t="shared" si="8"/>
        <v>179</v>
      </c>
      <c r="L181" s="230">
        <f t="shared" si="6"/>
        <v>-1.0168424276521195</v>
      </c>
      <c r="M181" s="230">
        <f t="shared" si="7"/>
        <v>1.7749050596434064E-2</v>
      </c>
    </row>
    <row r="182" spans="1:13" x14ac:dyDescent="0.25">
      <c r="A182" s="237"/>
      <c r="B182" s="221"/>
      <c r="C182" s="215"/>
      <c r="D182" s="233"/>
      <c r="E182" s="215"/>
      <c r="F182" s="221"/>
      <c r="G182" s="221"/>
      <c r="H182" s="233"/>
      <c r="I182" s="221"/>
      <c r="J182" s="221"/>
      <c r="K182" s="229">
        <f t="shared" si="8"/>
        <v>180</v>
      </c>
      <c r="L182" s="230">
        <f t="shared" si="6"/>
        <v>-1.0170000000000001</v>
      </c>
      <c r="M182" s="230">
        <f t="shared" si="7"/>
        <v>1.2459759786420666E-16</v>
      </c>
    </row>
    <row r="183" spans="1:13" x14ac:dyDescent="0.25">
      <c r="A183" s="237"/>
      <c r="B183" s="221"/>
      <c r="C183" s="215"/>
      <c r="D183" s="233"/>
      <c r="E183" s="215"/>
      <c r="F183" s="221"/>
      <c r="G183" s="221"/>
      <c r="H183" s="233"/>
      <c r="I183" s="221"/>
      <c r="J183" s="221"/>
      <c r="K183" s="229">
        <f t="shared" si="8"/>
        <v>181</v>
      </c>
      <c r="L183" s="230">
        <f t="shared" si="6"/>
        <v>-1.0168424276521195</v>
      </c>
      <c r="M183" s="230">
        <f t="shared" si="7"/>
        <v>-1.7749050596434265E-2</v>
      </c>
    </row>
    <row r="184" spans="1:13" x14ac:dyDescent="0.25">
      <c r="A184" s="237"/>
      <c r="B184" s="221"/>
      <c r="C184" s="215"/>
      <c r="D184" s="233"/>
      <c r="E184" s="215"/>
      <c r="F184" s="221"/>
      <c r="G184" s="221"/>
      <c r="H184" s="233"/>
      <c r="I184" s="221"/>
      <c r="J184" s="221"/>
      <c r="K184" s="229">
        <f t="shared" si="8"/>
        <v>182</v>
      </c>
      <c r="L184" s="230">
        <f t="shared" si="6"/>
        <v>-1.0163697635860747</v>
      </c>
      <c r="M184" s="230">
        <f t="shared" si="7"/>
        <v>-3.5492414232571372E-2</v>
      </c>
    </row>
    <row r="185" spans="1:13" x14ac:dyDescent="0.25">
      <c r="A185" s="237"/>
      <c r="B185" s="221"/>
      <c r="C185" s="215"/>
      <c r="D185" s="233"/>
      <c r="E185" s="215"/>
      <c r="F185" s="221"/>
      <c r="G185" s="221"/>
      <c r="H185" s="233"/>
      <c r="I185" s="221"/>
      <c r="J185" s="221"/>
      <c r="K185" s="229">
        <f t="shared" si="8"/>
        <v>183</v>
      </c>
      <c r="L185" s="230">
        <f t="shared" si="6"/>
        <v>-1.0155821667120577</v>
      </c>
      <c r="M185" s="230">
        <f t="shared" si="7"/>
        <v>-5.3224406036838E-2</v>
      </c>
    </row>
    <row r="186" spans="1:13" x14ac:dyDescent="0.25">
      <c r="A186" s="237"/>
      <c r="B186" s="221"/>
      <c r="C186" s="215"/>
      <c r="D186" s="233"/>
      <c r="E186" s="215"/>
      <c r="F186" s="221"/>
      <c r="G186" s="221"/>
      <c r="H186" s="233"/>
      <c r="I186" s="221"/>
      <c r="J186" s="221"/>
      <c r="K186" s="229">
        <f t="shared" si="8"/>
        <v>184</v>
      </c>
      <c r="L186" s="230">
        <f t="shared" si="6"/>
        <v>-1.014479901805081</v>
      </c>
      <c r="M186" s="230">
        <f t="shared" si="7"/>
        <v>-7.0939345313994775E-2</v>
      </c>
    </row>
    <row r="187" spans="1:13" x14ac:dyDescent="0.25">
      <c r="A187" s="237"/>
      <c r="B187" s="221"/>
      <c r="C187" s="215"/>
      <c r="D187" s="233"/>
      <c r="E187" s="215"/>
      <c r="F187" s="221"/>
      <c r="G187" s="221"/>
      <c r="H187" s="233"/>
      <c r="I187" s="221"/>
      <c r="J187" s="221"/>
      <c r="K187" s="229">
        <f t="shared" si="8"/>
        <v>185</v>
      </c>
      <c r="L187" s="230">
        <f t="shared" si="6"/>
        <v>-1.0130633393920665</v>
      </c>
      <c r="M187" s="230">
        <f t="shared" si="7"/>
        <v>-8.8631557630521218E-2</v>
      </c>
    </row>
    <row r="188" spans="1:13" x14ac:dyDescent="0.25">
      <c r="A188" s="237"/>
      <c r="B188" s="221"/>
      <c r="C188" s="215"/>
      <c r="D188" s="233"/>
      <c r="E188" s="215"/>
      <c r="F188" s="221"/>
      <c r="G188" s="221"/>
      <c r="H188" s="233"/>
      <c r="I188" s="221"/>
      <c r="J188" s="221"/>
      <c r="K188" s="229">
        <f t="shared" si="8"/>
        <v>186</v>
      </c>
      <c r="L188" s="230">
        <f t="shared" si="6"/>
        <v>-1.0113329555938875</v>
      </c>
      <c r="M188" s="230">
        <f t="shared" si="7"/>
        <v>-0.10629537689667191</v>
      </c>
    </row>
    <row r="189" spans="1:13" x14ac:dyDescent="0.25">
      <c r="A189" s="237"/>
      <c r="B189" s="221"/>
      <c r="C189" s="215"/>
      <c r="D189" s="233"/>
      <c r="E189" s="215"/>
      <c r="F189" s="221"/>
      <c r="G189" s="221"/>
      <c r="H189" s="233"/>
      <c r="I189" s="221"/>
      <c r="J189" s="221"/>
      <c r="K189" s="229">
        <f t="shared" si="8"/>
        <v>187</v>
      </c>
      <c r="L189" s="230">
        <f t="shared" si="6"/>
        <v>-1.0092893319224667</v>
      </c>
      <c r="M189" s="230">
        <f t="shared" si="7"/>
        <v>-0.12392514744408582</v>
      </c>
    </row>
    <row r="190" spans="1:13" x14ac:dyDescent="0.25">
      <c r="A190" s="237"/>
      <c r="B190" s="221"/>
      <c r="C190" s="215"/>
      <c r="D190" s="233"/>
      <c r="E190" s="215"/>
      <c r="F190" s="221"/>
      <c r="G190" s="221"/>
      <c r="H190" s="233"/>
      <c r="I190" s="221"/>
      <c r="J190" s="221"/>
      <c r="K190" s="229">
        <f t="shared" si="8"/>
        <v>188</v>
      </c>
      <c r="L190" s="230">
        <f t="shared" si="6"/>
        <v>-1.0069331550330738</v>
      </c>
      <c r="M190" s="230">
        <f t="shared" si="7"/>
        <v>-0.1415152260978608</v>
      </c>
    </row>
    <row r="191" spans="1:13" x14ac:dyDescent="0.25">
      <c r="A191" s="237"/>
      <c r="B191" s="221"/>
      <c r="C191" s="215"/>
      <c r="D191" s="233"/>
      <c r="E191" s="215"/>
      <c r="F191" s="221"/>
      <c r="G191" s="221"/>
      <c r="H191" s="233"/>
      <c r="I191" s="221"/>
      <c r="J191" s="221"/>
      <c r="K191" s="229">
        <f t="shared" si="8"/>
        <v>189</v>
      </c>
      <c r="L191" s="230">
        <f t="shared" si="6"/>
        <v>-1.0042652164320032</v>
      </c>
      <c r="M191" s="230">
        <f t="shared" si="7"/>
        <v>-0.15905998424198198</v>
      </c>
    </row>
    <row r="192" spans="1:13" x14ac:dyDescent="0.25">
      <c r="A192" s="237"/>
      <c r="B192" s="221"/>
      <c r="C192" s="215"/>
      <c r="D192" s="233"/>
      <c r="E192" s="215"/>
      <c r="F192" s="221"/>
      <c r="G192" s="221"/>
      <c r="H192" s="233"/>
      <c r="I192" s="221"/>
      <c r="J192" s="221"/>
      <c r="K192" s="229">
        <f t="shared" si="8"/>
        <v>190</v>
      </c>
      <c r="L192" s="230">
        <f t="shared" si="6"/>
        <v>-1.0012864121398257</v>
      </c>
      <c r="M192" s="230">
        <f t="shared" si="7"/>
        <v>-0.17655380987702732</v>
      </c>
    </row>
    <row r="193" spans="1:13" x14ac:dyDescent="0.25">
      <c r="A193" s="237"/>
      <c r="B193" s="221"/>
      <c r="C193" s="215"/>
      <c r="D193" s="233"/>
      <c r="E193" s="215"/>
      <c r="F193" s="221"/>
      <c r="G193" s="221"/>
      <c r="H193" s="233"/>
      <c r="I193" s="221"/>
      <c r="J193" s="221"/>
      <c r="K193" s="229">
        <f t="shared" si="8"/>
        <v>191</v>
      </c>
      <c r="L193" s="230">
        <f t="shared" si="6"/>
        <v>-0.99799774231046057</v>
      </c>
      <c r="M193" s="230">
        <f t="shared" si="7"/>
        <v>-0.19399110966905234</v>
      </c>
    </row>
    <row r="194" spans="1:13" x14ac:dyDescent="0.25">
      <c r="A194" s="237"/>
      <c r="B194" s="221"/>
      <c r="C194" s="215"/>
      <c r="D194" s="233"/>
      <c r="E194" s="215"/>
      <c r="F194" s="221"/>
      <c r="G194" s="221"/>
      <c r="H194" s="233"/>
      <c r="I194" s="221"/>
      <c r="J194" s="221"/>
      <c r="K194" s="229">
        <f t="shared" si="8"/>
        <v>192</v>
      </c>
      <c r="L194" s="230">
        <f t="shared" si="6"/>
        <v>-0.99440031080632418</v>
      </c>
      <c r="M194" s="230">
        <f t="shared" si="7"/>
        <v>-0.21136631098859382</v>
      </c>
    </row>
    <row r="195" spans="1:13" x14ac:dyDescent="0.25">
      <c r="A195" s="237"/>
      <c r="B195" s="221"/>
      <c r="C195" s="215"/>
      <c r="D195" s="233"/>
      <c r="E195" s="215"/>
      <c r="F195" s="221"/>
      <c r="G195" s="221"/>
      <c r="H195" s="233"/>
      <c r="I195" s="221"/>
      <c r="J195" s="221"/>
      <c r="K195" s="229">
        <f t="shared" si="8"/>
        <v>193</v>
      </c>
      <c r="L195" s="230">
        <f t="shared" ref="L195:L258" si="9">IF($D$2="","", ($D$2*(1-$E$2^2)/(1+$E$2*COS(RADIANS(K195)))) * COS(RADIANS(K195)) )</f>
        <v>-0.99049532472986301</v>
      </c>
      <c r="M195" s="230">
        <f t="shared" ref="M195:M258" si="10">IF($D$2="","", ($D$2*(1-$E$2^2)/(1+$E$2*COS(RADIANS(K195)))) * SIN(RADIANS(K195)) )</f>
        <v>-0.2286738639387107</v>
      </c>
    </row>
    <row r="196" spans="1:13" x14ac:dyDescent="0.25">
      <c r="A196" s="237"/>
      <c r="B196" s="221"/>
      <c r="C196" s="215"/>
      <c r="D196" s="233"/>
      <c r="E196" s="215"/>
      <c r="F196" s="221"/>
      <c r="G196" s="221"/>
      <c r="H196" s="233"/>
      <c r="I196" s="221"/>
      <c r="J196" s="221"/>
      <c r="K196" s="229">
        <f t="shared" ref="K196:K259" si="11">K195+1</f>
        <v>194</v>
      </c>
      <c r="L196" s="230">
        <f t="shared" si="9"/>
        <v>-0.98628409391178495</v>
      </c>
      <c r="M196" s="230">
        <f t="shared" si="10"/>
        <v>-0.24590824337102121</v>
      </c>
    </row>
    <row r="197" spans="1:13" x14ac:dyDescent="0.25">
      <c r="A197" s="237"/>
      <c r="B197" s="221"/>
      <c r="C197" s="215"/>
      <c r="D197" s="233"/>
      <c r="E197" s="215"/>
      <c r="F197" s="221"/>
      <c r="G197" s="221"/>
      <c r="H197" s="233"/>
      <c r="I197" s="221"/>
      <c r="J197" s="221"/>
      <c r="K197" s="229">
        <f t="shared" si="11"/>
        <v>195</v>
      </c>
      <c r="L197" s="230">
        <f t="shared" si="9"/>
        <v>-0.98176803035635551</v>
      </c>
      <c r="M197" s="230">
        <f t="shared" si="10"/>
        <v>-0.26306395088867945</v>
      </c>
    </row>
    <row r="198" spans="1:13" x14ac:dyDescent="0.25">
      <c r="A198" s="237"/>
      <c r="B198" s="221"/>
      <c r="C198" s="215"/>
      <c r="D198" s="233"/>
      <c r="E198" s="215"/>
      <c r="F198" s="221"/>
      <c r="G198" s="221"/>
      <c r="H198" s="233"/>
      <c r="I198" s="221"/>
      <c r="J198" s="221"/>
      <c r="K198" s="229">
        <f t="shared" si="11"/>
        <v>196</v>
      </c>
      <c r="L198" s="230">
        <f t="shared" si="9"/>
        <v>-0.97694864764413658</v>
      </c>
      <c r="M198" s="230">
        <f t="shared" si="10"/>
        <v>-0.28013551683526344</v>
      </c>
    </row>
    <row r="199" spans="1:13" x14ac:dyDescent="0.25">
      <c r="A199" s="237"/>
      <c r="B199" s="221"/>
      <c r="C199" s="215"/>
      <c r="D199" s="233"/>
      <c r="E199" s="215"/>
      <c r="F199" s="221"/>
      <c r="G199" s="221"/>
      <c r="H199" s="233"/>
      <c r="I199" s="221"/>
      <c r="J199" s="221"/>
      <c r="K199" s="229">
        <f t="shared" si="11"/>
        <v>197</v>
      </c>
      <c r="L199" s="230">
        <f t="shared" si="9"/>
        <v>-0.97182756029258588</v>
      </c>
      <c r="M199" s="230">
        <f t="shared" si="10"/>
        <v>-0.29711750226855965</v>
      </c>
    </row>
    <row r="200" spans="1:13" x14ac:dyDescent="0.25">
      <c r="A200" s="237"/>
      <c r="B200" s="221"/>
      <c r="C200" s="215"/>
      <c r="D200" s="233"/>
      <c r="E200" s="215"/>
      <c r="F200" s="221"/>
      <c r="G200" s="221"/>
      <c r="H200" s="233"/>
      <c r="I200" s="221"/>
      <c r="J200" s="221"/>
      <c r="K200" s="229">
        <f t="shared" si="11"/>
        <v>198</v>
      </c>
      <c r="L200" s="230">
        <f t="shared" si="9"/>
        <v>-0.9664064830749558</v>
      </c>
      <c r="M200" s="230">
        <f t="shared" si="10"/>
        <v>-0.31400450091822579</v>
      </c>
    </row>
    <row r="201" spans="1:13" x14ac:dyDescent="0.25">
      <c r="A201" s="237"/>
      <c r="B201" s="221"/>
      <c r="C201" s="215"/>
      <c r="D201" s="233"/>
      <c r="E201" s="215"/>
      <c r="F201" s="221"/>
      <c r="G201" s="221"/>
      <c r="H201" s="233"/>
      <c r="I201" s="221"/>
      <c r="J201" s="221"/>
      <c r="K201" s="229">
        <f t="shared" si="11"/>
        <v>199</v>
      </c>
      <c r="L201" s="230">
        <f t="shared" si="9"/>
        <v>-0.96068723029796077</v>
      </c>
      <c r="M201" s="230">
        <f t="shared" si="10"/>
        <v>-0.33079114112635594</v>
      </c>
    </row>
    <row r="202" spans="1:13" x14ac:dyDescent="0.25">
      <c r="A202" s="237"/>
      <c r="B202" s="221"/>
      <c r="C202" s="215"/>
      <c r="D202" s="233"/>
      <c r="E202" s="215"/>
      <c r="F202" s="221"/>
      <c r="G202" s="221"/>
      <c r="H202" s="233"/>
      <c r="I202" s="221"/>
      <c r="J202" s="221"/>
      <c r="K202" s="229">
        <f t="shared" si="11"/>
        <v>200</v>
      </c>
      <c r="L202" s="230">
        <f t="shared" si="9"/>
        <v>-0.95467171503871484</v>
      </c>
      <c r="M202" s="230">
        <f t="shared" si="10"/>
        <v>-0.34747208776995814</v>
      </c>
    </row>
    <row r="203" spans="1:13" x14ac:dyDescent="0.25">
      <c r="A203" s="237"/>
      <c r="B203" s="221"/>
      <c r="C203" s="215"/>
      <c r="D203" s="233"/>
      <c r="E203" s="215"/>
      <c r="F203" s="221"/>
      <c r="G203" s="221"/>
      <c r="H203" s="233"/>
      <c r="I203" s="221"/>
      <c r="J203" s="221"/>
      <c r="K203" s="229">
        <f t="shared" si="11"/>
        <v>201</v>
      </c>
      <c r="L203" s="230">
        <f t="shared" si="9"/>
        <v>-0.94836194834145149</v>
      </c>
      <c r="M203" s="230">
        <f t="shared" si="10"/>
        <v>-0.36404204416439828</v>
      </c>
    </row>
    <row r="204" spans="1:13" x14ac:dyDescent="0.25">
      <c r="A204" s="237"/>
      <c r="B204" s="221"/>
      <c r="C204" s="215"/>
      <c r="D204" s="233"/>
      <c r="E204" s="215"/>
      <c r="F204" s="221"/>
      <c r="G204" s="221"/>
      <c r="H204" s="233"/>
      <c r="I204" s="221"/>
      <c r="J204" s="221"/>
      <c r="K204" s="229">
        <f t="shared" si="11"/>
        <v>202</v>
      </c>
      <c r="L204" s="230">
        <f t="shared" si="9"/>
        <v>-0.94176003837458866</v>
      </c>
      <c r="M204" s="230">
        <f t="shared" si="10"/>
        <v>-0.38049575394685747</v>
      </c>
    </row>
    <row r="205" spans="1:13" x14ac:dyDescent="0.25">
      <c r="A205" s="237"/>
      <c r="B205" s="221"/>
      <c r="C205" s="215"/>
      <c r="D205" s="233"/>
      <c r="E205" s="215"/>
      <c r="F205" s="221"/>
      <c r="G205" s="221"/>
      <c r="H205" s="233"/>
      <c r="I205" s="221"/>
      <c r="J205" s="221"/>
      <c r="K205" s="229">
        <f t="shared" si="11"/>
        <v>203</v>
      </c>
      <c r="L205" s="230">
        <f t="shared" si="9"/>
        <v>-0.93486818954869655</v>
      </c>
      <c r="M205" s="230">
        <f t="shared" si="10"/>
        <v>-0.39682800293888865</v>
      </c>
    </row>
    <row r="206" spans="1:13" x14ac:dyDescent="0.25">
      <c r="A206" s="237"/>
      <c r="B206" s="221"/>
      <c r="C206" s="215"/>
      <c r="D206" s="233"/>
      <c r="E206" s="215"/>
      <c r="F206" s="221"/>
      <c r="G206" s="221"/>
      <c r="H206" s="233"/>
      <c r="I206" s="221"/>
      <c r="J206" s="221"/>
      <c r="K206" s="229">
        <f t="shared" si="11"/>
        <v>204</v>
      </c>
      <c r="L206" s="230">
        <f t="shared" si="9"/>
        <v>-0.92768870159598149</v>
      </c>
      <c r="M206" s="230">
        <f t="shared" si="10"/>
        <v>-0.41303362098716173</v>
      </c>
    </row>
    <row r="207" spans="1:13" x14ac:dyDescent="0.25">
      <c r="A207" s="237"/>
      <c r="B207" s="221"/>
      <c r="C207" s="215"/>
      <c r="D207" s="233"/>
      <c r="E207" s="215"/>
      <c r="F207" s="221"/>
      <c r="G207" s="221"/>
      <c r="H207" s="233"/>
      <c r="I207" s="221"/>
      <c r="J207" s="221"/>
      <c r="K207" s="229">
        <f t="shared" si="11"/>
        <v>205</v>
      </c>
      <c r="L207" s="230">
        <f t="shared" si="9"/>
        <v>-0.92022396861189892</v>
      </c>
      <c r="M207" s="230">
        <f t="shared" si="10"/>
        <v>-0.42910748378151331</v>
      </c>
    </row>
    <row r="208" spans="1:13" x14ac:dyDescent="0.25">
      <c r="A208" s="237"/>
      <c r="B208" s="221"/>
      <c r="C208" s="215"/>
      <c r="D208" s="233"/>
      <c r="E208" s="215"/>
      <c r="F208" s="221"/>
      <c r="G208" s="221"/>
      <c r="H208" s="233"/>
      <c r="I208" s="221"/>
      <c r="J208" s="221"/>
      <c r="K208" s="229">
        <f t="shared" si="11"/>
        <v>206</v>
      </c>
      <c r="L208" s="230">
        <f t="shared" si="9"/>
        <v>-0.91247647805954157</v>
      </c>
      <c r="M208" s="230">
        <f t="shared" si="10"/>
        <v>-0.44504451464944078</v>
      </c>
    </row>
    <row r="209" spans="1:13" x14ac:dyDescent="0.25">
      <c r="A209" s="237"/>
      <c r="B209" s="221"/>
      <c r="C209" s="215"/>
      <c r="D209" s="233"/>
      <c r="E209" s="215"/>
      <c r="F209" s="221"/>
      <c r="G209" s="221"/>
      <c r="H209" s="233"/>
      <c r="I209" s="221"/>
      <c r="J209" s="221"/>
      <c r="K209" s="229">
        <f t="shared" si="11"/>
        <v>207</v>
      </c>
      <c r="L209" s="230">
        <f t="shared" si="9"/>
        <v>-0.90444880973747577</v>
      </c>
      <c r="M209" s="230">
        <f t="shared" si="10"/>
        <v>-0.46083968632618832</v>
      </c>
    </row>
    <row r="210" spans="1:13" x14ac:dyDescent="0.25">
      <c r="A210" s="237"/>
      <c r="B210" s="221"/>
      <c r="C210" s="215"/>
      <c r="D210" s="233"/>
      <c r="E210" s="215"/>
      <c r="F210" s="221"/>
      <c r="G210" s="221"/>
      <c r="H210" s="233"/>
      <c r="I210" s="221"/>
      <c r="J210" s="221"/>
      <c r="K210" s="229">
        <f t="shared" si="11"/>
        <v>208</v>
      </c>
      <c r="L210" s="230">
        <f t="shared" si="9"/>
        <v>-0.8961436347117081</v>
      </c>
      <c r="M210" s="230">
        <f t="shared" si="10"/>
        <v>-0.47648802269961427</v>
      </c>
    </row>
    <row r="211" spans="1:13" x14ac:dyDescent="0.25">
      <c r="A211" s="237"/>
      <c r="B211" s="221"/>
      <c r="C211" s="215"/>
      <c r="D211" s="233"/>
      <c r="E211" s="215"/>
      <c r="F211" s="221"/>
      <c r="G211" s="221"/>
      <c r="H211" s="233"/>
      <c r="I211" s="221"/>
      <c r="J211" s="221"/>
      <c r="K211" s="229">
        <f t="shared" si="11"/>
        <v>209</v>
      </c>
      <c r="L211" s="230">
        <f t="shared" si="9"/>
        <v>-0.88756371421249813</v>
      </c>
      <c r="M211" s="230">
        <f t="shared" si="10"/>
        <v>-0.49198460052902621</v>
      </c>
    </row>
    <row r="212" spans="1:13" x14ac:dyDescent="0.25">
      <c r="A212" s="237"/>
      <c r="B212" s="221"/>
      <c r="C212" s="215"/>
      <c r="D212" s="233"/>
      <c r="E212" s="215"/>
      <c r="F212" s="221"/>
      <c r="G212" s="221"/>
      <c r="H212" s="233"/>
      <c r="I212" s="221"/>
      <c r="J212" s="221"/>
      <c r="K212" s="229">
        <f t="shared" si="11"/>
        <v>210</v>
      </c>
      <c r="L212" s="230">
        <f t="shared" si="9"/>
        <v>-0.87871189849674403</v>
      </c>
      <c r="M212" s="230">
        <f t="shared" si="10"/>
        <v>-0.50732455113722241</v>
      </c>
    </row>
    <row r="213" spans="1:13" x14ac:dyDescent="0.25">
      <c r="A213" s="237"/>
      <c r="B213" s="221"/>
      <c r="C213" s="215"/>
      <c r="D213" s="233"/>
      <c r="E213" s="215"/>
      <c r="F213" s="221"/>
      <c r="G213" s="221"/>
      <c r="H213" s="233"/>
      <c r="I213" s="221"/>
      <c r="J213" s="221"/>
      <c r="K213" s="229">
        <f t="shared" si="11"/>
        <v>211</v>
      </c>
      <c r="L213" s="230">
        <f t="shared" si="9"/>
        <v>-0.86959112567669306</v>
      </c>
      <c r="M213" s="230">
        <f t="shared" si="10"/>
        <v>-0.52250306207497077</v>
      </c>
    </row>
    <row r="214" spans="1:13" x14ac:dyDescent="0.25">
      <c r="A214" s="237"/>
      <c r="B214" s="221"/>
      <c r="C214" s="215"/>
      <c r="D214" s="233"/>
      <c r="E214" s="215"/>
      <c r="F214" s="221"/>
      <c r="G214" s="221"/>
      <c r="H214" s="233"/>
      <c r="I214" s="221"/>
      <c r="J214" s="221"/>
      <c r="K214" s="229">
        <f t="shared" si="11"/>
        <v>212</v>
      </c>
      <c r="L214" s="230">
        <f t="shared" si="9"/>
        <v>-0.8602044205157402</v>
      </c>
      <c r="M214" s="230">
        <f t="shared" si="10"/>
        <v>-0.53751537875720889</v>
      </c>
    </row>
    <row r="215" spans="1:13" x14ac:dyDescent="0.25">
      <c r="A215" s="237"/>
      <c r="B215" s="221"/>
      <c r="C215" s="215"/>
      <c r="D215" s="233"/>
      <c r="E215" s="215"/>
      <c r="F215" s="221"/>
      <c r="G215" s="221"/>
      <c r="H215" s="233"/>
      <c r="I215" s="221"/>
      <c r="J215" s="221"/>
      <c r="K215" s="229">
        <f t="shared" si="11"/>
        <v>213</v>
      </c>
      <c r="L215" s="230">
        <f t="shared" si="9"/>
        <v>-0.85055489319210498</v>
      </c>
      <c r="M215" s="230">
        <f t="shared" si="10"/>
        <v>-0.55235680607025051</v>
      </c>
    </row>
    <row r="216" spans="1:13" x14ac:dyDescent="0.25">
      <c r="A216" s="237"/>
      <c r="B216" s="221"/>
      <c r="C216" s="215"/>
      <c r="D216" s="233"/>
      <c r="E216" s="215"/>
      <c r="F216" s="221"/>
      <c r="G216" s="221"/>
      <c r="H216" s="233"/>
      <c r="I216" s="221"/>
      <c r="J216" s="221"/>
      <c r="K216" s="229">
        <f t="shared" si="11"/>
        <v>214</v>
      </c>
      <c r="L216" s="230">
        <f t="shared" si="9"/>
        <v>-0.84064573803118758</v>
      </c>
      <c r="M216" s="230">
        <f t="shared" si="10"/>
        <v>-0.56702270994932313</v>
      </c>
    </row>
    <row r="217" spans="1:13" x14ac:dyDescent="0.25">
      <c r="A217" s="237"/>
      <c r="B217" s="221"/>
      <c r="C217" s="215"/>
      <c r="D217" s="233"/>
      <c r="E217" s="215"/>
      <c r="F217" s="221"/>
      <c r="G217" s="221"/>
      <c r="H217" s="233"/>
      <c r="I217" s="221"/>
      <c r="J217" s="221"/>
      <c r="K217" s="229">
        <f t="shared" si="11"/>
        <v>215</v>
      </c>
      <c r="L217" s="230">
        <f t="shared" si="9"/>
        <v>-0.8304802322074154</v>
      </c>
      <c r="M217" s="230">
        <f t="shared" si="10"/>
        <v>-0.58150851892578259</v>
      </c>
    </row>
    <row r="218" spans="1:13" x14ac:dyDescent="0.25">
      <c r="A218" s="237"/>
      <c r="B218" s="221"/>
      <c r="C218" s="215"/>
      <c r="D218" s="233"/>
      <c r="E218" s="215"/>
      <c r="F218" s="221"/>
      <c r="G218" s="221"/>
      <c r="H218" s="233"/>
      <c r="I218" s="221"/>
      <c r="J218" s="221"/>
      <c r="K218" s="229">
        <f t="shared" si="11"/>
        <v>216</v>
      </c>
      <c r="L218" s="230">
        <f t="shared" si="9"/>
        <v>-0.82006173441642438</v>
      </c>
      <c r="M218" s="230">
        <f t="shared" si="10"/>
        <v>-0.59580972564336965</v>
      </c>
    </row>
    <row r="219" spans="1:13" x14ac:dyDescent="0.25">
      <c r="A219" s="237"/>
      <c r="B219" s="221"/>
      <c r="C219" s="215"/>
      <c r="D219" s="233"/>
      <c r="E219" s="215"/>
      <c r="F219" s="221"/>
      <c r="G219" s="221"/>
      <c r="H219" s="233"/>
      <c r="I219" s="221"/>
      <c r="J219" s="221"/>
      <c r="K219" s="229">
        <f t="shared" si="11"/>
        <v>217</v>
      </c>
      <c r="L219" s="230">
        <f t="shared" si="9"/>
        <v>-0.80939368351840746</v>
      </c>
      <c r="M219" s="230">
        <f t="shared" si="10"/>
        <v>-0.60992188834291527</v>
      </c>
    </row>
    <row r="220" spans="1:13" x14ac:dyDescent="0.25">
      <c r="A220" s="237"/>
      <c r="B220" s="221"/>
      <c r="C220" s="215"/>
      <c r="D220" s="233"/>
      <c r="E220" s="215"/>
      <c r="F220" s="221"/>
      <c r="G220" s="221"/>
      <c r="H220" s="233"/>
      <c r="I220" s="221"/>
      <c r="J220" s="221"/>
      <c r="K220" s="229">
        <f t="shared" si="11"/>
        <v>218</v>
      </c>
      <c r="L220" s="230">
        <f t="shared" si="9"/>
        <v>-0.79847959715350258</v>
      </c>
      <c r="M220" s="230">
        <f t="shared" si="10"/>
        <v>-0.6238406323149055</v>
      </c>
    </row>
    <row r="221" spans="1:13" x14ac:dyDescent="0.25">
      <c r="A221" s="237"/>
      <c r="B221" s="221"/>
      <c r="C221" s="215"/>
      <c r="D221" s="233"/>
      <c r="E221" s="215"/>
      <c r="F221" s="221"/>
      <c r="G221" s="221"/>
      <c r="H221" s="233"/>
      <c r="I221" s="221"/>
      <c r="J221" s="221"/>
      <c r="K221" s="229">
        <f t="shared" si="11"/>
        <v>219</v>
      </c>
      <c r="L221" s="230">
        <f t="shared" si="9"/>
        <v>-0.78732307033008153</v>
      </c>
      <c r="M221" s="230">
        <f t="shared" si="10"/>
        <v>-0.63756165131936993</v>
      </c>
    </row>
    <row r="222" spans="1:13" x14ac:dyDescent="0.25">
      <c r="A222" s="237"/>
      <c r="B222" s="221"/>
      <c r="C222" s="215"/>
      <c r="D222" s="233"/>
      <c r="E222" s="215"/>
      <c r="F222" s="221"/>
      <c r="G222" s="221"/>
      <c r="H222" s="233"/>
      <c r="I222" s="221"/>
      <c r="J222" s="221"/>
      <c r="K222" s="229">
        <f t="shared" si="11"/>
        <v>220</v>
      </c>
      <c r="L222" s="230">
        <f t="shared" si="9"/>
        <v>-0.77592777398682966</v>
      </c>
      <c r="M222" s="230">
        <f t="shared" si="10"/>
        <v>-0.65108070897255654</v>
      </c>
    </row>
    <row r="223" spans="1:13" x14ac:dyDescent="0.25">
      <c r="A223" s="237"/>
      <c r="B223" s="221"/>
      <c r="C223" s="215"/>
      <c r="D223" s="233"/>
      <c r="E223" s="215"/>
      <c r="F223" s="221"/>
      <c r="G223" s="221"/>
      <c r="H223" s="233"/>
      <c r="I223" s="221"/>
      <c r="J223" s="221"/>
      <c r="K223" s="229">
        <f t="shared" si="11"/>
        <v>221</v>
      </c>
      <c r="L223" s="230">
        <f t="shared" si="9"/>
        <v>-0.76429745352950373</v>
      </c>
      <c r="M223" s="230">
        <f t="shared" si="10"/>
        <v>-0.66439364009991109</v>
      </c>
    </row>
    <row r="224" spans="1:13" x14ac:dyDescent="0.25">
      <c r="A224" s="237"/>
      <c r="B224" s="221"/>
      <c r="C224" s="215"/>
      <c r="D224" s="233"/>
      <c r="E224" s="215"/>
      <c r="F224" s="221"/>
      <c r="G224" s="221"/>
      <c r="H224" s="233"/>
      <c r="I224" s="221"/>
      <c r="J224" s="221"/>
      <c r="K224" s="229">
        <f t="shared" si="11"/>
        <v>222</v>
      </c>
      <c r="L224" s="230">
        <f t="shared" si="9"/>
        <v>-0.7524359273432748</v>
      </c>
      <c r="M224" s="230">
        <f t="shared" si="10"/>
        <v>-0.67749635205488024</v>
      </c>
    </row>
    <row r="225" spans="1:13" x14ac:dyDescent="0.25">
      <c r="A225" s="237"/>
      <c r="B225" s="221"/>
      <c r="C225" s="215"/>
      <c r="D225" s="233"/>
      <c r="E225" s="215"/>
      <c r="F225" s="221"/>
      <c r="G225" s="221"/>
      <c r="H225" s="233"/>
      <c r="I225" s="221"/>
      <c r="J225" s="221"/>
      <c r="K225" s="229">
        <f t="shared" si="11"/>
        <v>223</v>
      </c>
      <c r="L225" s="230">
        <f t="shared" si="9"/>
        <v>-0.74034708528156445</v>
      </c>
      <c r="M225" s="230">
        <f t="shared" si="10"/>
        <v>-0.69038482600310458</v>
      </c>
    </row>
    <row r="226" spans="1:13" x14ac:dyDescent="0.25">
      <c r="A226" s="237"/>
      <c r="B226" s="221"/>
      <c r="C226" s="215"/>
      <c r="D226" s="233"/>
      <c r="E226" s="215"/>
      <c r="F226" s="221"/>
      <c r="G226" s="221"/>
      <c r="H226" s="233"/>
      <c r="I226" s="221"/>
      <c r="J226" s="221"/>
      <c r="K226" s="229">
        <f t="shared" si="11"/>
        <v>224</v>
      </c>
      <c r="L226" s="230">
        <f t="shared" si="9"/>
        <v>-0.72803488713229159</v>
      </c>
      <c r="M226" s="230">
        <f t="shared" si="10"/>
        <v>-0.70305511817158917</v>
      </c>
    </row>
    <row r="227" spans="1:13" x14ac:dyDescent="0.25">
      <c r="A227" s="237"/>
      <c r="B227" s="221"/>
      <c r="C227" s="215"/>
      <c r="D227" s="233"/>
      <c r="E227" s="215"/>
      <c r="F227" s="221"/>
      <c r="G227" s="221"/>
      <c r="H227" s="233"/>
      <c r="I227" s="221"/>
      <c r="J227" s="221"/>
      <c r="K227" s="229">
        <f t="shared" si="11"/>
        <v>225</v>
      </c>
      <c r="L227" s="230">
        <f t="shared" si="9"/>
        <v>-0.71550336106245838</v>
      </c>
      <c r="M227" s="230">
        <f t="shared" si="10"/>
        <v>-0.71550336106245815</v>
      </c>
    </row>
    <row r="228" spans="1:13" x14ac:dyDescent="0.25">
      <c r="A228" s="237"/>
      <c r="B228" s="221"/>
      <c r="C228" s="215"/>
      <c r="D228" s="233"/>
      <c r="E228" s="215"/>
      <c r="F228" s="221"/>
      <c r="G228" s="221"/>
      <c r="H228" s="233"/>
      <c r="I228" s="221"/>
      <c r="J228" s="221"/>
      <c r="K228" s="229">
        <f t="shared" si="11"/>
        <v>226</v>
      </c>
      <c r="L228" s="230">
        <f t="shared" si="9"/>
        <v>-0.70275660204199919</v>
      </c>
      <c r="M228" s="230">
        <f t="shared" si="10"/>
        <v>-0.72772576463094596</v>
      </c>
    </row>
    <row r="229" spans="1:13" x14ac:dyDescent="0.25">
      <c r="A229" s="237"/>
      <c r="B229" s="221"/>
      <c r="C229" s="215"/>
      <c r="D229" s="233"/>
      <c r="E229" s="215"/>
      <c r="F229" s="221"/>
      <c r="G229" s="221"/>
      <c r="H229" s="233"/>
      <c r="I229" s="221"/>
      <c r="J229" s="221"/>
      <c r="K229" s="229">
        <f t="shared" si="11"/>
        <v>227</v>
      </c>
      <c r="L229" s="230">
        <f t="shared" si="9"/>
        <v>-0.68979877024783709</v>
      </c>
      <c r="M229" s="230">
        <f t="shared" si="10"/>
        <v>-0.73971861742728529</v>
      </c>
    </row>
    <row r="230" spans="1:13" x14ac:dyDescent="0.25">
      <c r="A230" s="237"/>
      <c r="B230" s="221"/>
      <c r="C230" s="215"/>
      <c r="D230" s="233"/>
      <c r="E230" s="215"/>
      <c r="F230" s="221"/>
      <c r="G230" s="221"/>
      <c r="H230" s="233"/>
      <c r="I230" s="221"/>
      <c r="J230" s="221"/>
      <c r="K230" s="229">
        <f t="shared" si="11"/>
        <v>228</v>
      </c>
      <c r="L230" s="230">
        <f t="shared" si="9"/>
        <v>-0.67663408944907466</v>
      </c>
      <c r="M230" s="230">
        <f t="shared" si="10"/>
        <v>-0.75147828770219804</v>
      </c>
    </row>
    <row r="231" spans="1:13" x14ac:dyDescent="0.25">
      <c r="A231" s="237"/>
      <c r="B231" s="221"/>
      <c r="C231" s="215"/>
      <c r="D231" s="233"/>
      <c r="E231" s="215"/>
      <c r="F231" s="221"/>
      <c r="G231" s="221"/>
      <c r="H231" s="233"/>
      <c r="I231" s="221"/>
      <c r="J231" s="221"/>
      <c r="K231" s="229">
        <f t="shared" si="11"/>
        <v>229</v>
      </c>
      <c r="L231" s="230">
        <f t="shared" si="9"/>
        <v>-0.66326684537427227</v>
      </c>
      <c r="M231" s="230">
        <f t="shared" si="10"/>
        <v>-0.76300122447570529</v>
      </c>
    </row>
    <row r="232" spans="1:13" x14ac:dyDescent="0.25">
      <c r="A232" s="237"/>
      <c r="B232" s="221"/>
      <c r="C232" s="215"/>
      <c r="D232" s="233"/>
      <c r="E232" s="215"/>
      <c r="F232" s="221"/>
      <c r="G232" s="221"/>
      <c r="H232" s="233"/>
      <c r="I232" s="221"/>
      <c r="J232" s="221"/>
      <c r="K232" s="229">
        <f t="shared" si="11"/>
        <v>230</v>
      </c>
      <c r="L232" s="230">
        <f t="shared" si="9"/>
        <v>-0.6497013840617486</v>
      </c>
      <c r="M232" s="230">
        <f t="shared" si="10"/>
        <v>-0.7742839585690191</v>
      </c>
    </row>
    <row r="233" spans="1:13" x14ac:dyDescent="0.25">
      <c r="A233" s="237"/>
      <c r="B233" s="221"/>
      <c r="C233" s="215"/>
      <c r="D233" s="233"/>
      <c r="E233" s="215"/>
      <c r="F233" s="221"/>
      <c r="G233" s="221"/>
      <c r="H233" s="233"/>
      <c r="I233" s="221"/>
      <c r="J233" s="221"/>
      <c r="K233" s="229">
        <f t="shared" si="11"/>
        <v>231</v>
      </c>
      <c r="L233" s="230">
        <f t="shared" si="9"/>
        <v>-0.63594211019385272</v>
      </c>
      <c r="M233" s="230">
        <f t="shared" si="10"/>
        <v>-0.78532310359928825</v>
      </c>
    </row>
    <row r="234" spans="1:13" x14ac:dyDescent="0.25">
      <c r="A234" s="237"/>
      <c r="B234" s="221"/>
      <c r="C234" s="215"/>
      <c r="D234" s="233"/>
      <c r="E234" s="215"/>
      <c r="F234" s="221"/>
      <c r="G234" s="221"/>
      <c r="H234" s="233"/>
      <c r="I234" s="221"/>
      <c r="J234" s="221"/>
      <c r="K234" s="229">
        <f t="shared" si="11"/>
        <v>232</v>
      </c>
      <c r="L234" s="230">
        <f t="shared" si="9"/>
        <v>-0.62199348541615129</v>
      </c>
      <c r="M234" s="230">
        <f t="shared" si="10"/>
        <v>-0.79611535693701108</v>
      </c>
    </row>
    <row r="235" spans="1:13" x14ac:dyDescent="0.25">
      <c r="A235" s="237"/>
      <c r="B235" s="221"/>
      <c r="C235" s="215"/>
      <c r="D235" s="233"/>
      <c r="E235" s="215"/>
      <c r="F235" s="221"/>
      <c r="G235" s="221"/>
      <c r="H235" s="233"/>
      <c r="I235" s="221"/>
      <c r="J235" s="221"/>
      <c r="K235" s="229">
        <f t="shared" si="11"/>
        <v>233</v>
      </c>
      <c r="L235" s="230">
        <f t="shared" si="9"/>
        <v>-0.60786002664247707</v>
      </c>
      <c r="M235" s="230">
        <f t="shared" si="10"/>
        <v>-0.80665750062594377</v>
      </c>
    </row>
    <row r="236" spans="1:13" x14ac:dyDescent="0.25">
      <c r="A236" s="237"/>
      <c r="B236" s="221"/>
      <c r="C236" s="215"/>
      <c r="D236" s="233"/>
      <c r="E236" s="215"/>
      <c r="F236" s="221"/>
      <c r="G236" s="221"/>
      <c r="H236" s="233"/>
      <c r="I236" s="221"/>
      <c r="J236" s="221"/>
      <c r="K236" s="229">
        <f t="shared" si="11"/>
        <v>234</v>
      </c>
      <c r="L236" s="230">
        <f t="shared" si="9"/>
        <v>-0.59354630434677225</v>
      </c>
      <c r="M236" s="230">
        <f t="shared" si="10"/>
        <v>-0.81694640226537785</v>
      </c>
    </row>
    <row r="237" spans="1:13" x14ac:dyDescent="0.25">
      <c r="A237" s="237"/>
      <c r="B237" s="221"/>
      <c r="C237" s="215"/>
      <c r="D237" s="233"/>
      <c r="E237" s="215"/>
      <c r="F237" s="221"/>
      <c r="G237" s="221"/>
      <c r="H237" s="233"/>
      <c r="I237" s="221"/>
      <c r="J237" s="221"/>
      <c r="K237" s="229">
        <f t="shared" si="11"/>
        <v>235</v>
      </c>
      <c r="L237" s="230">
        <f t="shared" si="9"/>
        <v>-0.57905694084267989</v>
      </c>
      <c r="M237" s="230">
        <f t="shared" si="10"/>
        <v>-0.82697901585465916</v>
      </c>
    </row>
    <row r="238" spans="1:13" x14ac:dyDescent="0.25">
      <c r="A238" s="237"/>
      <c r="B238" s="221"/>
      <c r="C238" s="215"/>
      <c r="D238" s="233"/>
      <c r="E238" s="215"/>
      <c r="F238" s="221"/>
      <c r="G238" s="221"/>
      <c r="H238" s="233"/>
      <c r="I238" s="221"/>
      <c r="J238" s="221"/>
      <c r="K238" s="229">
        <f t="shared" si="11"/>
        <v>236</v>
      </c>
      <c r="L238" s="230">
        <f t="shared" si="9"/>
        <v>-0.56439660855181073</v>
      </c>
      <c r="M238" s="230">
        <f t="shared" si="10"/>
        <v>-0.83675238259987905</v>
      </c>
    </row>
    <row r="239" spans="1:13" x14ac:dyDescent="0.25">
      <c r="A239" s="237"/>
      <c r="B239" s="221"/>
      <c r="C239" s="215"/>
      <c r="D239" s="233"/>
      <c r="E239" s="215"/>
      <c r="F239" s="221"/>
      <c r="G239" s="221"/>
      <c r="H239" s="233"/>
      <c r="I239" s="221"/>
      <c r="J239" s="221"/>
      <c r="K239" s="229">
        <f t="shared" si="11"/>
        <v>237</v>
      </c>
      <c r="L239" s="230">
        <f t="shared" si="9"/>
        <v>-0.5495700282616226</v>
      </c>
      <c r="M239" s="230">
        <f t="shared" si="10"/>
        <v>-0.84626363168266305</v>
      </c>
    </row>
    <row r="240" spans="1:13" x14ac:dyDescent="0.25">
      <c r="A240" s="237"/>
      <c r="B240" s="221"/>
      <c r="C240" s="215"/>
      <c r="D240" s="233"/>
      <c r="E240" s="215"/>
      <c r="F240" s="221"/>
      <c r="G240" s="221"/>
      <c r="H240" s="233"/>
      <c r="I240" s="221"/>
      <c r="J240" s="221"/>
      <c r="K240" s="229">
        <f t="shared" si="11"/>
        <v>238</v>
      </c>
      <c r="L240" s="230">
        <f t="shared" si="9"/>
        <v>-0.53458196737383401</v>
      </c>
      <c r="M240" s="230">
        <f t="shared" si="10"/>
        <v>-0.85550998099104258</v>
      </c>
    </row>
    <row r="241" spans="1:13" x14ac:dyDescent="0.25">
      <c r="A241" s="237"/>
      <c r="B241" s="221"/>
      <c r="C241" s="215"/>
      <c r="D241" s="233"/>
      <c r="E241" s="215"/>
      <c r="F241" s="221"/>
      <c r="G241" s="221"/>
      <c r="H241" s="233"/>
      <c r="I241" s="221"/>
      <c r="J241" s="221"/>
      <c r="K241" s="229">
        <f t="shared" si="11"/>
        <v>239</v>
      </c>
      <c r="L241" s="230">
        <f t="shared" si="9"/>
        <v>-0.51943723814430298</v>
      </c>
      <c r="M241" s="230">
        <f t="shared" si="10"/>
        <v>-0.86448873781238256</v>
      </c>
    </row>
    <row r="242" spans="1:13" x14ac:dyDescent="0.25">
      <c r="A242" s="237"/>
      <c r="B242" s="221"/>
      <c r="C242" s="215"/>
      <c r="D242" s="233"/>
      <c r="E242" s="215"/>
      <c r="F242" s="221"/>
      <c r="G242" s="221"/>
      <c r="H242" s="233"/>
      <c r="I242" s="221"/>
      <c r="J242" s="221"/>
      <c r="K242" s="229">
        <f t="shared" si="11"/>
        <v>240</v>
      </c>
      <c r="L242" s="230">
        <f t="shared" si="9"/>
        <v>-0.50414069591528032</v>
      </c>
      <c r="M242" s="230">
        <f t="shared" si="10"/>
        <v>-0.87319729948839608</v>
      </c>
    </row>
    <row r="243" spans="1:13" x14ac:dyDescent="0.25">
      <c r="A243" s="237"/>
      <c r="B243" s="221"/>
      <c r="C243" s="215"/>
      <c r="D243" s="233"/>
      <c r="E243" s="215"/>
      <c r="F243" s="221"/>
      <c r="G243" s="221"/>
      <c r="H243" s="233"/>
      <c r="I243" s="221"/>
      <c r="J243" s="221"/>
      <c r="K243" s="229">
        <f t="shared" si="11"/>
        <v>241</v>
      </c>
      <c r="L243" s="230">
        <f t="shared" si="9"/>
        <v>-0.48869723734094755</v>
      </c>
      <c r="M243" s="230">
        <f t="shared" si="10"/>
        <v>-0.88163315403228326</v>
      </c>
    </row>
    <row r="244" spans="1:13" x14ac:dyDescent="0.25">
      <c r="A244" s="237"/>
      <c r="B244" s="221"/>
      <c r="C244" s="215"/>
      <c r="D244" s="233"/>
      <c r="E244" s="215"/>
      <c r="F244" s="221"/>
      <c r="G244" s="221"/>
      <c r="H244" s="233"/>
      <c r="I244" s="221"/>
      <c r="J244" s="221"/>
      <c r="K244" s="229">
        <f t="shared" si="11"/>
        <v>242</v>
      </c>
      <c r="L244" s="230">
        <f t="shared" si="9"/>
        <v>-0.47311179860714281</v>
      </c>
      <c r="M244" s="230">
        <f t="shared" si="10"/>
        <v>-0.88979388070805743</v>
      </c>
    </row>
    <row r="245" spans="1:13" x14ac:dyDescent="0.25">
      <c r="A245" s="237"/>
      <c r="B245" s="221"/>
      <c r="C245" s="215"/>
      <c r="D245" s="233"/>
      <c r="E245" s="215"/>
      <c r="F245" s="221"/>
      <c r="G245" s="221"/>
      <c r="H245" s="233"/>
      <c r="I245" s="221"/>
      <c r="J245" s="221"/>
      <c r="K245" s="229">
        <f t="shared" si="11"/>
        <v>243</v>
      </c>
      <c r="L245" s="230">
        <f t="shared" si="9"/>
        <v>-0.4573893536461574</v>
      </c>
      <c r="M245" s="230">
        <f t="shared" si="10"/>
        <v>-0.8976771505721588</v>
      </c>
    </row>
    <row r="246" spans="1:13" x14ac:dyDescent="0.25">
      <c r="A246" s="237"/>
      <c r="B246" s="221"/>
      <c r="C246" s="215"/>
      <c r="D246" s="233"/>
      <c r="E246" s="215"/>
      <c r="F246" s="221"/>
      <c r="G246" s="221"/>
      <c r="H246" s="233"/>
      <c r="I246" s="221"/>
      <c r="J246" s="221"/>
      <c r="K246" s="229">
        <f t="shared" si="11"/>
        <v>244</v>
      </c>
      <c r="L246" s="230">
        <f t="shared" si="9"/>
        <v>-0.44153491234749986</v>
      </c>
      <c r="M246" s="230">
        <f t="shared" si="10"/>
        <v>-0.90528072697745599</v>
      </c>
    </row>
    <row r="247" spans="1:13" x14ac:dyDescent="0.25">
      <c r="A247" s="237"/>
      <c r="B247" s="221"/>
      <c r="C247" s="215"/>
      <c r="D247" s="233"/>
      <c r="E247" s="215"/>
      <c r="F247" s="221"/>
      <c r="G247" s="221"/>
      <c r="H247" s="233"/>
      <c r="I247" s="221"/>
      <c r="J247" s="221"/>
      <c r="K247" s="229">
        <f t="shared" si="11"/>
        <v>245</v>
      </c>
      <c r="L247" s="230">
        <f t="shared" si="9"/>
        <v>-0.42555351876548736</v>
      </c>
      <c r="M247" s="230">
        <f t="shared" si="10"/>
        <v>-0.91260246603978268</v>
      </c>
    </row>
    <row r="248" spans="1:13" x14ac:dyDescent="0.25">
      <c r="A248" s="237"/>
      <c r="B248" s="221"/>
      <c r="C248" s="215"/>
      <c r="D248" s="233"/>
      <c r="E248" s="215"/>
      <c r="F248" s="221"/>
      <c r="G248" s="221"/>
      <c r="H248" s="233"/>
      <c r="I248" s="221"/>
      <c r="J248" s="221"/>
      <c r="K248" s="229">
        <f t="shared" si="11"/>
        <v>246</v>
      </c>
      <c r="L248" s="230">
        <f t="shared" si="9"/>
        <v>-0.40945024932453694</v>
      </c>
      <c r="M248" s="230">
        <f t="shared" si="10"/>
        <v>-0.91964031706716021</v>
      </c>
    </row>
    <row r="249" spans="1:13" x14ac:dyDescent="0.25">
      <c r="A249" s="237"/>
      <c r="B249" s="221"/>
      <c r="C249" s="215"/>
      <c r="D249" s="233"/>
      <c r="E249" s="215"/>
      <c r="F249" s="221"/>
      <c r="G249" s="221"/>
      <c r="H249" s="233"/>
      <c r="I249" s="221"/>
      <c r="J249" s="221"/>
      <c r="K249" s="229">
        <f t="shared" si="11"/>
        <v>247</v>
      </c>
      <c r="L249" s="230">
        <f t="shared" si="9"/>
        <v>-0.39323021102299499</v>
      </c>
      <c r="M249" s="230">
        <f t="shared" si="10"/>
        <v>-0.92639232295189611</v>
      </c>
    </row>
    <row r="250" spans="1:13" x14ac:dyDescent="0.25">
      <c r="A250" s="237"/>
      <c r="B250" s="221"/>
      <c r="C250" s="215"/>
      <c r="D250" s="233"/>
      <c r="E250" s="215"/>
      <c r="F250" s="221"/>
      <c r="G250" s="221"/>
      <c r="H250" s="233"/>
      <c r="I250" s="221"/>
      <c r="J250" s="221"/>
      <c r="K250" s="229">
        <f t="shared" si="11"/>
        <v>248</v>
      </c>
      <c r="L250" s="230">
        <f t="shared" si="9"/>
        <v>-0.37689853963635739</v>
      </c>
      <c r="M250" s="230">
        <f t="shared" si="10"/>
        <v>-0.93285662052574814</v>
      </c>
    </row>
    <row r="251" spans="1:13" x14ac:dyDescent="0.25">
      <c r="A251" s="237"/>
      <c r="B251" s="221"/>
      <c r="C251" s="215"/>
      <c r="D251" s="233"/>
      <c r="E251" s="215"/>
      <c r="F251" s="221"/>
      <c r="G251" s="221"/>
      <c r="H251" s="233"/>
      <c r="I251" s="221"/>
      <c r="J251" s="221"/>
      <c r="K251" s="229">
        <f t="shared" si="11"/>
        <v>249</v>
      </c>
      <c r="L251" s="230">
        <f t="shared" si="9"/>
        <v>-0.36046039792069923</v>
      </c>
      <c r="M251" s="230">
        <f t="shared" si="10"/>
        <v>-0.93903144087838863</v>
      </c>
    </row>
    <row r="252" spans="1:13" x14ac:dyDescent="0.25">
      <c r="A252" s="237"/>
      <c r="B252" s="221"/>
      <c r="C252" s="215"/>
      <c r="D252" s="233"/>
      <c r="E252" s="215"/>
      <c r="F252" s="221"/>
      <c r="G252" s="221"/>
      <c r="H252" s="233"/>
      <c r="I252" s="221"/>
      <c r="J252" s="221"/>
      <c r="K252" s="229">
        <f t="shared" si="11"/>
        <v>250</v>
      </c>
      <c r="L252" s="230">
        <f t="shared" si="9"/>
        <v>-0.34392097381712727</v>
      </c>
      <c r="M252" s="230">
        <f t="shared" si="10"/>
        <v>-0.94491510963940206</v>
      </c>
    </row>
    <row r="253" spans="1:13" x14ac:dyDescent="0.25">
      <c r="A253" s="237"/>
      <c r="B253" s="221"/>
      <c r="C253" s="215"/>
      <c r="D253" s="233"/>
      <c r="E253" s="215"/>
      <c r="F253" s="221"/>
      <c r="G253" s="221"/>
      <c r="H253" s="233"/>
      <c r="I253" s="221"/>
      <c r="J253" s="221"/>
      <c r="K253" s="229">
        <f t="shared" si="11"/>
        <v>251</v>
      </c>
      <c r="L253" s="230">
        <f t="shared" si="9"/>
        <v>-0.32728547865806318</v>
      </c>
      <c r="M253" s="230">
        <f t="shared" si="10"/>
        <v>-0.9505060472240856</v>
      </c>
    </row>
    <row r="254" spans="1:13" x14ac:dyDescent="0.25">
      <c r="A254" s="237"/>
      <c r="B254" s="221"/>
      <c r="C254" s="215"/>
      <c r="D254" s="233"/>
      <c r="E254" s="215"/>
      <c r="F254" s="221"/>
      <c r="G254" s="221"/>
      <c r="H254" s="233"/>
      <c r="I254" s="221"/>
      <c r="J254" s="221"/>
      <c r="K254" s="229">
        <f t="shared" si="11"/>
        <v>252</v>
      </c>
      <c r="L254" s="230">
        <f t="shared" si="9"/>
        <v>-0.31055914537612955</v>
      </c>
      <c r="M254" s="230">
        <f t="shared" si="10"/>
        <v>-0.95580276904332973</v>
      </c>
    </row>
    <row r="255" spans="1:13" x14ac:dyDescent="0.25">
      <c r="A255" s="237"/>
      <c r="B255" s="221"/>
      <c r="C255" s="215"/>
      <c r="D255" s="233"/>
      <c r="E255" s="215"/>
      <c r="F255" s="221"/>
      <c r="G255" s="221"/>
      <c r="H255" s="233"/>
      <c r="I255" s="221"/>
      <c r="J255" s="221"/>
      <c r="K255" s="229">
        <f t="shared" si="11"/>
        <v>253</v>
      </c>
      <c r="L255" s="230">
        <f t="shared" si="9"/>
        <v>-0.29374722671642745</v>
      </c>
      <c r="M255" s="230">
        <f t="shared" si="10"/>
        <v>-0.96080388567787989</v>
      </c>
    </row>
    <row r="256" spans="1:13" x14ac:dyDescent="0.25">
      <c r="A256" s="237"/>
      <c r="B256" s="221"/>
      <c r="C256" s="215"/>
      <c r="D256" s="233"/>
      <c r="E256" s="215"/>
      <c r="F256" s="221"/>
      <c r="G256" s="221"/>
      <c r="H256" s="233"/>
      <c r="I256" s="221"/>
      <c r="J256" s="221"/>
      <c r="K256" s="229">
        <f t="shared" si="11"/>
        <v>254</v>
      </c>
      <c r="L256" s="230">
        <f t="shared" si="9"/>
        <v>-0.2768549934529495</v>
      </c>
      <c r="M256" s="230">
        <f t="shared" si="10"/>
        <v>-0.96550810301729761</v>
      </c>
    </row>
    <row r="257" spans="1:13" x14ac:dyDescent="0.25">
      <c r="A257" s="237"/>
      <c r="B257" s="221"/>
      <c r="C257" s="215"/>
      <c r="D257" s="233"/>
      <c r="E257" s="215"/>
      <c r="F257" s="221"/>
      <c r="G257" s="221"/>
      <c r="H257" s="233"/>
      <c r="I257" s="221"/>
      <c r="J257" s="221"/>
      <c r="K257" s="229">
        <f t="shared" si="11"/>
        <v>255</v>
      </c>
      <c r="L257" s="230">
        <f t="shared" si="9"/>
        <v>-0.25988773260988113</v>
      </c>
      <c r="M257" s="230">
        <f t="shared" si="10"/>
        <v>-0.96991422236395175</v>
      </c>
    </row>
    <row r="258" spans="1:13" x14ac:dyDescent="0.25">
      <c r="A258" s="237"/>
      <c r="B258" s="221"/>
      <c r="C258" s="215"/>
      <c r="D258" s="233"/>
      <c r="E258" s="215"/>
      <c r="F258" s="221"/>
      <c r="G258" s="221"/>
      <c r="H258" s="233"/>
      <c r="I258" s="221"/>
      <c r="J258" s="221"/>
      <c r="K258" s="229">
        <f t="shared" si="11"/>
        <v>256</v>
      </c>
      <c r="L258" s="230">
        <f t="shared" si="9"/>
        <v>-0.24285074568850035</v>
      </c>
      <c r="M258" s="230">
        <f t="shared" si="10"/>
        <v>-0.97402114050239919</v>
      </c>
    </row>
    <row r="259" spans="1:13" x14ac:dyDescent="0.25">
      <c r="A259" s="237"/>
      <c r="B259" s="221"/>
      <c r="C259" s="215"/>
      <c r="D259" s="233"/>
      <c r="E259" s="215"/>
      <c r="F259" s="221"/>
      <c r="G259" s="221"/>
      <c r="H259" s="233"/>
      <c r="I259" s="221"/>
      <c r="J259" s="221"/>
      <c r="K259" s="229">
        <f t="shared" si="11"/>
        <v>257</v>
      </c>
      <c r="L259" s="230">
        <f t="shared" ref="L259:L322" si="12">IF($D$2="","", ($D$2*(1-$E$2^2)/(1+$E$2*COS(RADIANS(K259)))) * COS(RADIANS(K259)) )</f>
        <v>-0.22574934690040549</v>
      </c>
      <c r="M259" s="230">
        <f t="shared" ref="M259:M322" si="13">IF($D$2="","", ($D$2*(1-$E$2^2)/(1+$E$2*COS(RADIANS(K259)))) * SIN(RADIANS(K259)) )</f>
        <v>-0.97782784973450987</v>
      </c>
    </row>
    <row r="260" spans="1:13" x14ac:dyDescent="0.25">
      <c r="A260" s="237"/>
      <c r="B260" s="221"/>
      <c r="C260" s="215"/>
      <c r="D260" s="233"/>
      <c r="E260" s="215"/>
      <c r="F260" s="221"/>
      <c r="G260" s="221"/>
      <c r="H260" s="233"/>
      <c r="I260" s="221"/>
      <c r="J260" s="221"/>
      <c r="K260" s="229">
        <f t="shared" ref="K260:K323" si="14">K259+1</f>
        <v>258</v>
      </c>
      <c r="L260" s="230">
        <f t="shared" si="12"/>
        <v>-0.2085888614077511</v>
      </c>
      <c r="M260" s="230">
        <f t="shared" si="13"/>
        <v>-0.98133343788073191</v>
      </c>
    </row>
    <row r="261" spans="1:13" x14ac:dyDescent="0.25">
      <c r="A261" s="237"/>
      <c r="B261" s="221"/>
      <c r="C261" s="215"/>
      <c r="D261" s="233"/>
      <c r="E261" s="215"/>
      <c r="F261" s="221"/>
      <c r="G261" s="221"/>
      <c r="H261" s="233"/>
      <c r="I261" s="221"/>
      <c r="J261" s="221"/>
      <c r="K261" s="229">
        <f t="shared" si="14"/>
        <v>259</v>
      </c>
      <c r="L261" s="230">
        <f t="shared" si="12"/>
        <v>-0.19137462357117185</v>
      </c>
      <c r="M261" s="230">
        <f t="shared" si="13"/>
        <v>-0.98453708824787955</v>
      </c>
    </row>
    <row r="262" spans="1:13" x14ac:dyDescent="0.25">
      <c r="A262" s="237"/>
      <c r="B262" s="221"/>
      <c r="C262" s="215"/>
      <c r="D262" s="233"/>
      <c r="E262" s="215"/>
      <c r="F262" s="221"/>
      <c r="G262" s="221"/>
      <c r="H262" s="233"/>
      <c r="I262" s="221"/>
      <c r="J262" s="221"/>
      <c r="K262" s="229">
        <f t="shared" si="14"/>
        <v>260</v>
      </c>
      <c r="L262" s="230">
        <f t="shared" si="12"/>
        <v>-0.17411197520606148</v>
      </c>
      <c r="M262" s="230">
        <f t="shared" si="13"/>
        <v>-0.98743807956386587</v>
      </c>
    </row>
    <row r="263" spans="1:13" x14ac:dyDescent="0.25">
      <c r="A263" s="237"/>
      <c r="B263" s="221"/>
      <c r="C263" s="215"/>
      <c r="D263" s="233"/>
      <c r="E263" s="215"/>
      <c r="F263" s="221"/>
      <c r="G263" s="221"/>
      <c r="H263" s="233"/>
      <c r="I263" s="221"/>
      <c r="J263" s="221"/>
      <c r="K263" s="229">
        <f t="shared" si="14"/>
        <v>261</v>
      </c>
      <c r="L263" s="230">
        <f t="shared" si="12"/>
        <v>-0.1568062638478343</v>
      </c>
      <c r="M263" s="230">
        <f t="shared" si="13"/>
        <v>-0.99003578587979713</v>
      </c>
    </row>
    <row r="264" spans="1:13" x14ac:dyDescent="0.25">
      <c r="A264" s="237"/>
      <c r="B264" s="221"/>
      <c r="C264" s="215"/>
      <c r="D264" s="233"/>
      <c r="E264" s="215"/>
      <c r="F264" s="221"/>
      <c r="G264" s="221"/>
      <c r="H264" s="233"/>
      <c r="I264" s="221"/>
      <c r="J264" s="221"/>
      <c r="K264" s="229">
        <f t="shared" si="14"/>
        <v>262</v>
      </c>
      <c r="L264" s="230">
        <f t="shared" si="12"/>
        <v>-0.13946284102681319</v>
      </c>
      <c r="M264" s="230">
        <f t="shared" si="13"/>
        <v>-0.99232967643986603</v>
      </c>
    </row>
    <row r="265" spans="1:13" x14ac:dyDescent="0.25">
      <c r="A265" s="237"/>
      <c r="B265" s="221"/>
      <c r="C265" s="215"/>
      <c r="D265" s="233"/>
      <c r="E265" s="215"/>
      <c r="F265" s="221"/>
      <c r="G265" s="221"/>
      <c r="H265" s="233"/>
      <c r="I265" s="221"/>
      <c r="J265" s="221"/>
      <c r="K265" s="229">
        <f t="shared" si="14"/>
        <v>263</v>
      </c>
      <c r="L265" s="230">
        <f t="shared" si="12"/>
        <v>-0.12208706055333737</v>
      </c>
      <c r="M265" s="230">
        <f t="shared" si="13"/>
        <v>-0.99431931551949382</v>
      </c>
    </row>
    <row r="266" spans="1:13" x14ac:dyDescent="0.25">
      <c r="A266" s="237"/>
      <c r="B266" s="221"/>
      <c r="C266" s="215"/>
      <c r="D266" s="233"/>
      <c r="E266" s="215"/>
      <c r="F266" s="221"/>
      <c r="G266" s="221"/>
      <c r="H266" s="233"/>
      <c r="I266" s="221"/>
      <c r="J266" s="221"/>
      <c r="K266" s="229">
        <f t="shared" si="14"/>
        <v>264</v>
      </c>
      <c r="L266" s="230">
        <f t="shared" si="12"/>
        <v>-0.10468427681369057</v>
      </c>
      <c r="M266" s="230">
        <f t="shared" si="13"/>
        <v>-0.99600436223217625</v>
      </c>
    </row>
    <row r="267" spans="1:13" x14ac:dyDescent="0.25">
      <c r="A267" s="237"/>
      <c r="B267" s="221"/>
      <c r="C267" s="215"/>
      <c r="D267" s="233"/>
      <c r="E267" s="215"/>
      <c r="F267" s="221"/>
      <c r="G267" s="221"/>
      <c r="H267" s="233"/>
      <c r="I267" s="221"/>
      <c r="J267" s="221"/>
      <c r="K267" s="229">
        <f t="shared" si="14"/>
        <v>265</v>
      </c>
      <c r="L267" s="230">
        <f t="shared" si="12"/>
        <v>-8.7259843077406918E-2</v>
      </c>
      <c r="M267" s="230">
        <f t="shared" si="13"/>
        <v>-0.99738457030550753</v>
      </c>
    </row>
    <row r="268" spans="1:13" x14ac:dyDescent="0.25">
      <c r="A268" s="237"/>
      <c r="B268" s="221"/>
      <c r="C268" s="215"/>
      <c r="D268" s="233"/>
      <c r="E268" s="215"/>
      <c r="F268" s="221"/>
      <c r="G268" s="221"/>
      <c r="H268" s="233"/>
      <c r="I268" s="221"/>
      <c r="J268" s="221"/>
      <c r="K268" s="229">
        <f t="shared" si="14"/>
        <v>266</v>
      </c>
      <c r="L268" s="230">
        <f t="shared" si="12"/>
        <v>-6.9819109816526365E-2</v>
      </c>
      <c r="M268" s="230">
        <f t="shared" si="13"/>
        <v>-0.99845978782685907</v>
      </c>
    </row>
    <row r="269" spans="1:13" x14ac:dyDescent="0.25">
      <c r="A269" s="237"/>
      <c r="B269" s="221"/>
      <c r="C269" s="215"/>
      <c r="D269" s="233"/>
      <c r="E269" s="215"/>
      <c r="F269" s="221"/>
      <c r="G269" s="221"/>
      <c r="H269" s="233"/>
      <c r="I269" s="221"/>
      <c r="J269" s="221"/>
      <c r="K269" s="229">
        <f t="shared" si="14"/>
        <v>267</v>
      </c>
      <c r="L269" s="230">
        <f t="shared" si="12"/>
        <v>-5.2367423037320927E-2</v>
      </c>
      <c r="M269" s="230">
        <f t="shared" si="13"/>
        <v>-0.9992299569591987</v>
      </c>
    </row>
    <row r="270" spans="1:13" x14ac:dyDescent="0.25">
      <c r="A270" s="237"/>
      <c r="B270" s="221"/>
      <c r="C270" s="215"/>
      <c r="D270" s="233"/>
      <c r="E270" s="215"/>
      <c r="F270" s="221"/>
      <c r="G270" s="221"/>
      <c r="H270" s="233"/>
      <c r="I270" s="221"/>
      <c r="J270" s="221"/>
      <c r="K270" s="229">
        <f t="shared" si="14"/>
        <v>268</v>
      </c>
      <c r="L270" s="230">
        <f t="shared" si="12"/>
        <v>-3.4910122625014146E-2</v>
      </c>
      <c r="M270" s="230">
        <f t="shared" si="13"/>
        <v>-0.99969511362755359</v>
      </c>
    </row>
    <row r="271" spans="1:13" x14ac:dyDescent="0.25">
      <c r="A271" s="237"/>
      <c r="B271" s="221"/>
      <c r="C271" s="215"/>
      <c r="D271" s="233"/>
      <c r="E271" s="215"/>
      <c r="F271" s="221"/>
      <c r="G271" s="221"/>
      <c r="H271" s="233"/>
      <c r="I271" s="221"/>
      <c r="J271" s="221"/>
      <c r="K271" s="229">
        <f t="shared" si="14"/>
        <v>269</v>
      </c>
      <c r="L271" s="230">
        <f t="shared" si="12"/>
        <v>-1.7452540701995929E-2</v>
      </c>
      <c r="M271" s="230">
        <f t="shared" si="13"/>
        <v>-0.99985538717661482</v>
      </c>
    </row>
    <row r="272" spans="1:13" x14ac:dyDescent="0.25">
      <c r="A272" s="237"/>
      <c r="B272" s="221"/>
      <c r="C272" s="215"/>
      <c r="D272" s="233"/>
      <c r="E272" s="215"/>
      <c r="F272" s="221"/>
      <c r="G272" s="221"/>
      <c r="H272" s="233"/>
      <c r="I272" s="221"/>
      <c r="J272" s="221"/>
      <c r="K272" s="229">
        <f t="shared" si="14"/>
        <v>270</v>
      </c>
      <c r="L272" s="230">
        <f t="shared" si="12"/>
        <v>-1.8371915805077271E-16</v>
      </c>
      <c r="M272" s="230">
        <f t="shared" si="13"/>
        <v>-0.99971100000000002</v>
      </c>
    </row>
    <row r="273" spans="1:13" x14ac:dyDescent="0.25">
      <c r="A273" s="237"/>
      <c r="B273" s="221"/>
      <c r="C273" s="215"/>
      <c r="D273" s="233"/>
      <c r="E273" s="215"/>
      <c r="F273" s="221"/>
      <c r="G273" s="221"/>
      <c r="H273" s="233"/>
      <c r="I273" s="221"/>
      <c r="J273" s="221"/>
      <c r="K273" s="229">
        <f t="shared" si="14"/>
        <v>271</v>
      </c>
      <c r="L273" s="230">
        <f t="shared" si="12"/>
        <v>1.7442187753275724E-2</v>
      </c>
      <c r="M273" s="230">
        <f t="shared" si="13"/>
        <v>-0.99926226714169009</v>
      </c>
    </row>
    <row r="274" spans="1:13" x14ac:dyDescent="0.25">
      <c r="A274" s="237"/>
      <c r="B274" s="221"/>
      <c r="C274" s="215"/>
      <c r="D274" s="233"/>
      <c r="E274" s="215"/>
      <c r="F274" s="221"/>
      <c r="G274" s="221"/>
      <c r="H274" s="233"/>
      <c r="I274" s="221"/>
      <c r="J274" s="221"/>
      <c r="K274" s="229">
        <f t="shared" si="14"/>
        <v>272</v>
      </c>
      <c r="L274" s="230">
        <f t="shared" si="12"/>
        <v>3.4868723432680451E-2</v>
      </c>
      <c r="M274" s="230">
        <f t="shared" si="13"/>
        <v>-0.99850959587016297</v>
      </c>
    </row>
    <row r="275" spans="1:13" x14ac:dyDescent="0.25">
      <c r="A275" s="237"/>
      <c r="B275" s="221"/>
      <c r="C275" s="215"/>
      <c r="D275" s="233"/>
      <c r="E275" s="215"/>
      <c r="F275" s="221"/>
      <c r="G275" s="221"/>
      <c r="H275" s="233"/>
      <c r="I275" s="221"/>
      <c r="J275" s="221"/>
      <c r="K275" s="229">
        <f t="shared" si="14"/>
        <v>273</v>
      </c>
      <c r="L275" s="230">
        <f t="shared" si="12"/>
        <v>5.2274322098811853E-2</v>
      </c>
      <c r="M275" s="230">
        <f t="shared" si="13"/>
        <v>-0.99745348522575827</v>
      </c>
    </row>
    <row r="276" spans="1:13" x14ac:dyDescent="0.25">
      <c r="A276" s="237"/>
      <c r="B276" s="221"/>
      <c r="C276" s="215"/>
      <c r="D276" s="233"/>
      <c r="E276" s="215"/>
      <c r="F276" s="221"/>
      <c r="G276" s="221"/>
      <c r="H276" s="233"/>
      <c r="I276" s="221"/>
      <c r="J276" s="221"/>
      <c r="K276" s="229">
        <f t="shared" si="14"/>
        <v>274</v>
      </c>
      <c r="L276" s="230">
        <f t="shared" si="12"/>
        <v>6.9653714565521579E-2</v>
      </c>
      <c r="M276" s="230">
        <f t="shared" si="13"/>
        <v>-0.99609452554179967</v>
      </c>
    </row>
    <row r="277" spans="1:13" x14ac:dyDescent="0.25">
      <c r="A277" s="237"/>
      <c r="B277" s="221"/>
      <c r="C277" s="215"/>
      <c r="D277" s="233"/>
      <c r="E277" s="215"/>
      <c r="F277" s="221"/>
      <c r="G277" s="221"/>
      <c r="H277" s="233"/>
      <c r="I277" s="221"/>
      <c r="J277" s="221"/>
      <c r="K277" s="229">
        <f t="shared" si="14"/>
        <v>275</v>
      </c>
      <c r="L277" s="230">
        <f t="shared" si="12"/>
        <v>8.7001648951315236E-2</v>
      </c>
      <c r="M277" s="230">
        <f t="shared" si="13"/>
        <v>-0.99443339794001795</v>
      </c>
    </row>
    <row r="278" spans="1:13" x14ac:dyDescent="0.25">
      <c r="A278" s="237"/>
      <c r="B278" s="221"/>
      <c r="C278" s="215"/>
      <c r="D278" s="233"/>
      <c r="E278" s="215"/>
      <c r="F278" s="221"/>
      <c r="G278" s="221"/>
      <c r="H278" s="233"/>
      <c r="I278" s="221"/>
      <c r="J278" s="221"/>
      <c r="K278" s="229">
        <f t="shared" si="14"/>
        <v>276</v>
      </c>
      <c r="L278" s="230">
        <f t="shared" si="12"/>
        <v>0.10431289221429184</v>
      </c>
      <c r="M278" s="230">
        <f t="shared" si="13"/>
        <v>-0.99247087380081478</v>
      </c>
    </row>
    <row r="279" spans="1:13" x14ac:dyDescent="0.25">
      <c r="A279" s="237"/>
      <c r="B279" s="221"/>
      <c r="C279" s="215"/>
      <c r="D279" s="233"/>
      <c r="E279" s="215"/>
      <c r="F279" s="221"/>
      <c r="G279" s="221"/>
      <c r="H279" s="233"/>
      <c r="I279" s="221"/>
      <c r="J279" s="221"/>
      <c r="K279" s="229">
        <f t="shared" si="14"/>
        <v>277</v>
      </c>
      <c r="L279" s="230">
        <f t="shared" si="12"/>
        <v>0.12158223167026602</v>
      </c>
      <c r="M279" s="230">
        <f t="shared" si="13"/>
        <v>-0.99020781420890891</v>
      </c>
    </row>
    <row r="280" spans="1:13" x14ac:dyDescent="0.25">
      <c r="A280" s="237"/>
      <c r="B280" s="221"/>
      <c r="C280" s="215"/>
      <c r="D280" s="233"/>
      <c r="E280" s="215"/>
      <c r="F280" s="221"/>
      <c r="G280" s="221"/>
      <c r="H280" s="233"/>
      <c r="I280" s="221"/>
      <c r="J280" s="221"/>
      <c r="K280" s="229">
        <f t="shared" si="14"/>
        <v>278</v>
      </c>
      <c r="L280" s="230">
        <f t="shared" si="12"/>
        <v>0.1388044764937349</v>
      </c>
      <c r="M280" s="230">
        <f t="shared" si="13"/>
        <v>-0.98764516937491165</v>
      </c>
    </row>
    <row r="281" spans="1:13" x14ac:dyDescent="0.25">
      <c r="A281" s="237"/>
      <c r="B281" s="221"/>
      <c r="C281" s="215"/>
      <c r="D281" s="233"/>
      <c r="E281" s="215"/>
      <c r="F281" s="221"/>
      <c r="G281" s="221"/>
      <c r="H281" s="233"/>
      <c r="I281" s="221"/>
      <c r="J281" s="221"/>
      <c r="K281" s="229">
        <f t="shared" si="14"/>
        <v>279</v>
      </c>
      <c r="L281" s="230">
        <f t="shared" si="12"/>
        <v>0.15597445920138722</v>
      </c>
      <c r="M281" s="230">
        <f t="shared" si="13"/>
        <v>-0.98478397803338058</v>
      </c>
    </row>
    <row r="282" spans="1:13" x14ac:dyDescent="0.25">
      <c r="A282" s="237"/>
      <c r="B282" s="221"/>
      <c r="C282" s="215"/>
      <c r="D282" s="233"/>
      <c r="E282" s="215"/>
      <c r="F282" s="221"/>
      <c r="G282" s="221"/>
      <c r="H282" s="233"/>
      <c r="I282" s="221"/>
      <c r="J282" s="221"/>
      <c r="K282" s="229">
        <f t="shared" si="14"/>
        <v>280</v>
      </c>
      <c r="L282" s="230">
        <f t="shared" si="12"/>
        <v>0.17308703711783846</v>
      </c>
      <c r="M282" s="230">
        <f t="shared" si="13"/>
        <v>-0.98162536681789514</v>
      </c>
    </row>
    <row r="283" spans="1:13" x14ac:dyDescent="0.25">
      <c r="A283" s="237"/>
      <c r="B283" s="221"/>
      <c r="C283" s="215"/>
      <c r="D283" s="233"/>
      <c r="E283" s="215"/>
      <c r="F283" s="221"/>
      <c r="G283" s="221"/>
      <c r="H283" s="233"/>
      <c r="I283" s="221"/>
      <c r="J283" s="221"/>
      <c r="K283" s="229">
        <f t="shared" si="14"/>
        <v>281</v>
      </c>
      <c r="L283" s="230">
        <f t="shared" si="12"/>
        <v>0.19013709382332511</v>
      </c>
      <c r="M283" s="230">
        <f t="shared" si="13"/>
        <v>-0.97817054961370931</v>
      </c>
    </row>
    <row r="284" spans="1:13" x14ac:dyDescent="0.25">
      <c r="A284" s="237"/>
      <c r="B284" s="221"/>
      <c r="C284" s="215"/>
      <c r="D284" s="233"/>
      <c r="E284" s="215"/>
      <c r="F284" s="221"/>
      <c r="G284" s="221"/>
      <c r="H284" s="233"/>
      <c r="I284" s="221"/>
      <c r="J284" s="221"/>
      <c r="K284" s="229">
        <f t="shared" si="14"/>
        <v>282</v>
      </c>
      <c r="L284" s="230">
        <f t="shared" si="12"/>
        <v>0.20711954058308465</v>
      </c>
      <c r="M284" s="230">
        <f t="shared" si="13"/>
        <v>-0.97442082688852416</v>
      </c>
    </row>
    <row r="285" spans="1:13" x14ac:dyDescent="0.25">
      <c r="A285" s="237"/>
      <c r="B285" s="221"/>
      <c r="C285" s="215"/>
      <c r="D285" s="233"/>
      <c r="E285" s="215"/>
      <c r="F285" s="221"/>
      <c r="G285" s="221"/>
      <c r="H285" s="233"/>
      <c r="I285" s="221"/>
      <c r="J285" s="221"/>
      <c r="K285" s="229">
        <f t="shared" si="14"/>
        <v>283</v>
      </c>
      <c r="L285" s="230">
        <f t="shared" si="12"/>
        <v>0.22402931775818763</v>
      </c>
      <c r="M285" s="230">
        <f t="shared" si="13"/>
        <v>-0.97037758500192905</v>
      </c>
    </row>
    <row r="286" spans="1:13" x14ac:dyDescent="0.25">
      <c r="A286" s="237"/>
      <c r="B286" s="221"/>
      <c r="C286" s="215"/>
      <c r="D286" s="233"/>
      <c r="E286" s="215"/>
      <c r="F286" s="221"/>
      <c r="G286" s="221"/>
      <c r="H286" s="233"/>
      <c r="I286" s="221"/>
      <c r="J286" s="221"/>
      <c r="K286" s="229">
        <f t="shared" si="14"/>
        <v>284</v>
      </c>
      <c r="L286" s="230">
        <f t="shared" si="12"/>
        <v>0.24086139619757588</v>
      </c>
      <c r="M286" s="230">
        <f t="shared" si="13"/>
        <v>-0.96604229549406151</v>
      </c>
    </row>
    <row r="287" spans="1:13" x14ac:dyDescent="0.25">
      <c r="A287" s="237"/>
      <c r="B287" s="221"/>
      <c r="C287" s="215"/>
      <c r="D287" s="233"/>
      <c r="E287" s="215"/>
      <c r="F287" s="221"/>
      <c r="G287" s="221"/>
      <c r="H287" s="233"/>
      <c r="I287" s="221"/>
      <c r="J287" s="221"/>
      <c r="K287" s="229">
        <f t="shared" si="14"/>
        <v>285</v>
      </c>
      <c r="L287" s="230">
        <f t="shared" si="12"/>
        <v>0.25761077861110554</v>
      </c>
      <c r="M287" s="230">
        <f t="shared" si="13"/>
        <v>-0.96141651435402553</v>
      </c>
    </row>
    <row r="288" spans="1:13" x14ac:dyDescent="0.25">
      <c r="A288" s="237"/>
      <c r="B288" s="221"/>
      <c r="C288" s="215"/>
      <c r="D288" s="233"/>
      <c r="E288" s="215"/>
      <c r="F288" s="221"/>
      <c r="G288" s="221"/>
      <c r="H288" s="233"/>
      <c r="I288" s="221"/>
      <c r="J288" s="221"/>
      <c r="K288" s="229">
        <f t="shared" si="14"/>
        <v>286</v>
      </c>
      <c r="L288" s="230">
        <f t="shared" si="12"/>
        <v>0.274272500923395</v>
      </c>
      <c r="M288" s="230">
        <f t="shared" si="13"/>
        <v>-0.95650188126861591</v>
      </c>
    </row>
    <row r="289" spans="1:13" x14ac:dyDescent="0.25">
      <c r="A289" s="237"/>
      <c r="B289" s="221"/>
      <c r="C289" s="215"/>
      <c r="D289" s="233"/>
      <c r="E289" s="215"/>
      <c r="F289" s="221"/>
      <c r="G289" s="221"/>
      <c r="H289" s="233"/>
      <c r="I289" s="221"/>
      <c r="J289" s="221"/>
      <c r="K289" s="229">
        <f t="shared" si="14"/>
        <v>287</v>
      </c>
      <c r="L289" s="230">
        <f t="shared" si="12"/>
        <v>0.29084163360829102</v>
      </c>
      <c r="M289" s="230">
        <f t="shared" si="13"/>
        <v>-0.95130011885188381</v>
      </c>
    </row>
    <row r="290" spans="1:13" x14ac:dyDescent="0.25">
      <c r="A290" s="237"/>
      <c r="B290" s="221"/>
      <c r="C290" s="215"/>
      <c r="D290" s="233"/>
      <c r="E290" s="215"/>
      <c r="F290" s="221"/>
      <c r="G290" s="221"/>
      <c r="H290" s="233"/>
      <c r="I290" s="221"/>
      <c r="J290" s="221"/>
      <c r="K290" s="229">
        <f t="shared" si="14"/>
        <v>288</v>
      </c>
      <c r="L290" s="230">
        <f t="shared" si="12"/>
        <v>0.30731328300380223</v>
      </c>
      <c r="M290" s="230">
        <f t="shared" si="13"/>
        <v>-0.94581303185608234</v>
      </c>
    </row>
    <row r="291" spans="1:13" x14ac:dyDescent="0.25">
      <c r="A291" s="237"/>
      <c r="B291" s="221"/>
      <c r="C291" s="215"/>
      <c r="D291" s="233"/>
      <c r="E291" s="215"/>
      <c r="F291" s="221"/>
      <c r="G291" s="221"/>
      <c r="H291" s="233"/>
      <c r="I291" s="221"/>
      <c r="J291" s="221"/>
      <c r="K291" s="229">
        <f t="shared" si="14"/>
        <v>289</v>
      </c>
      <c r="L291" s="230">
        <f t="shared" si="12"/>
        <v>0.3236825926073319</v>
      </c>
      <c r="M291" s="230">
        <f t="shared" si="13"/>
        <v>-0.94004250636452635</v>
      </c>
    </row>
    <row r="292" spans="1:13" x14ac:dyDescent="0.25">
      <c r="A292" s="237"/>
      <c r="B292" s="221"/>
      <c r="C292" s="215"/>
      <c r="D292" s="233"/>
      <c r="E292" s="215"/>
      <c r="F292" s="221"/>
      <c r="G292" s="221"/>
      <c r="H292" s="233"/>
      <c r="I292" s="221"/>
      <c r="J292" s="221"/>
      <c r="K292" s="229">
        <f t="shared" si="14"/>
        <v>290</v>
      </c>
      <c r="L292" s="230">
        <f t="shared" si="12"/>
        <v>0.33994474435108979</v>
      </c>
      <c r="M292" s="230">
        <f t="shared" si="13"/>
        <v>-0.93399050896689273</v>
      </c>
    </row>
    <row r="293" spans="1:13" x14ac:dyDescent="0.25">
      <c r="A293" s="237"/>
      <c r="B293" s="221"/>
      <c r="C293" s="215"/>
      <c r="D293" s="233"/>
      <c r="E293" s="215"/>
      <c r="F293" s="221"/>
      <c r="G293" s="221"/>
      <c r="H293" s="233"/>
      <c r="I293" s="221"/>
      <c r="J293" s="221"/>
      <c r="K293" s="229">
        <f t="shared" si="14"/>
        <v>291</v>
      </c>
      <c r="L293" s="230">
        <f t="shared" si="12"/>
        <v>0.35609495985755313</v>
      </c>
      <c r="M293" s="230">
        <f t="shared" si="13"/>
        <v>-0.92765908591748958</v>
      </c>
    </row>
    <row r="294" spans="1:13" x14ac:dyDescent="0.25">
      <c r="A294" s="237"/>
      <c r="B294" s="221"/>
      <c r="C294" s="215"/>
      <c r="D294" s="233"/>
      <c r="E294" s="215"/>
      <c r="F294" s="221"/>
      <c r="G294" s="221"/>
      <c r="H294" s="233"/>
      <c r="I294" s="221"/>
      <c r="J294" s="221"/>
      <c r="K294" s="229">
        <f t="shared" si="14"/>
        <v>292</v>
      </c>
      <c r="L294" s="230">
        <f t="shared" si="12"/>
        <v>0.37212850167488309</v>
      </c>
      <c r="M294" s="230">
        <f t="shared" si="13"/>
        <v>-0.92105036227700732</v>
      </c>
    </row>
    <row r="295" spans="1:13" x14ac:dyDescent="0.25">
      <c r="A295" s="237"/>
      <c r="B295" s="221"/>
      <c r="C295" s="215"/>
      <c r="D295" s="233"/>
      <c r="E295" s="215"/>
      <c r="F295" s="221"/>
      <c r="G295" s="221"/>
      <c r="H295" s="233"/>
      <c r="I295" s="221"/>
      <c r="J295" s="221"/>
      <c r="K295" s="229">
        <f t="shared" si="14"/>
        <v>293</v>
      </c>
      <c r="L295" s="230">
        <f t="shared" si="12"/>
        <v>0.38804067449219082</v>
      </c>
      <c r="M295" s="230">
        <f t="shared" si="13"/>
        <v>-0.91416654103827333</v>
      </c>
    </row>
    <row r="296" spans="1:13" x14ac:dyDescent="0.25">
      <c r="A296" s="237"/>
      <c r="B296" s="221"/>
      <c r="C296" s="215"/>
      <c r="D296" s="233"/>
      <c r="E296" s="215"/>
      <c r="F296" s="221"/>
      <c r="G296" s="221"/>
      <c r="H296" s="233"/>
      <c r="I296" s="221"/>
      <c r="J296" s="221"/>
      <c r="K296" s="229">
        <f t="shared" si="14"/>
        <v>294</v>
      </c>
      <c r="L296" s="230">
        <f t="shared" si="12"/>
        <v>0.403826826334587</v>
      </c>
      <c r="M296" s="230">
        <f t="shared" si="13"/>
        <v>-0.90700990223651512</v>
      </c>
    </row>
    <row r="297" spans="1:13" x14ac:dyDescent="0.25">
      <c r="A297" s="237"/>
      <c r="B297" s="221"/>
      <c r="C297" s="215"/>
      <c r="D297" s="233"/>
      <c r="E297" s="215"/>
      <c r="F297" s="221"/>
      <c r="G297" s="221"/>
      <c r="H297" s="233"/>
      <c r="I297" s="221"/>
      <c r="J297" s="221"/>
      <c r="K297" s="229">
        <f t="shared" si="14"/>
        <v>295</v>
      </c>
      <c r="L297" s="230">
        <f t="shared" si="12"/>
        <v>0.41948234973794496</v>
      </c>
      <c r="M297" s="230">
        <f t="shared" si="13"/>
        <v>-0.89958280204463359</v>
      </c>
    </row>
    <row r="298" spans="1:13" x14ac:dyDescent="0.25">
      <c r="A298" s="237"/>
      <c r="B298" s="221"/>
      <c r="C298" s="215"/>
      <c r="D298" s="233"/>
      <c r="E298" s="215"/>
      <c r="F298" s="221"/>
      <c r="G298" s="221"/>
      <c r="H298" s="233"/>
      <c r="I298" s="221"/>
      <c r="J298" s="221"/>
      <c r="K298" s="229">
        <f t="shared" si="14"/>
        <v>296</v>
      </c>
      <c r="L298" s="230">
        <f t="shared" si="12"/>
        <v>0.43500268290332417</v>
      </c>
      <c r="M298" s="230">
        <f t="shared" si="13"/>
        <v>-0.89188767185398599</v>
      </c>
    </row>
    <row r="299" spans="1:13" x14ac:dyDescent="0.25">
      <c r="A299" s="237"/>
      <c r="B299" s="221"/>
      <c r="C299" s="215"/>
      <c r="D299" s="233"/>
      <c r="E299" s="215"/>
      <c r="F299" s="221"/>
      <c r="G299" s="221"/>
      <c r="H299" s="233"/>
      <c r="I299" s="221"/>
      <c r="J299" s="221"/>
      <c r="K299" s="229">
        <f t="shared" si="14"/>
        <v>297</v>
      </c>
      <c r="L299" s="230">
        <f t="shared" si="12"/>
        <v>0.4503833108310269</v>
      </c>
      <c r="M299" s="230">
        <f t="shared" si="13"/>
        <v>-0.88392701734116541</v>
      </c>
    </row>
    <row r="300" spans="1:13" x14ac:dyDescent="0.25">
      <c r="A300" s="237"/>
      <c r="B300" s="221"/>
      <c r="C300" s="215"/>
      <c r="D300" s="233"/>
      <c r="E300" s="215"/>
      <c r="F300" s="221"/>
      <c r="G300" s="221"/>
      <c r="H300" s="233"/>
      <c r="I300" s="221"/>
      <c r="J300" s="221"/>
      <c r="K300" s="229">
        <f t="shared" si="14"/>
        <v>298</v>
      </c>
      <c r="L300" s="230">
        <f t="shared" si="12"/>
        <v>0.46561976643424324</v>
      </c>
      <c r="M300" s="230">
        <f t="shared" si="13"/>
        <v>-0.8757034175212598</v>
      </c>
    </row>
    <row r="301" spans="1:13" x14ac:dyDescent="0.25">
      <c r="A301" s="237"/>
      <c r="B301" s="221"/>
      <c r="C301" s="215"/>
      <c r="D301" s="233"/>
      <c r="E301" s="215"/>
      <c r="F301" s="221"/>
      <c r="G301" s="221"/>
      <c r="H301" s="233"/>
      <c r="I301" s="221"/>
      <c r="J301" s="221"/>
      <c r="K301" s="229">
        <f t="shared" si="14"/>
        <v>299</v>
      </c>
      <c r="L301" s="230">
        <f t="shared" si="12"/>
        <v>0.48070763163228625</v>
      </c>
      <c r="M301" s="230">
        <f t="shared" si="13"/>
        <v>-0.86721952378806788</v>
      </c>
    </row>
    <row r="302" spans="1:13" x14ac:dyDescent="0.25">
      <c r="A302" s="237"/>
      <c r="B302" s="221"/>
      <c r="C302" s="215"/>
      <c r="D302" s="233"/>
      <c r="E302" s="215"/>
      <c r="F302" s="221"/>
      <c r="G302" s="221"/>
      <c r="H302" s="233"/>
      <c r="I302" s="221"/>
      <c r="J302" s="221"/>
      <c r="K302" s="229">
        <f t="shared" si="14"/>
        <v>300</v>
      </c>
      <c r="L302" s="230">
        <f t="shared" si="12"/>
        <v>0.49564253842340122</v>
      </c>
      <c r="M302" s="230">
        <f t="shared" si="13"/>
        <v>-0.85847805894174012</v>
      </c>
    </row>
    <row r="303" spans="1:13" x14ac:dyDescent="0.25">
      <c r="A303" s="237"/>
      <c r="B303" s="221"/>
      <c r="C303" s="215"/>
      <c r="D303" s="233"/>
      <c r="E303" s="215"/>
      <c r="F303" s="221"/>
      <c r="G303" s="221"/>
      <c r="H303" s="233"/>
      <c r="I303" s="221"/>
      <c r="J303" s="221"/>
      <c r="K303" s="229">
        <f t="shared" si="14"/>
        <v>301</v>
      </c>
      <c r="L303" s="230">
        <f t="shared" si="12"/>
        <v>0.51042016993717021</v>
      </c>
      <c r="M303" s="230">
        <f t="shared" si="13"/>
        <v>-0.84948181620429719</v>
      </c>
    </row>
    <row r="304" spans="1:13" x14ac:dyDescent="0.25">
      <c r="A304" s="237"/>
      <c r="B304" s="221"/>
      <c r="C304" s="215"/>
      <c r="D304" s="233"/>
      <c r="E304" s="215"/>
      <c r="F304" s="221"/>
      <c r="G304" s="221"/>
      <c r="H304" s="233"/>
      <c r="I304" s="221"/>
      <c r="J304" s="221"/>
      <c r="K304" s="229">
        <f t="shared" si="14"/>
        <v>302</v>
      </c>
      <c r="L304" s="230">
        <f t="shared" si="12"/>
        <v>0.52503626146651572</v>
      </c>
      <c r="M304" s="230">
        <f t="shared" si="13"/>
        <v>-0.84023365822349094</v>
      </c>
    </row>
    <row r="305" spans="1:13" x14ac:dyDescent="0.25">
      <c r="A305" s="237"/>
      <c r="B305" s="221"/>
      <c r="C305" s="215"/>
      <c r="D305" s="233"/>
      <c r="E305" s="215"/>
      <c r="F305" s="221"/>
      <c r="G305" s="221"/>
      <c r="H305" s="233"/>
      <c r="I305" s="221"/>
      <c r="J305" s="221"/>
      <c r="K305" s="229">
        <f t="shared" si="14"/>
        <v>303</v>
      </c>
      <c r="L305" s="230">
        <f t="shared" si="12"/>
        <v>0.53948660147934213</v>
      </c>
      <c r="M305" s="230">
        <f t="shared" si="13"/>
        <v>-0.8307365160654403</v>
      </c>
    </row>
    <row r="306" spans="1:13" x14ac:dyDescent="0.25">
      <c r="A306" s="237"/>
      <c r="B306" s="221"/>
      <c r="C306" s="215"/>
      <c r="D306" s="233"/>
      <c r="E306" s="215"/>
      <c r="F306" s="221"/>
      <c r="G306" s="221"/>
      <c r="H306" s="233"/>
      <c r="I306" s="221"/>
      <c r="J306" s="221"/>
      <c r="K306" s="229">
        <f t="shared" si="14"/>
        <v>304</v>
      </c>
      <c r="L306" s="230">
        <f t="shared" si="12"/>
        <v>0.55376703260984883</v>
      </c>
      <c r="M306" s="230">
        <f t="shared" si="13"/>
        <v>-0.82099338819648338</v>
      </c>
    </row>
    <row r="307" spans="1:13" x14ac:dyDescent="0.25">
      <c r="A307" s="237"/>
      <c r="B307" s="221"/>
      <c r="C307" s="215"/>
      <c r="D307" s="233"/>
      <c r="E307" s="215"/>
      <c r="F307" s="221"/>
      <c r="G307" s="221"/>
      <c r="H307" s="233"/>
      <c r="I307" s="221"/>
      <c r="J307" s="221"/>
      <c r="K307" s="229">
        <f t="shared" si="14"/>
        <v>305</v>
      </c>
      <c r="L307" s="230">
        <f t="shared" si="12"/>
        <v>0.5678734526295609</v>
      </c>
      <c r="M307" s="230">
        <f t="shared" si="13"/>
        <v>-0.81100733945467007</v>
      </c>
    </row>
    <row r="308" spans="1:13" x14ac:dyDescent="0.25">
      <c r="A308" s="237"/>
      <c r="B308" s="221"/>
      <c r="C308" s="215"/>
      <c r="D308" s="233"/>
      <c r="E308" s="215"/>
      <c r="F308" s="221"/>
      <c r="G308" s="221"/>
      <c r="H308" s="233"/>
      <c r="I308" s="221"/>
      <c r="J308" s="221"/>
      <c r="K308" s="229">
        <f t="shared" si="14"/>
        <v>306</v>
      </c>
      <c r="L308" s="230">
        <f t="shared" si="12"/>
        <v>0.58180181539814413</v>
      </c>
      <c r="M308" s="230">
        <f t="shared" si="13"/>
        <v>-0.80078150001131332</v>
      </c>
    </row>
    <row r="309" spans="1:13" x14ac:dyDescent="0.25">
      <c r="A309" s="237"/>
      <c r="B309" s="221"/>
      <c r="C309" s="215"/>
      <c r="D309" s="233"/>
      <c r="E309" s="215"/>
      <c r="F309" s="221"/>
      <c r="G309" s="221"/>
      <c r="H309" s="233"/>
      <c r="I309" s="221"/>
      <c r="J309" s="221"/>
      <c r="K309" s="229">
        <f t="shared" si="14"/>
        <v>307</v>
      </c>
      <c r="L309" s="230">
        <f t="shared" si="12"/>
        <v>0.59554813179405253</v>
      </c>
      <c r="M309" s="230">
        <f t="shared" si="13"/>
        <v>-0.79031906432300747</v>
      </c>
    </row>
    <row r="310" spans="1:13" x14ac:dyDescent="0.25">
      <c r="A310" s="237"/>
      <c r="B310" s="221"/>
      <c r="C310" s="215"/>
      <c r="D310" s="233"/>
      <c r="E310" s="215"/>
      <c r="F310" s="221"/>
      <c r="G310" s="221"/>
      <c r="H310" s="233"/>
      <c r="I310" s="221"/>
      <c r="J310" s="221"/>
      <c r="K310" s="229">
        <f t="shared" si="14"/>
        <v>308</v>
      </c>
      <c r="L310" s="230">
        <f t="shared" si="12"/>
        <v>0.60910847062509665</v>
      </c>
      <c r="M310" s="230">
        <f t="shared" si="13"/>
        <v>-0.7796232900745157</v>
      </c>
    </row>
    <row r="311" spans="1:13" x14ac:dyDescent="0.25">
      <c r="A311" s="237"/>
      <c r="B311" s="221"/>
      <c r="C311" s="215"/>
      <c r="D311" s="233"/>
      <c r="E311" s="215"/>
      <c r="F311" s="221"/>
      <c r="G311" s="221"/>
      <c r="H311" s="233"/>
      <c r="I311" s="221"/>
      <c r="J311" s="221"/>
      <c r="K311" s="229">
        <f t="shared" si="14"/>
        <v>309</v>
      </c>
      <c r="L311" s="230">
        <f t="shared" si="12"/>
        <v>0.62247895951900256</v>
      </c>
      <c r="M311" s="230">
        <f t="shared" si="13"/>
        <v>-0.76869749711291346</v>
      </c>
    </row>
    <row r="312" spans="1:13" x14ac:dyDescent="0.25">
      <c r="A312" s="237"/>
      <c r="B312" s="221"/>
      <c r="C312" s="215"/>
      <c r="D312" s="233"/>
      <c r="E312" s="215"/>
      <c r="F312" s="221"/>
      <c r="G312" s="221"/>
      <c r="H312" s="233"/>
      <c r="I312" s="221"/>
      <c r="J312" s="221"/>
      <c r="K312" s="229">
        <f t="shared" si="14"/>
        <v>310</v>
      </c>
      <c r="L312" s="230">
        <f t="shared" si="12"/>
        <v>0.63565578579406212</v>
      </c>
      <c r="M312" s="230">
        <f t="shared" si="13"/>
        <v>-0.75754506637336927</v>
      </c>
    </row>
    <row r="313" spans="1:13" x14ac:dyDescent="0.25">
      <c r="A313" s="237"/>
      <c r="B313" s="221"/>
      <c r="C313" s="215"/>
      <c r="D313" s="233"/>
      <c r="E313" s="215"/>
      <c r="F313" s="221"/>
      <c r="G313" s="221"/>
      <c r="H313" s="233"/>
      <c r="I313" s="221"/>
      <c r="J313" s="221"/>
      <c r="K313" s="229">
        <f t="shared" si="14"/>
        <v>311</v>
      </c>
      <c r="L313" s="230">
        <f t="shared" si="12"/>
        <v>0.64863519730995278</v>
      </c>
      <c r="M313" s="230">
        <f t="shared" si="13"/>
        <v>-0.7461694387969362</v>
      </c>
    </row>
    <row r="314" spans="1:13" x14ac:dyDescent="0.25">
      <c r="A314" s="237"/>
      <c r="B314" s="221"/>
      <c r="C314" s="215"/>
      <c r="D314" s="233"/>
      <c r="E314" s="215"/>
      <c r="F314" s="221"/>
      <c r="G314" s="221"/>
      <c r="H314" s="233"/>
      <c r="I314" s="221"/>
      <c r="J314" s="221"/>
      <c r="K314" s="229">
        <f t="shared" si="14"/>
        <v>312</v>
      </c>
      <c r="L314" s="230">
        <f t="shared" si="12"/>
        <v>0.66141350329884319</v>
      </c>
      <c r="M314" s="230">
        <f t="shared" si="13"/>
        <v>-0.73457411424071573</v>
      </c>
    </row>
    <row r="315" spans="1:13" x14ac:dyDescent="0.25">
      <c r="A315" s="237"/>
      <c r="B315" s="221"/>
      <c r="C315" s="215"/>
      <c r="D315" s="233"/>
      <c r="E315" s="215"/>
      <c r="F315" s="221"/>
      <c r="G315" s="221"/>
      <c r="H315" s="233"/>
      <c r="I315" s="221"/>
      <c r="J315" s="221"/>
      <c r="K315" s="229">
        <f t="shared" si="14"/>
        <v>313</v>
      </c>
      <c r="L315" s="230">
        <f t="shared" si="12"/>
        <v>0.67398707517688328</v>
      </c>
      <c r="M315" s="230">
        <f t="shared" si="13"/>
        <v>-0.72276265038074283</v>
      </c>
    </row>
    <row r="316" spans="1:13" x14ac:dyDescent="0.25">
      <c r="A316" s="237"/>
      <c r="B316" s="221"/>
      <c r="C316" s="215"/>
      <c r="D316" s="233"/>
      <c r="E316" s="215"/>
      <c r="F316" s="221"/>
      <c r="G316" s="221"/>
      <c r="H316" s="233"/>
      <c r="I316" s="221"/>
      <c r="J316" s="221"/>
      <c r="K316" s="229">
        <f t="shared" si="14"/>
        <v>314</v>
      </c>
      <c r="L316" s="230">
        <f t="shared" si="12"/>
        <v>0.6863523473361931</v>
      </c>
      <c r="M316" s="230">
        <f t="shared" si="13"/>
        <v>-0.71073866160794208</v>
      </c>
    </row>
    <row r="317" spans="1:13" x14ac:dyDescent="0.25">
      <c r="A317" s="237"/>
      <c r="B317" s="221"/>
      <c r="C317" s="215"/>
      <c r="D317" s="233"/>
      <c r="E317" s="215"/>
      <c r="F317" s="221"/>
      <c r="G317" s="221"/>
      <c r="H317" s="233"/>
      <c r="I317" s="221"/>
      <c r="J317" s="221"/>
      <c r="K317" s="229">
        <f t="shared" si="14"/>
        <v>315</v>
      </c>
      <c r="L317" s="230">
        <f t="shared" si="12"/>
        <v>0.69850581791747346</v>
      </c>
      <c r="M317" s="230">
        <f t="shared" si="13"/>
        <v>-0.69850581791747379</v>
      </c>
    </row>
    <row r="318" spans="1:13" x14ac:dyDescent="0.25">
      <c r="A318" s="237"/>
      <c r="B318" s="221"/>
      <c r="C318" s="215"/>
      <c r="D318" s="233"/>
      <c r="E318" s="215"/>
      <c r="F318" s="221"/>
      <c r="G318" s="221"/>
      <c r="H318" s="233"/>
      <c r="I318" s="221"/>
      <c r="J318" s="221"/>
      <c r="K318" s="229">
        <f t="shared" si="14"/>
        <v>316</v>
      </c>
      <c r="L318" s="230">
        <f t="shared" si="12"/>
        <v>0.71044404956335327</v>
      </c>
      <c r="M318" s="230">
        <f t="shared" si="13"/>
        <v>-0.6860678437918114</v>
      </c>
    </row>
    <row r="319" spans="1:13" x14ac:dyDescent="0.25">
      <c r="A319" s="237"/>
      <c r="B319" s="221"/>
      <c r="C319" s="215"/>
      <c r="D319" s="233"/>
      <c r="E319" s="215"/>
      <c r="F319" s="221"/>
      <c r="G319" s="221"/>
      <c r="H319" s="233"/>
      <c r="I319" s="221"/>
      <c r="J319" s="221"/>
      <c r="K319" s="229">
        <f t="shared" si="14"/>
        <v>317</v>
      </c>
      <c r="L319" s="230">
        <f t="shared" si="12"/>
        <v>0.72216367015260596</v>
      </c>
      <c r="M319" s="230">
        <f t="shared" si="13"/>
        <v>-0.67342851707784679</v>
      </c>
    </row>
    <row r="320" spans="1:13" x14ac:dyDescent="0.25">
      <c r="A320" s="237"/>
      <c r="B320" s="221"/>
      <c r="C320" s="215"/>
      <c r="D320" s="233"/>
      <c r="E320" s="215"/>
      <c r="F320" s="221"/>
      <c r="G320" s="221"/>
      <c r="H320" s="233"/>
      <c r="I320" s="221"/>
      <c r="J320" s="221"/>
      <c r="K320" s="229">
        <f t="shared" si="14"/>
        <v>318</v>
      </c>
      <c r="L320" s="230">
        <f t="shared" si="12"/>
        <v>0.73366137351536143</v>
      </c>
      <c r="M320" s="230">
        <f t="shared" si="13"/>
        <v>-0.66059166785833956</v>
      </c>
    </row>
    <row r="321" spans="1:13" x14ac:dyDescent="0.25">
      <c r="A321" s="237"/>
      <c r="B321" s="221"/>
      <c r="C321" s="215"/>
      <c r="D321" s="233"/>
      <c r="E321" s="215"/>
      <c r="F321" s="221"/>
      <c r="G321" s="221"/>
      <c r="H321" s="233"/>
      <c r="I321" s="221"/>
      <c r="J321" s="221"/>
      <c r="K321" s="229">
        <f t="shared" si="14"/>
        <v>319</v>
      </c>
      <c r="L321" s="230">
        <f t="shared" si="12"/>
        <v>0.74493392012945925</v>
      </c>
      <c r="M321" s="230">
        <f t="shared" si="13"/>
        <v>-0.64756117731799134</v>
      </c>
    </row>
    <row r="322" spans="1:13" x14ac:dyDescent="0.25">
      <c r="A322" s="237"/>
      <c r="B322" s="221"/>
      <c r="C322" s="215"/>
      <c r="D322" s="233"/>
      <c r="E322" s="215"/>
      <c r="F322" s="221"/>
      <c r="G322" s="221"/>
      <c r="H322" s="233"/>
      <c r="I322" s="221"/>
      <c r="J322" s="221"/>
      <c r="K322" s="229">
        <f t="shared" si="14"/>
        <v>320</v>
      </c>
      <c r="L322" s="230">
        <f t="shared" si="12"/>
        <v>0.75597813779806244</v>
      </c>
      <c r="M322" s="230">
        <f t="shared" si="13"/>
        <v>-0.63434097660444166</v>
      </c>
    </row>
    <row r="323" spans="1:13" x14ac:dyDescent="0.25">
      <c r="A323" s="237"/>
      <c r="B323" s="221"/>
      <c r="C323" s="215"/>
      <c r="D323" s="233"/>
      <c r="E323" s="215"/>
      <c r="F323" s="221"/>
      <c r="G323" s="221"/>
      <c r="H323" s="233"/>
      <c r="I323" s="221"/>
      <c r="J323" s="221"/>
      <c r="K323" s="229">
        <f t="shared" si="14"/>
        <v>321</v>
      </c>
      <c r="L323" s="230">
        <f t="shared" ref="L323:L362" si="15">IF($D$2="","", ($D$2*(1-$E$2^2)/(1+$E$2*COS(RADIANS(K323)))) * COS(RADIANS(K323)) )</f>
        <v>0.76679092230869028</v>
      </c>
      <c r="M323" s="230">
        <f t="shared" ref="M323:M361" si="16">IF($D$2="","", ($D$2*(1-$E$2^2)/(1+$E$2*COS(RADIANS(K323)))) * SIN(RADIANS(K323)) )</f>
        <v>-0.62093504568445124</v>
      </c>
    </row>
    <row r="324" spans="1:13" x14ac:dyDescent="0.25">
      <c r="A324" s="237"/>
      <c r="B324" s="221"/>
      <c r="C324" s="215"/>
      <c r="D324" s="233"/>
      <c r="E324" s="215"/>
      <c r="F324" s="221"/>
      <c r="G324" s="221"/>
      <c r="H324" s="233"/>
      <c r="I324" s="221"/>
      <c r="J324" s="221"/>
      <c r="K324" s="229">
        <f t="shared" ref="K324:K360" si="17">K323+1</f>
        <v>322</v>
      </c>
      <c r="L324" s="230">
        <f t="shared" si="15"/>
        <v>0.77736923807380098</v>
      </c>
      <c r="M324" s="230">
        <f t="shared" si="16"/>
        <v>-0.607347412195539</v>
      </c>
    </row>
    <row r="325" spans="1:13" x14ac:dyDescent="0.25">
      <c r="A325" s="237"/>
      <c r="B325" s="221"/>
      <c r="C325" s="215"/>
      <c r="D325" s="233"/>
      <c r="E325" s="215"/>
      <c r="F325" s="221"/>
      <c r="G325" s="221"/>
      <c r="H325" s="233"/>
      <c r="I325" s="221"/>
      <c r="J325" s="221"/>
      <c r="K325" s="229">
        <f t="shared" si="17"/>
        <v>323</v>
      </c>
      <c r="L325" s="230">
        <f t="shared" si="15"/>
        <v>0.78771011875307306</v>
      </c>
      <c r="M325" s="230">
        <f t="shared" si="16"/>
        <v>-0.59358215029333117</v>
      </c>
    </row>
    <row r="326" spans="1:13" x14ac:dyDescent="0.25">
      <c r="A326" s="237"/>
      <c r="B326" s="221"/>
      <c r="C326" s="215"/>
      <c r="D326" s="233"/>
      <c r="E326" s="215"/>
      <c r="F326" s="221"/>
      <c r="G326" s="221"/>
      <c r="H326" s="233"/>
      <c r="I326" s="221"/>
      <c r="J326" s="221"/>
      <c r="K326" s="229">
        <f t="shared" si="17"/>
        <v>324</v>
      </c>
      <c r="L326" s="230">
        <f t="shared" si="15"/>
        <v>0.79781066785753663</v>
      </c>
      <c r="M326" s="230">
        <f t="shared" si="16"/>
        <v>-0.57964337949486022</v>
      </c>
    </row>
    <row r="327" spans="1:13" x14ac:dyDescent="0.25">
      <c r="A327" s="237"/>
      <c r="B327" s="221"/>
      <c r="C327" s="215"/>
      <c r="D327" s="233"/>
      <c r="E327" s="215"/>
      <c r="F327" s="221"/>
      <c r="G327" s="221"/>
      <c r="H327" s="233"/>
      <c r="I327" s="221"/>
      <c r="J327" s="221"/>
      <c r="K327" s="229">
        <f t="shared" si="17"/>
        <v>325</v>
      </c>
      <c r="L327" s="230">
        <f t="shared" si="15"/>
        <v>0.80766805933569219</v>
      </c>
      <c r="M327" s="230">
        <f t="shared" si="16"/>
        <v>-0.56553526351805938</v>
      </c>
    </row>
    <row r="328" spans="1:13" x14ac:dyDescent="0.25">
      <c r="A328" s="237"/>
      <c r="B328" s="221"/>
      <c r="C328" s="215"/>
      <c r="D328" s="233"/>
      <c r="E328" s="215"/>
      <c r="F328" s="221"/>
      <c r="G328" s="221"/>
      <c r="H328" s="233"/>
      <c r="I328" s="221"/>
      <c r="J328" s="221"/>
      <c r="K328" s="229">
        <f t="shared" si="17"/>
        <v>326</v>
      </c>
      <c r="L328" s="230">
        <f t="shared" si="15"/>
        <v>0.81727953814177423</v>
      </c>
      <c r="M328" s="230">
        <f t="shared" si="16"/>
        <v>-0.5512620091176712</v>
      </c>
    </row>
    <row r="329" spans="1:13" x14ac:dyDescent="0.25">
      <c r="A329" s="237"/>
      <c r="B329" s="221"/>
      <c r="C329" s="215"/>
      <c r="D329" s="233"/>
      <c r="E329" s="215"/>
      <c r="F329" s="221"/>
      <c r="G329" s="221"/>
      <c r="H329" s="233"/>
      <c r="I329" s="221"/>
      <c r="J329" s="221"/>
      <c r="K329" s="229">
        <f t="shared" si="17"/>
        <v>327</v>
      </c>
      <c r="L329" s="230">
        <f t="shared" si="15"/>
        <v>0.82664242078630124</v>
      </c>
      <c r="M329" s="230">
        <f t="shared" si="16"/>
        <v>-0.53682786491779555</v>
      </c>
    </row>
    <row r="330" spans="1:13" x14ac:dyDescent="0.25">
      <c r="A330" s="237"/>
      <c r="B330" s="221"/>
      <c r="C330" s="215"/>
      <c r="D330" s="233"/>
      <c r="E330" s="215"/>
      <c r="F330" s="221"/>
      <c r="G330" s="221"/>
      <c r="H330" s="233"/>
      <c r="I330" s="221"/>
      <c r="J330" s="221"/>
      <c r="K330" s="229">
        <f t="shared" si="17"/>
        <v>328</v>
      </c>
      <c r="L330" s="230">
        <f t="shared" si="15"/>
        <v>0.83575409586907279</v>
      </c>
      <c r="M330" s="230">
        <f t="shared" si="16"/>
        <v>-0.52223712024127356</v>
      </c>
    </row>
    <row r="331" spans="1:13" x14ac:dyDescent="0.25">
      <c r="A331" s="237"/>
      <c r="B331" s="221"/>
      <c r="C331" s="215"/>
      <c r="D331" s="233"/>
      <c r="E331" s="215"/>
      <c r="F331" s="221"/>
      <c r="G331" s="221"/>
      <c r="H331" s="233"/>
      <c r="I331" s="221"/>
      <c r="J331" s="221"/>
      <c r="K331" s="229">
        <f t="shared" si="17"/>
        <v>329</v>
      </c>
      <c r="L331" s="230">
        <f t="shared" si="15"/>
        <v>0.84461202459474782</v>
      </c>
      <c r="M331" s="230">
        <f t="shared" si="16"/>
        <v>-0.5074941039361216</v>
      </c>
    </row>
    <row r="332" spans="1:13" x14ac:dyDescent="0.25">
      <c r="A332" s="237"/>
      <c r="B332" s="221"/>
      <c r="C332" s="215"/>
      <c r="D332" s="233"/>
      <c r="E332" s="215"/>
      <c r="F332" s="221"/>
      <c r="G332" s="221"/>
      <c r="H332" s="233"/>
      <c r="I332" s="221"/>
      <c r="J332" s="221"/>
      <c r="K332" s="229">
        <f t="shared" si="17"/>
        <v>330</v>
      </c>
      <c r="L332" s="230">
        <f t="shared" si="15"/>
        <v>0.85321374127116512</v>
      </c>
      <c r="M332" s="230">
        <f t="shared" si="16"/>
        <v>-0.49260318319919549</v>
      </c>
    </row>
    <row r="333" spans="1:13" x14ac:dyDescent="0.25">
      <c r="A333" s="237"/>
      <c r="B333" s="221"/>
      <c r="C333" s="215"/>
      <c r="D333" s="233"/>
      <c r="E333" s="215"/>
      <c r="F333" s="221"/>
      <c r="G333" s="221"/>
      <c r="H333" s="233"/>
      <c r="I333" s="221"/>
      <c r="J333" s="221"/>
      <c r="K333" s="229">
        <f t="shared" si="17"/>
        <v>331</v>
      </c>
      <c r="L333" s="230">
        <f t="shared" si="15"/>
        <v>0.8615568537905467</v>
      </c>
      <c r="M333" s="230">
        <f t="shared" si="16"/>
        <v>-0.4775687623972697</v>
      </c>
    </row>
    <row r="334" spans="1:13" x14ac:dyDescent="0.25">
      <c r="A334" s="237"/>
      <c r="B334" s="221"/>
      <c r="C334" s="215"/>
      <c r="D334" s="233"/>
      <c r="E334" s="215"/>
      <c r="F334" s="221"/>
      <c r="G334" s="221"/>
      <c r="H334" s="233"/>
      <c r="I334" s="221"/>
      <c r="J334" s="221"/>
      <c r="K334" s="229">
        <f t="shared" si="17"/>
        <v>332</v>
      </c>
      <c r="L334" s="230">
        <f t="shared" si="15"/>
        <v>0.86963904409373283</v>
      </c>
      <c r="M334" s="230">
        <f t="shared" si="16"/>
        <v>-0.46239528188571039</v>
      </c>
    </row>
    <row r="335" spans="1:13" x14ac:dyDescent="0.25">
      <c r="A335" s="237"/>
      <c r="B335" s="221"/>
      <c r="C335" s="215"/>
      <c r="D335" s="233"/>
      <c r="E335" s="215"/>
      <c r="F335" s="221"/>
      <c r="G335" s="221"/>
      <c r="H335" s="233"/>
      <c r="I335" s="221"/>
      <c r="J335" s="221"/>
      <c r="K335" s="229">
        <f t="shared" si="17"/>
        <v>333</v>
      </c>
      <c r="L335" s="230">
        <f t="shared" si="15"/>
        <v>0.87745806861759734</v>
      </c>
      <c r="M335" s="230">
        <f t="shared" si="16"/>
        <v>-0.44708721682489483</v>
      </c>
    </row>
    <row r="336" spans="1:13" x14ac:dyDescent="0.25">
      <c r="A336" s="237"/>
      <c r="B336" s="221"/>
      <c r="C336" s="215"/>
      <c r="D336" s="233"/>
      <c r="E336" s="215"/>
      <c r="F336" s="221"/>
      <c r="G336" s="221"/>
      <c r="H336" s="233"/>
      <c r="I336" s="221"/>
      <c r="J336" s="221"/>
      <c r="K336" s="229">
        <f t="shared" si="17"/>
        <v>334</v>
      </c>
      <c r="L336" s="230">
        <f t="shared" si="15"/>
        <v>0.88501175872577909</v>
      </c>
      <c r="M336" s="230">
        <f t="shared" si="16"/>
        <v>-0.43164907599455027</v>
      </c>
    </row>
    <row r="337" spans="1:13" x14ac:dyDescent="0.25">
      <c r="A337" s="237"/>
      <c r="B337" s="221"/>
      <c r="C337" s="215"/>
      <c r="D337" s="233"/>
      <c r="E337" s="215"/>
      <c r="F337" s="221"/>
      <c r="G337" s="221"/>
      <c r="H337" s="233"/>
      <c r="I337" s="221"/>
      <c r="J337" s="221"/>
      <c r="K337" s="229">
        <f t="shared" si="17"/>
        <v>335</v>
      </c>
      <c r="L337" s="230">
        <f t="shared" si="15"/>
        <v>0.89229802112287848</v>
      </c>
      <c r="M337" s="230">
        <f t="shared" si="16"/>
        <v>-0.41608540060614868</v>
      </c>
    </row>
    <row r="338" spans="1:13" x14ac:dyDescent="0.25">
      <c r="A338" s="237"/>
      <c r="B338" s="221"/>
      <c r="C338" s="215"/>
      <c r="D338" s="233"/>
      <c r="E338" s="215"/>
      <c r="F338" s="221"/>
      <c r="G338" s="221"/>
      <c r="H338" s="233"/>
      <c r="I338" s="221"/>
      <c r="J338" s="221"/>
      <c r="K338" s="229">
        <f t="shared" si="17"/>
        <v>336</v>
      </c>
      <c r="L338" s="230">
        <f t="shared" si="15"/>
        <v>0.89931483825225134</v>
      </c>
      <c r="M338" s="230">
        <f t="shared" si="16"/>
        <v>-0.40040076311350864</v>
      </c>
    </row>
    <row r="339" spans="1:13" x14ac:dyDescent="0.25">
      <c r="A339" s="237"/>
      <c r="B339" s="221"/>
      <c r="C339" s="215"/>
      <c r="D339" s="233"/>
      <c r="E339" s="215"/>
      <c r="F339" s="221"/>
      <c r="G339" s="221"/>
      <c r="H339" s="233"/>
      <c r="I339" s="221"/>
      <c r="J339" s="221"/>
      <c r="K339" s="229">
        <f t="shared" si="17"/>
        <v>337</v>
      </c>
      <c r="L339" s="230">
        <f t="shared" si="15"/>
        <v>0.90606026867754486</v>
      </c>
      <c r="M339" s="230">
        <f t="shared" si="16"/>
        <v>-0.38459976602172607</v>
      </c>
    </row>
    <row r="340" spans="1:13" x14ac:dyDescent="0.25">
      <c r="A340" s="237"/>
      <c r="B340" s="221"/>
      <c r="C340" s="215"/>
      <c r="D340" s="233"/>
      <c r="E340" s="215"/>
      <c r="F340" s="221"/>
      <c r="G340" s="221"/>
      <c r="H340" s="233"/>
      <c r="I340" s="221"/>
      <c r="J340" s="221"/>
      <c r="K340" s="229">
        <f t="shared" si="17"/>
        <v>338</v>
      </c>
      <c r="L340" s="230">
        <f t="shared" si="15"/>
        <v>0.91253244744810014</v>
      </c>
      <c r="M340" s="230">
        <f t="shared" si="16"/>
        <v>-0.36868704069457481</v>
      </c>
    </row>
    <row r="341" spans="1:13" x14ac:dyDescent="0.25">
      <c r="A341" s="237"/>
      <c r="B341" s="221"/>
      <c r="C341" s="215"/>
      <c r="D341" s="233"/>
      <c r="E341" s="215"/>
      <c r="F341" s="221"/>
      <c r="G341" s="221"/>
      <c r="H341" s="233"/>
      <c r="I341" s="221"/>
      <c r="J341" s="221"/>
      <c r="K341" s="229">
        <f t="shared" si="17"/>
        <v>339</v>
      </c>
      <c r="L341" s="230">
        <f t="shared" si="15"/>
        <v>0.918729586448359</v>
      </c>
      <c r="M341" s="230">
        <f t="shared" si="16"/>
        <v>-0.3526672461604865</v>
      </c>
    </row>
    <row r="342" spans="1:13" x14ac:dyDescent="0.25">
      <c r="A342" s="237"/>
      <c r="B342" s="221"/>
      <c r="C342" s="215"/>
      <c r="D342" s="233"/>
      <c r="E342" s="215"/>
      <c r="F342" s="221"/>
      <c r="G342" s="221"/>
      <c r="H342" s="233"/>
      <c r="I342" s="221"/>
      <c r="J342" s="221"/>
      <c r="K342" s="229">
        <f t="shared" si="17"/>
        <v>340</v>
      </c>
      <c r="L342" s="230">
        <f t="shared" si="15"/>
        <v>0.92464997473139676</v>
      </c>
      <c r="M342" s="230">
        <f t="shared" si="16"/>
        <v>-0.33654506791722444</v>
      </c>
    </row>
    <row r="343" spans="1:13" x14ac:dyDescent="0.25">
      <c r="A343" s="237"/>
      <c r="B343" s="221"/>
      <c r="C343" s="215"/>
      <c r="D343" s="233"/>
      <c r="E343" s="215"/>
      <c r="F343" s="221"/>
      <c r="G343" s="221"/>
      <c r="H343" s="233"/>
      <c r="I343" s="221"/>
      <c r="J343" s="221"/>
      <c r="K343" s="229">
        <f t="shared" si="17"/>
        <v>341</v>
      </c>
      <c r="L343" s="230">
        <f t="shared" si="15"/>
        <v>0.93029197883670911</v>
      </c>
      <c r="M343" s="230">
        <f t="shared" si="16"/>
        <v>-0.32032521673536385</v>
      </c>
    </row>
    <row r="344" spans="1:13" x14ac:dyDescent="0.25">
      <c r="A344" s="237"/>
      <c r="B344" s="221"/>
      <c r="C344" s="215"/>
      <c r="D344" s="233"/>
      <c r="E344" s="215"/>
      <c r="F344" s="221"/>
      <c r="G344" s="221"/>
      <c r="H344" s="233"/>
      <c r="I344" s="221"/>
      <c r="J344" s="221"/>
      <c r="K344" s="229">
        <f t="shared" si="17"/>
        <v>342</v>
      </c>
      <c r="L344" s="230">
        <f t="shared" si="15"/>
        <v>0.93565404309236899</v>
      </c>
      <c r="M344" s="230">
        <f t="shared" si="16"/>
        <v>-0.30401242746066337</v>
      </c>
    </row>
    <row r="345" spans="1:13" x14ac:dyDescent="0.25">
      <c r="A345" s="237"/>
      <c r="B345" s="221"/>
      <c r="C345" s="215"/>
      <c r="D345" s="233"/>
      <c r="E345" s="215"/>
      <c r="F345" s="221"/>
      <c r="G345" s="221"/>
      <c r="H345" s="233"/>
      <c r="I345" s="221"/>
      <c r="J345" s="221"/>
      <c r="K345" s="229">
        <f t="shared" si="17"/>
        <v>343</v>
      </c>
      <c r="L345" s="230">
        <f t="shared" si="15"/>
        <v>0.94073468990167153</v>
      </c>
      <c r="M345" s="230">
        <f t="shared" si="16"/>
        <v>-0.28761145781544006</v>
      </c>
    </row>
    <row r="346" spans="1:13" x14ac:dyDescent="0.25">
      <c r="A346" s="237"/>
      <c r="B346" s="221"/>
      <c r="C346" s="215"/>
      <c r="D346" s="233"/>
      <c r="E346" s="215"/>
      <c r="F346" s="221"/>
      <c r="G346" s="221"/>
      <c r="H346" s="233"/>
      <c r="I346" s="221"/>
      <c r="J346" s="221"/>
      <c r="K346" s="229">
        <f t="shared" si="17"/>
        <v>344</v>
      </c>
      <c r="L346" s="230">
        <f t="shared" si="15"/>
        <v>0.94553252001437726</v>
      </c>
      <c r="M346" s="230">
        <f t="shared" si="16"/>
        <v>-0.27112708719902012</v>
      </c>
    </row>
    <row r="347" spans="1:13" x14ac:dyDescent="0.25">
      <c r="A347" s="237"/>
      <c r="B347" s="221"/>
      <c r="C347" s="215"/>
      <c r="D347" s="233"/>
      <c r="E347" s="215"/>
      <c r="F347" s="221"/>
      <c r="G347" s="221"/>
      <c r="H347" s="233"/>
      <c r="I347" s="221"/>
      <c r="J347" s="221"/>
      <c r="K347" s="229">
        <f t="shared" si="17"/>
        <v>345</v>
      </c>
      <c r="L347" s="230">
        <f t="shared" si="15"/>
        <v>0.95004621278265766</v>
      </c>
      <c r="M347" s="230">
        <f t="shared" si="16"/>
        <v>-0.25456411548735958</v>
      </c>
    </row>
    <row r="348" spans="1:13" x14ac:dyDescent="0.25">
      <c r="A348" s="237"/>
      <c r="B348" s="221"/>
      <c r="C348" s="215"/>
      <c r="D348" s="233"/>
      <c r="E348" s="215"/>
      <c r="F348" s="221"/>
      <c r="G348" s="221"/>
      <c r="H348" s="233"/>
      <c r="I348" s="221"/>
      <c r="J348" s="221"/>
      <c r="K348" s="229">
        <f t="shared" si="17"/>
        <v>346</v>
      </c>
      <c r="L348" s="230">
        <f t="shared" si="15"/>
        <v>0.95427452640185273</v>
      </c>
      <c r="M348" s="230">
        <f t="shared" si="16"/>
        <v>-0.23792736183189619</v>
      </c>
    </row>
    <row r="349" spans="1:13" x14ac:dyDescent="0.25">
      <c r="A349" s="237"/>
      <c r="B349" s="221"/>
      <c r="C349" s="215"/>
      <c r="D349" s="233"/>
      <c r="E349" s="215"/>
      <c r="F349" s="221"/>
      <c r="G349" s="221"/>
      <c r="H349" s="233"/>
      <c r="I349" s="221"/>
      <c r="J349" s="221"/>
      <c r="K349" s="229">
        <f t="shared" si="17"/>
        <v>347</v>
      </c>
      <c r="L349" s="230">
        <f t="shared" si="15"/>
        <v>0.95821629813612841</v>
      </c>
      <c r="M349" s="230">
        <f t="shared" si="16"/>
        <v>-0.2212216634577216</v>
      </c>
    </row>
    <row r="350" spans="1:13" x14ac:dyDescent="0.25">
      <c r="A350" s="237"/>
      <c r="B350" s="221"/>
      <c r="C350" s="215"/>
      <c r="D350" s="233"/>
      <c r="E350" s="215"/>
      <c r="F350" s="221"/>
      <c r="G350" s="221"/>
      <c r="H350" s="233"/>
      <c r="I350" s="221"/>
      <c r="J350" s="221"/>
      <c r="K350" s="229">
        <f t="shared" si="17"/>
        <v>348</v>
      </c>
      <c r="L350" s="230">
        <f t="shared" si="15"/>
        <v>0.96187044452913362</v>
      </c>
      <c r="M350" s="230">
        <f t="shared" si="16"/>
        <v>-0.20445187446112892</v>
      </c>
    </row>
    <row r="351" spans="1:13" x14ac:dyDescent="0.25">
      <c r="A351" s="237"/>
      <c r="B351" s="221"/>
      <c r="C351" s="215"/>
      <c r="D351" s="233"/>
      <c r="E351" s="215"/>
      <c r="F351" s="221"/>
      <c r="G351" s="221"/>
      <c r="H351" s="233"/>
      <c r="I351" s="221"/>
      <c r="J351" s="221"/>
      <c r="K351" s="229">
        <f t="shared" si="17"/>
        <v>349</v>
      </c>
      <c r="L351" s="230">
        <f t="shared" si="15"/>
        <v>0.96523596159973934</v>
      </c>
      <c r="M351" s="230">
        <f t="shared" si="16"/>
        <v>-0.18762286460660016</v>
      </c>
    </row>
    <row r="352" spans="1:13" x14ac:dyDescent="0.25">
      <c r="A352" s="237"/>
      <c r="B352" s="221"/>
      <c r="C352" s="215"/>
      <c r="D352" s="233"/>
      <c r="E352" s="215"/>
      <c r="F352" s="221"/>
      <c r="G352" s="221"/>
      <c r="H352" s="233"/>
      <c r="I352" s="221"/>
      <c r="J352" s="221"/>
      <c r="K352" s="229">
        <f t="shared" si="17"/>
        <v>350</v>
      </c>
      <c r="L352" s="230">
        <f t="shared" si="15"/>
        <v>0.96831192502294239</v>
      </c>
      <c r="M352" s="230">
        <f t="shared" si="16"/>
        <v>-0.17073951812329699</v>
      </c>
    </row>
    <row r="353" spans="1:13" x14ac:dyDescent="0.25">
      <c r="A353" s="237"/>
      <c r="B353" s="221"/>
      <c r="C353" s="215"/>
      <c r="D353" s="233"/>
      <c r="E353" s="215"/>
      <c r="F353" s="221"/>
      <c r="G353" s="221"/>
      <c r="H353" s="233"/>
      <c r="I353" s="221"/>
      <c r="J353" s="221"/>
      <c r="K353" s="229">
        <f t="shared" si="17"/>
        <v>351</v>
      </c>
      <c r="L353" s="230">
        <f t="shared" si="15"/>
        <v>0.97109749029601378</v>
      </c>
      <c r="M353" s="230">
        <f t="shared" si="16"/>
        <v>-0.15380673250109622</v>
      </c>
    </row>
    <row r="354" spans="1:13" x14ac:dyDescent="0.25">
      <c r="A354" s="237"/>
      <c r="B354" s="221"/>
      <c r="C354" s="215"/>
      <c r="D354" s="233"/>
      <c r="E354" s="215"/>
      <c r="F354" s="221"/>
      <c r="G354" s="221"/>
      <c r="H354" s="233"/>
      <c r="I354" s="221"/>
      <c r="J354" s="221"/>
      <c r="K354" s="229">
        <f t="shared" si="17"/>
        <v>352</v>
      </c>
      <c r="L354" s="230">
        <f t="shared" si="15"/>
        <v>0.97359189288995607</v>
      </c>
      <c r="M354" s="230">
        <f t="shared" si="16"/>
        <v>-0.13682941728623615</v>
      </c>
    </row>
    <row r="355" spans="1:13" x14ac:dyDescent="0.25">
      <c r="A355" s="237"/>
      <c r="B355" s="221"/>
      <c r="C355" s="215"/>
      <c r="D355" s="233"/>
      <c r="E355" s="215"/>
      <c r="F355" s="221"/>
      <c r="G355" s="221"/>
      <c r="H355" s="233"/>
      <c r="I355" s="221"/>
      <c r="J355" s="221"/>
      <c r="K355" s="229">
        <f t="shared" si="17"/>
        <v>353</v>
      </c>
      <c r="L355" s="230">
        <f t="shared" si="15"/>
        <v>0.97579444838633767</v>
      </c>
      <c r="M355" s="230">
        <f t="shared" si="16"/>
        <v>-0.11981249287660821</v>
      </c>
    </row>
    <row r="356" spans="1:13" x14ac:dyDescent="0.25">
      <c r="A356" s="237"/>
      <c r="B356" s="221"/>
      <c r="C356" s="215"/>
      <c r="D356" s="233"/>
      <c r="E356" s="215"/>
      <c r="F356" s="221"/>
      <c r="G356" s="221"/>
      <c r="H356" s="233"/>
      <c r="I356" s="221"/>
      <c r="J356" s="221"/>
      <c r="K356" s="229">
        <f t="shared" si="17"/>
        <v>354</v>
      </c>
      <c r="L356" s="230">
        <f t="shared" si="15"/>
        <v>0.97770455259956612</v>
      </c>
      <c r="M356" s="230">
        <f t="shared" si="16"/>
        <v>-0.10276088931674771</v>
      </c>
    </row>
    <row r="357" spans="1:13" x14ac:dyDescent="0.25">
      <c r="A357" s="237"/>
      <c r="B357" s="221"/>
      <c r="C357" s="215"/>
      <c r="D357" s="233"/>
      <c r="E357" s="215"/>
      <c r="F357" s="221"/>
      <c r="G357" s="221"/>
      <c r="H357" s="233"/>
      <c r="I357" s="221"/>
      <c r="J357" s="221"/>
      <c r="K357" s="229">
        <f t="shared" si="17"/>
        <v>355</v>
      </c>
      <c r="L357" s="230">
        <f t="shared" si="15"/>
        <v>0.97932168168464784</v>
      </c>
      <c r="M357" s="230">
        <f t="shared" si="16"/>
        <v>-8.5679545092550352E-2</v>
      </c>
    </row>
    <row r="358" spans="1:13" x14ac:dyDescent="0.25">
      <c r="A358" s="237"/>
      <c r="B358" s="221"/>
      <c r="C358" s="215"/>
      <c r="D358" s="233"/>
      <c r="E358" s="215"/>
      <c r="F358" s="221"/>
      <c r="G358" s="221"/>
      <c r="H358" s="233"/>
      <c r="I358" s="221"/>
      <c r="J358" s="221"/>
      <c r="K358" s="229">
        <f t="shared" si="17"/>
        <v>356</v>
      </c>
      <c r="L358" s="230">
        <f t="shared" si="15"/>
        <v>0.98064539223048386</v>
      </c>
      <c r="M358" s="230">
        <f t="shared" si="16"/>
        <v>-6.857340592577138E-2</v>
      </c>
    </row>
    <row r="359" spans="1:13" x14ac:dyDescent="0.25">
      <c r="A359" s="237"/>
      <c r="B359" s="221"/>
      <c r="C359" s="215"/>
      <c r="D359" s="233"/>
      <c r="E359" s="215"/>
      <c r="F359" s="221"/>
      <c r="G359" s="221"/>
      <c r="H359" s="233"/>
      <c r="I359" s="221"/>
      <c r="J359" s="221"/>
      <c r="K359" s="229">
        <f t="shared" si="17"/>
        <v>357</v>
      </c>
      <c r="L359" s="230">
        <f t="shared" si="15"/>
        <v>0.98167532133874424</v>
      </c>
      <c r="M359" s="230">
        <f t="shared" si="16"/>
        <v>-5.1447423568329986E-2</v>
      </c>
    </row>
    <row r="360" spans="1:13" x14ac:dyDescent="0.25">
      <c r="A360" s="237"/>
      <c r="B360" s="221"/>
      <c r="C360" s="215"/>
      <c r="D360" s="233"/>
      <c r="E360" s="215"/>
      <c r="F360" s="221"/>
      <c r="G360" s="221"/>
      <c r="H360" s="233"/>
      <c r="I360" s="221"/>
      <c r="J360" s="221"/>
      <c r="K360" s="229">
        <f t="shared" si="17"/>
        <v>358</v>
      </c>
      <c r="L360" s="230">
        <f t="shared" si="15"/>
        <v>0.98241118668835337</v>
      </c>
      <c r="M360" s="230">
        <f t="shared" si="16"/>
        <v>-3.4306554596458184E-2</v>
      </c>
    </row>
    <row r="361" spans="1:13" x14ac:dyDescent="0.25">
      <c r="A361" s="237"/>
      <c r="B361" s="221"/>
      <c r="C361" s="215"/>
      <c r="D361" s="233"/>
      <c r="E361" s="215"/>
      <c r="F361" s="221"/>
      <c r="G361" s="221"/>
      <c r="H361" s="233"/>
      <c r="I361" s="221"/>
      <c r="J361" s="221"/>
      <c r="K361" s="229">
        <f>K360+1</f>
        <v>359</v>
      </c>
      <c r="L361" s="230">
        <f t="shared" si="15"/>
        <v>0.98285278658561481</v>
      </c>
      <c r="M361" s="230">
        <f t="shared" si="16"/>
        <v>-1.7155759204731533E-2</v>
      </c>
    </row>
    <row r="362" spans="1:13" x14ac:dyDescent="0.25">
      <c r="A362" s="237"/>
      <c r="B362" s="221"/>
      <c r="C362" s="215"/>
      <c r="D362" s="233"/>
      <c r="E362" s="215"/>
      <c r="F362" s="221"/>
      <c r="G362" s="221"/>
      <c r="H362" s="233"/>
      <c r="I362" s="221"/>
      <c r="J362" s="221"/>
      <c r="K362" s="229">
        <f t="shared" ref="K362" si="18">K361+1</f>
        <v>360</v>
      </c>
      <c r="L362" s="230">
        <f t="shared" si="15"/>
        <v>0.9830000000000001</v>
      </c>
      <c r="M362" s="230">
        <f>IF($D$2="","", ($D$2*(1-$E$2^2)/(1+$E$2*COS(RADIANS(K362)))) * SIN(RADIANS(K362)) )</f>
        <v>-2.4086418623503474E-16</v>
      </c>
    </row>
  </sheetData>
  <dataValidations count="1">
    <dataValidation type="list" allowBlank="1" showInputMessage="1" showErrorMessage="1" sqref="C2" xr:uid="{03406457-A05C-422E-8D7B-6B6237789AB4}">
      <formula1>Plot_display_choices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DD7C5-58C6-4D1E-B713-F45CD8ED7D75}">
  <sheetPr codeName="Sheet3"/>
  <dimension ref="A1:Q1673"/>
  <sheetViews>
    <sheetView workbookViewId="0">
      <pane ySplit="1" topLeftCell="A2" activePane="bottomLeft" state="frozen"/>
      <selection pane="bottomLeft" sqref="A1:Q1048576"/>
    </sheetView>
  </sheetViews>
  <sheetFormatPr defaultRowHeight="15" x14ac:dyDescent="0.25"/>
  <cols>
    <col min="1" max="1" width="4.140625" style="194" customWidth="1"/>
    <col min="2" max="2" width="13.42578125" style="194" customWidth="1"/>
    <col min="3" max="3" width="9.140625" style="194"/>
    <col min="4" max="4" width="9.140625" style="195" customWidth="1"/>
    <col min="5" max="11" width="9.140625" style="195"/>
    <col min="12" max="12" width="8.85546875" style="1"/>
    <col min="13" max="13" width="8.85546875" style="194"/>
    <col min="14" max="14" width="10" style="194" customWidth="1"/>
    <col min="15" max="15" width="7.85546875" style="194" hidden="1" customWidth="1"/>
    <col min="16" max="16" width="9.42578125" style="194" hidden="1" customWidth="1"/>
    <col min="17" max="17" width="8.85546875" style="200" hidden="1" customWidth="1"/>
  </cols>
  <sheetData>
    <row r="1" spans="1:17" x14ac:dyDescent="0.25">
      <c r="A1" s="212" t="s">
        <v>0</v>
      </c>
      <c r="B1" s="209" t="s">
        <v>8443</v>
      </c>
      <c r="C1" s="209" t="s">
        <v>8444</v>
      </c>
      <c r="D1" s="210" t="s">
        <v>8436</v>
      </c>
      <c r="E1" s="211" t="s">
        <v>8437</v>
      </c>
      <c r="F1" s="211" t="s">
        <v>8438</v>
      </c>
      <c r="G1" s="211" t="s">
        <v>8439</v>
      </c>
      <c r="H1" s="211" t="s">
        <v>8440</v>
      </c>
      <c r="I1" s="211" t="s">
        <v>8441</v>
      </c>
      <c r="J1" s="211" t="s">
        <v>8442</v>
      </c>
      <c r="K1" s="211" t="s">
        <v>9574</v>
      </c>
      <c r="L1" s="211" t="s">
        <v>8445</v>
      </c>
      <c r="M1" s="211" t="s">
        <v>8446</v>
      </c>
      <c r="N1" s="211" t="s">
        <v>9334</v>
      </c>
      <c r="O1" s="209" t="s">
        <v>9583</v>
      </c>
      <c r="P1" s="209" t="s">
        <v>9606</v>
      </c>
      <c r="Q1" s="209" t="s">
        <v>9609</v>
      </c>
    </row>
    <row r="2" spans="1:17" x14ac:dyDescent="0.25">
      <c r="A2" s="197" t="s">
        <v>1</v>
      </c>
      <c r="B2" s="198" t="s">
        <v>2</v>
      </c>
      <c r="C2" s="198">
        <v>0</v>
      </c>
      <c r="D2" s="196">
        <v>2440</v>
      </c>
      <c r="E2" s="196">
        <v>0.38700000000000001</v>
      </c>
      <c r="F2" s="196">
        <v>0.20599999999999999</v>
      </c>
      <c r="G2" s="196">
        <v>7.0049999999999999</v>
      </c>
      <c r="H2" s="196">
        <v>29.123999999999999</v>
      </c>
      <c r="I2" s="196">
        <v>48.331000000000003</v>
      </c>
      <c r="J2" s="196">
        <v>174.79599999999999</v>
      </c>
      <c r="K2" s="196">
        <v>5.4269999999999996</v>
      </c>
      <c r="L2" s="200">
        <v>2</v>
      </c>
      <c r="M2" s="200">
        <v>1</v>
      </c>
      <c r="N2" s="200">
        <v>1</v>
      </c>
      <c r="O2" s="194" t="s">
        <v>2</v>
      </c>
      <c r="P2" s="194" t="s">
        <v>9605</v>
      </c>
      <c r="Q2" s="200" t="s">
        <v>8044</v>
      </c>
    </row>
    <row r="3" spans="1:17" x14ac:dyDescent="0.25">
      <c r="A3" s="197" t="s">
        <v>9</v>
      </c>
      <c r="B3" s="198" t="s">
        <v>10</v>
      </c>
      <c r="C3" s="198">
        <v>0</v>
      </c>
      <c r="D3" s="196">
        <v>6052</v>
      </c>
      <c r="E3" s="196">
        <v>0.72299999999999998</v>
      </c>
      <c r="F3" s="196">
        <v>7.0000000000000001E-3</v>
      </c>
      <c r="G3" s="196">
        <v>3.395</v>
      </c>
      <c r="H3" s="196">
        <v>54.884</v>
      </c>
      <c r="I3" s="196">
        <v>76.688999999999993</v>
      </c>
      <c r="J3" s="196">
        <v>50.115000000000002</v>
      </c>
      <c r="K3" s="196">
        <v>5.2430000000000003</v>
      </c>
      <c r="L3" s="200">
        <v>3</v>
      </c>
      <c r="M3" s="200">
        <v>1</v>
      </c>
      <c r="N3" s="200">
        <v>1</v>
      </c>
      <c r="O3" s="194" t="s">
        <v>10</v>
      </c>
      <c r="P3" s="194" t="s">
        <v>9604</v>
      </c>
      <c r="Q3" s="200" t="s">
        <v>8046</v>
      </c>
    </row>
    <row r="4" spans="1:17" x14ac:dyDescent="0.25">
      <c r="A4" s="198" t="s">
        <v>1485</v>
      </c>
      <c r="B4" s="198" t="s">
        <v>8447</v>
      </c>
      <c r="C4" s="198">
        <v>0</v>
      </c>
      <c r="D4" s="196">
        <v>0.05</v>
      </c>
      <c r="E4" s="196">
        <v>0.72399999999999998</v>
      </c>
      <c r="F4" s="196">
        <v>0.61199999999999999</v>
      </c>
      <c r="G4" s="196">
        <v>4.7960000000000003</v>
      </c>
      <c r="H4" s="196">
        <v>19.696999999999999</v>
      </c>
      <c r="I4" s="196">
        <v>95.840999999999994</v>
      </c>
      <c r="J4" s="196">
        <v>198.82</v>
      </c>
      <c r="K4" s="196"/>
      <c r="L4" s="200">
        <v>4</v>
      </c>
      <c r="M4" s="200">
        <v>2</v>
      </c>
      <c r="N4" s="200">
        <v>11</v>
      </c>
    </row>
    <row r="5" spans="1:17" x14ac:dyDescent="0.25">
      <c r="A5" s="198" t="s">
        <v>17</v>
      </c>
      <c r="B5" s="198" t="s">
        <v>18</v>
      </c>
      <c r="C5" s="198">
        <v>0</v>
      </c>
      <c r="D5" s="196">
        <v>0.185</v>
      </c>
      <c r="E5" s="196">
        <v>0.92300000000000004</v>
      </c>
      <c r="F5" s="196">
        <v>0.191</v>
      </c>
      <c r="G5" s="196">
        <v>3.339</v>
      </c>
      <c r="H5" s="196">
        <v>126.6</v>
      </c>
      <c r="I5" s="196">
        <v>203.96</v>
      </c>
      <c r="J5" s="196">
        <v>142.9</v>
      </c>
      <c r="K5" s="196"/>
      <c r="L5" s="200">
        <v>5</v>
      </c>
      <c r="M5" s="200">
        <v>1</v>
      </c>
      <c r="N5" s="200">
        <v>10</v>
      </c>
    </row>
    <row r="6" spans="1:17" x14ac:dyDescent="0.25">
      <c r="A6" s="198" t="s">
        <v>1485</v>
      </c>
      <c r="B6" s="198" t="s">
        <v>8448</v>
      </c>
      <c r="C6" s="198">
        <v>0</v>
      </c>
      <c r="D6" s="196">
        <v>0.19</v>
      </c>
      <c r="E6" s="196">
        <v>1</v>
      </c>
      <c r="F6" s="196">
        <v>0.191</v>
      </c>
      <c r="G6" s="196">
        <v>20.89</v>
      </c>
      <c r="H6" s="196">
        <v>45.927</v>
      </c>
      <c r="I6" s="196">
        <v>96.498000000000005</v>
      </c>
      <c r="J6" s="196">
        <v>354.14</v>
      </c>
      <c r="K6" s="196"/>
      <c r="L6" s="200">
        <v>6</v>
      </c>
      <c r="M6" s="200">
        <v>2</v>
      </c>
      <c r="N6" s="200">
        <v>12</v>
      </c>
    </row>
    <row r="7" spans="1:17" x14ac:dyDescent="0.25">
      <c r="A7" s="197" t="s">
        <v>24</v>
      </c>
      <c r="B7" s="198" t="s">
        <v>25</v>
      </c>
      <c r="C7" s="198">
        <v>1</v>
      </c>
      <c r="D7" s="196">
        <v>6371</v>
      </c>
      <c r="E7" s="196">
        <v>1</v>
      </c>
      <c r="F7" s="196">
        <v>1.7000000000000001E-2</v>
      </c>
      <c r="G7" s="196">
        <v>0</v>
      </c>
      <c r="H7" s="196">
        <v>114.208</v>
      </c>
      <c r="I7" s="196">
        <v>-11.260999999999999</v>
      </c>
      <c r="J7" s="196">
        <v>358.61700000000002</v>
      </c>
      <c r="K7" s="196">
        <v>5.5129999999999999</v>
      </c>
      <c r="L7" s="200">
        <v>7</v>
      </c>
      <c r="M7" s="200">
        <v>1</v>
      </c>
      <c r="N7" s="200">
        <v>1</v>
      </c>
      <c r="O7" s="194" t="s">
        <v>25</v>
      </c>
      <c r="P7" s="194" t="s">
        <v>9603</v>
      </c>
      <c r="Q7" s="200" t="s">
        <v>8048</v>
      </c>
    </row>
    <row r="8" spans="1:17" x14ac:dyDescent="0.25">
      <c r="A8" s="198" t="s">
        <v>32</v>
      </c>
      <c r="B8" s="198" t="s">
        <v>31</v>
      </c>
      <c r="C8" s="198"/>
      <c r="D8" s="196">
        <v>1737</v>
      </c>
      <c r="E8" s="196"/>
      <c r="F8" s="196">
        <v>5.5E-2</v>
      </c>
      <c r="G8" s="196">
        <v>5.1449999999999996</v>
      </c>
      <c r="H8" s="196"/>
      <c r="I8" s="196"/>
      <c r="J8" s="196"/>
      <c r="K8" s="196">
        <v>3.3439999999999999</v>
      </c>
      <c r="L8" s="200">
        <v>8</v>
      </c>
      <c r="M8" s="200">
        <v>1</v>
      </c>
      <c r="N8" s="200">
        <v>3</v>
      </c>
    </row>
    <row r="9" spans="1:17" x14ac:dyDescent="0.25">
      <c r="A9" s="198" t="s">
        <v>1485</v>
      </c>
      <c r="B9" s="198" t="s">
        <v>8449</v>
      </c>
      <c r="C9" s="198">
        <v>0</v>
      </c>
      <c r="D9" s="196">
        <v>0.59</v>
      </c>
      <c r="E9" s="196">
        <v>1.0009999999999999</v>
      </c>
      <c r="F9" s="196">
        <v>0.38700000000000001</v>
      </c>
      <c r="G9" s="196">
        <v>13.847</v>
      </c>
      <c r="H9" s="196">
        <v>87.980999999999995</v>
      </c>
      <c r="I9" s="196">
        <v>153.59800000000001</v>
      </c>
      <c r="J9" s="196">
        <v>316.42</v>
      </c>
      <c r="K9" s="196"/>
      <c r="L9" s="200">
        <v>9</v>
      </c>
      <c r="M9" s="200">
        <v>2</v>
      </c>
      <c r="N9" s="200">
        <v>12</v>
      </c>
    </row>
    <row r="10" spans="1:17" x14ac:dyDescent="0.25">
      <c r="A10" s="198" t="s">
        <v>17</v>
      </c>
      <c r="B10" s="198" t="s">
        <v>36</v>
      </c>
      <c r="C10" s="198">
        <v>0</v>
      </c>
      <c r="D10" s="196">
        <v>0.245</v>
      </c>
      <c r="E10" s="196">
        <v>1.1259999999999999</v>
      </c>
      <c r="F10" s="196">
        <v>0.20399999999999999</v>
      </c>
      <c r="G10" s="196">
        <v>6.0350000000000001</v>
      </c>
      <c r="H10" s="196">
        <v>66.222999999999999</v>
      </c>
      <c r="I10" s="196">
        <v>2.0609999999999999</v>
      </c>
      <c r="J10" s="196">
        <v>101.70399999999999</v>
      </c>
      <c r="K10" s="196">
        <v>1.19</v>
      </c>
      <c r="L10" s="200">
        <v>10</v>
      </c>
      <c r="M10" s="200">
        <v>1</v>
      </c>
      <c r="N10" s="200">
        <v>10</v>
      </c>
    </row>
    <row r="11" spans="1:17" x14ac:dyDescent="0.25">
      <c r="A11" s="198" t="s">
        <v>17</v>
      </c>
      <c r="B11" s="198" t="s">
        <v>43</v>
      </c>
      <c r="C11" s="198">
        <v>0</v>
      </c>
      <c r="D11" s="196">
        <v>0.44800000000000001</v>
      </c>
      <c r="E11" s="196">
        <v>1.19</v>
      </c>
      <c r="F11" s="196">
        <v>0.19</v>
      </c>
      <c r="G11" s="196">
        <v>5.8840000000000003</v>
      </c>
      <c r="H11" s="196">
        <v>211.43</v>
      </c>
      <c r="I11" s="196">
        <v>251.62</v>
      </c>
      <c r="J11" s="196">
        <v>3.9830000000000001</v>
      </c>
      <c r="K11" s="196">
        <v>1.19</v>
      </c>
      <c r="L11" s="200">
        <v>11</v>
      </c>
      <c r="M11" s="200">
        <v>1</v>
      </c>
      <c r="N11" s="200">
        <v>10</v>
      </c>
    </row>
    <row r="12" spans="1:17" x14ac:dyDescent="0.25">
      <c r="A12" s="198" t="s">
        <v>17</v>
      </c>
      <c r="B12" s="198" t="s">
        <v>49</v>
      </c>
      <c r="C12" s="198">
        <v>0</v>
      </c>
      <c r="D12" s="196">
        <v>3</v>
      </c>
      <c r="E12" s="196">
        <v>1.2709999999999999</v>
      </c>
      <c r="F12" s="196">
        <v>0.89</v>
      </c>
      <c r="G12" s="196">
        <v>22.26</v>
      </c>
      <c r="H12" s="196">
        <v>322.19</v>
      </c>
      <c r="I12" s="196">
        <v>265.22000000000003</v>
      </c>
      <c r="J12" s="196">
        <v>313.94</v>
      </c>
      <c r="K12" s="196"/>
      <c r="L12" s="200">
        <v>12</v>
      </c>
      <c r="M12" s="200">
        <v>1</v>
      </c>
      <c r="N12" s="200">
        <v>10</v>
      </c>
    </row>
    <row r="13" spans="1:17" x14ac:dyDescent="0.25">
      <c r="A13" s="198" t="s">
        <v>17</v>
      </c>
      <c r="B13" s="198" t="s">
        <v>56</v>
      </c>
      <c r="C13" s="198">
        <v>0</v>
      </c>
      <c r="D13" s="196">
        <v>0.157</v>
      </c>
      <c r="E13" s="196">
        <v>1.3240000000000001</v>
      </c>
      <c r="F13" s="196">
        <v>0.28000000000000003</v>
      </c>
      <c r="G13" s="196">
        <v>1.621</v>
      </c>
      <c r="H13" s="196">
        <v>162.82</v>
      </c>
      <c r="I13" s="196">
        <v>69.081000000000003</v>
      </c>
      <c r="J13" s="196">
        <v>288.88</v>
      </c>
      <c r="K13" s="196">
        <v>1.925</v>
      </c>
      <c r="L13" s="200">
        <v>13</v>
      </c>
      <c r="M13" s="200">
        <v>1</v>
      </c>
      <c r="N13" s="200">
        <v>10</v>
      </c>
    </row>
    <row r="14" spans="1:17" x14ac:dyDescent="0.25">
      <c r="A14" s="198" t="s">
        <v>17</v>
      </c>
      <c r="B14" s="198" t="s">
        <v>63</v>
      </c>
      <c r="C14" s="198">
        <v>0</v>
      </c>
      <c r="D14" s="196">
        <v>8</v>
      </c>
      <c r="E14" s="196">
        <v>1.458</v>
      </c>
      <c r="F14" s="196">
        <v>0.223</v>
      </c>
      <c r="G14" s="196">
        <v>10.827999999999999</v>
      </c>
      <c r="H14" s="196">
        <v>178.82</v>
      </c>
      <c r="I14" s="196">
        <v>304.32</v>
      </c>
      <c r="J14" s="196">
        <v>71.28</v>
      </c>
      <c r="K14" s="196">
        <v>2.67</v>
      </c>
      <c r="L14" s="200">
        <v>14</v>
      </c>
      <c r="M14" s="200">
        <v>1</v>
      </c>
      <c r="N14" s="200">
        <v>10</v>
      </c>
    </row>
    <row r="15" spans="1:17" x14ac:dyDescent="0.25">
      <c r="A15" s="198" t="s">
        <v>1485</v>
      </c>
      <c r="B15" s="198" t="s">
        <v>3223</v>
      </c>
      <c r="C15" s="198">
        <v>1</v>
      </c>
      <c r="D15" s="196">
        <v>0.65</v>
      </c>
      <c r="E15" s="196">
        <v>1.524</v>
      </c>
      <c r="F15" s="196">
        <v>6.5000000000000002E-2</v>
      </c>
      <c r="G15" s="196">
        <v>20.28</v>
      </c>
      <c r="H15" s="196">
        <v>95.456000000000003</v>
      </c>
      <c r="I15" s="196">
        <v>245.05699999999999</v>
      </c>
      <c r="J15" s="196">
        <v>145.29</v>
      </c>
      <c r="K15" s="196"/>
      <c r="L15" s="200">
        <v>15</v>
      </c>
      <c r="M15" s="200">
        <v>1</v>
      </c>
      <c r="N15" s="200">
        <v>13</v>
      </c>
    </row>
    <row r="16" spans="1:17" x14ac:dyDescent="0.25">
      <c r="A16" s="198" t="s">
        <v>32</v>
      </c>
      <c r="B16" s="198" t="s">
        <v>3235</v>
      </c>
      <c r="C16" s="198"/>
      <c r="D16" s="196">
        <v>0.23</v>
      </c>
      <c r="E16" s="196"/>
      <c r="F16" s="196"/>
      <c r="G16" s="196"/>
      <c r="H16" s="196"/>
      <c r="I16" s="196"/>
      <c r="J16" s="196"/>
      <c r="K16" s="196"/>
      <c r="L16" s="200">
        <v>16</v>
      </c>
      <c r="M16" s="200">
        <v>3</v>
      </c>
      <c r="N16" s="200">
        <v>18</v>
      </c>
    </row>
    <row r="17" spans="1:17" x14ac:dyDescent="0.25">
      <c r="A17" s="197" t="s">
        <v>71</v>
      </c>
      <c r="B17" s="198" t="s">
        <v>72</v>
      </c>
      <c r="C17" s="198">
        <v>2</v>
      </c>
      <c r="D17" s="196">
        <v>3390</v>
      </c>
      <c r="E17" s="196">
        <v>1.524</v>
      </c>
      <c r="F17" s="196">
        <v>9.2999999999999999E-2</v>
      </c>
      <c r="G17" s="196">
        <v>1.85</v>
      </c>
      <c r="H17" s="196">
        <v>286.5</v>
      </c>
      <c r="I17" s="196">
        <v>49.579000000000001</v>
      </c>
      <c r="J17" s="196">
        <v>19.411999999999999</v>
      </c>
      <c r="K17" s="196">
        <v>3.9340000000000002</v>
      </c>
      <c r="L17" s="200">
        <v>17</v>
      </c>
      <c r="M17" s="200">
        <v>1</v>
      </c>
      <c r="N17" s="200">
        <v>1</v>
      </c>
      <c r="O17" s="194" t="s">
        <v>72</v>
      </c>
      <c r="P17" s="194" t="s">
        <v>9602</v>
      </c>
      <c r="Q17" s="200" t="s">
        <v>8052</v>
      </c>
    </row>
    <row r="18" spans="1:17" x14ac:dyDescent="0.25">
      <c r="A18" s="198" t="s">
        <v>32</v>
      </c>
      <c r="B18" s="198" t="s">
        <v>79</v>
      </c>
      <c r="C18" s="198"/>
      <c r="D18" s="196">
        <v>11</v>
      </c>
      <c r="E18" s="196"/>
      <c r="F18" s="196">
        <v>1.4999999999999999E-2</v>
      </c>
      <c r="G18" s="196">
        <v>26.04</v>
      </c>
      <c r="H18" s="196"/>
      <c r="I18" s="196"/>
      <c r="J18" s="196"/>
      <c r="K18" s="196">
        <v>1.861</v>
      </c>
      <c r="L18" s="200">
        <v>18</v>
      </c>
      <c r="M18" s="200">
        <v>1</v>
      </c>
      <c r="N18" s="200">
        <v>19</v>
      </c>
    </row>
    <row r="19" spans="1:17" x14ac:dyDescent="0.25">
      <c r="A19" s="198" t="s">
        <v>32</v>
      </c>
      <c r="B19" s="198" t="s">
        <v>83</v>
      </c>
      <c r="C19" s="198"/>
      <c r="D19" s="196">
        <v>6</v>
      </c>
      <c r="E19" s="196"/>
      <c r="F19" s="196">
        <v>0</v>
      </c>
      <c r="G19" s="196">
        <v>27.58</v>
      </c>
      <c r="H19" s="196"/>
      <c r="I19" s="196"/>
      <c r="J19" s="196"/>
      <c r="K19" s="196">
        <v>1.4650000000000001</v>
      </c>
      <c r="L19" s="200">
        <v>19</v>
      </c>
      <c r="M19" s="200">
        <v>1</v>
      </c>
      <c r="N19" s="200">
        <v>19</v>
      </c>
    </row>
    <row r="20" spans="1:17" x14ac:dyDescent="0.25">
      <c r="A20" s="198" t="s">
        <v>1485</v>
      </c>
      <c r="B20" s="198" t="s">
        <v>8450</v>
      </c>
      <c r="C20" s="198">
        <v>0</v>
      </c>
      <c r="D20" s="196">
        <v>0.4</v>
      </c>
      <c r="E20" s="196">
        <v>1.524</v>
      </c>
      <c r="F20" s="196">
        <v>0.54</v>
      </c>
      <c r="G20" s="196">
        <v>18.62</v>
      </c>
      <c r="H20" s="196">
        <v>176.94900000000001</v>
      </c>
      <c r="I20" s="196">
        <v>282.495</v>
      </c>
      <c r="J20" s="196">
        <v>29.477</v>
      </c>
      <c r="K20" s="196"/>
      <c r="L20" s="200">
        <v>20</v>
      </c>
      <c r="M20" s="200">
        <v>2</v>
      </c>
      <c r="N20" s="200">
        <v>13</v>
      </c>
    </row>
    <row r="21" spans="1:17" x14ac:dyDescent="0.25">
      <c r="A21" s="198" t="s">
        <v>1485</v>
      </c>
      <c r="B21" s="198" t="s">
        <v>8451</v>
      </c>
      <c r="C21" s="198">
        <v>0</v>
      </c>
      <c r="D21" s="196">
        <v>0.28100000000000003</v>
      </c>
      <c r="E21" s="196">
        <v>1.524</v>
      </c>
      <c r="F21" s="196">
        <v>3.5000000000000003E-2</v>
      </c>
      <c r="G21" s="196">
        <v>24.402000000000001</v>
      </c>
      <c r="H21" s="196">
        <v>17.548999999999999</v>
      </c>
      <c r="I21" s="196">
        <v>147.422</v>
      </c>
      <c r="J21" s="196">
        <v>322.37099999999998</v>
      </c>
      <c r="K21" s="196"/>
      <c r="L21" s="200">
        <v>21</v>
      </c>
      <c r="M21" s="200">
        <v>2</v>
      </c>
      <c r="N21" s="200">
        <v>13</v>
      </c>
    </row>
    <row r="22" spans="1:17" x14ac:dyDescent="0.25">
      <c r="A22" s="198" t="s">
        <v>1485</v>
      </c>
      <c r="B22" s="198" t="s">
        <v>8452</v>
      </c>
      <c r="C22" s="198">
        <v>0</v>
      </c>
      <c r="D22" s="196">
        <v>0.60499999999999998</v>
      </c>
      <c r="E22" s="196">
        <v>1.524</v>
      </c>
      <c r="F22" s="196">
        <v>0.1</v>
      </c>
      <c r="G22" s="196">
        <v>31.295999999999999</v>
      </c>
      <c r="H22" s="196">
        <v>310.56599999999997</v>
      </c>
      <c r="I22" s="196">
        <v>221.31800000000001</v>
      </c>
      <c r="J22" s="196">
        <v>301.39499999999998</v>
      </c>
      <c r="K22" s="196"/>
      <c r="L22" s="200">
        <v>22</v>
      </c>
      <c r="M22" s="200">
        <v>2</v>
      </c>
      <c r="N22" s="200">
        <v>13</v>
      </c>
    </row>
    <row r="23" spans="1:17" x14ac:dyDescent="0.25">
      <c r="A23" s="198" t="s">
        <v>1485</v>
      </c>
      <c r="B23" s="198" t="s">
        <v>8453</v>
      </c>
      <c r="C23" s="198">
        <v>0</v>
      </c>
      <c r="D23" s="196">
        <v>1</v>
      </c>
      <c r="E23" s="196">
        <v>1.524</v>
      </c>
      <c r="F23" s="196">
        <v>3.9E-2</v>
      </c>
      <c r="G23" s="196">
        <v>16.75</v>
      </c>
      <c r="H23" s="196">
        <v>48.357999999999997</v>
      </c>
      <c r="I23" s="196">
        <v>347.37700000000001</v>
      </c>
      <c r="J23" s="196">
        <v>229.928</v>
      </c>
      <c r="K23" s="196"/>
      <c r="L23" s="200">
        <v>23</v>
      </c>
      <c r="M23" s="200">
        <v>2</v>
      </c>
      <c r="N23" s="200">
        <v>13</v>
      </c>
    </row>
    <row r="24" spans="1:17" x14ac:dyDescent="0.25">
      <c r="A24" s="198" t="s">
        <v>17</v>
      </c>
      <c r="B24" s="198" t="s">
        <v>88</v>
      </c>
      <c r="C24" s="198">
        <v>1</v>
      </c>
      <c r="D24" s="196">
        <v>0.76500000000000001</v>
      </c>
      <c r="E24" s="196">
        <v>1.6439999999999999</v>
      </c>
      <c r="F24" s="196">
        <v>0.38400000000000001</v>
      </c>
      <c r="G24" s="196">
        <v>3.4079999999999999</v>
      </c>
      <c r="H24" s="196">
        <v>319.32</v>
      </c>
      <c r="I24" s="196">
        <v>73.195999999999998</v>
      </c>
      <c r="J24" s="196">
        <v>232.01</v>
      </c>
      <c r="K24" s="196">
        <v>2.4</v>
      </c>
      <c r="L24" s="200">
        <v>24</v>
      </c>
      <c r="M24" s="200">
        <v>1</v>
      </c>
      <c r="N24" s="200">
        <v>10</v>
      </c>
    </row>
    <row r="25" spans="1:17" x14ac:dyDescent="0.25">
      <c r="A25" s="198" t="s">
        <v>32</v>
      </c>
      <c r="B25" s="198" t="s">
        <v>95</v>
      </c>
      <c r="C25" s="198"/>
      <c r="D25" s="196">
        <v>0.151</v>
      </c>
      <c r="E25" s="196"/>
      <c r="F25" s="196">
        <v>2.5000000000000001E-2</v>
      </c>
      <c r="G25" s="196">
        <v>169.3</v>
      </c>
      <c r="H25" s="196"/>
      <c r="I25" s="196"/>
      <c r="J25" s="196"/>
      <c r="K25" s="196">
        <v>1.5249999999999999</v>
      </c>
      <c r="L25" s="200">
        <v>25</v>
      </c>
      <c r="M25" s="200">
        <v>1</v>
      </c>
      <c r="N25" s="200">
        <v>17</v>
      </c>
    </row>
    <row r="26" spans="1:17" x14ac:dyDescent="0.25">
      <c r="A26" s="198" t="s">
        <v>108</v>
      </c>
      <c r="B26" s="198" t="s">
        <v>98</v>
      </c>
      <c r="C26" s="198">
        <v>0</v>
      </c>
      <c r="D26" s="196">
        <v>73</v>
      </c>
      <c r="E26" s="196">
        <v>2.2000000000000002</v>
      </c>
      <c r="F26" s="196">
        <v>0.157</v>
      </c>
      <c r="G26" s="196">
        <v>5.89</v>
      </c>
      <c r="H26" s="196">
        <v>285.39999999999998</v>
      </c>
      <c r="I26" s="196">
        <v>110.85</v>
      </c>
      <c r="J26" s="196">
        <v>78.2</v>
      </c>
      <c r="K26" s="196">
        <v>2.72</v>
      </c>
      <c r="L26" s="200">
        <v>26</v>
      </c>
      <c r="M26" s="200">
        <v>1</v>
      </c>
      <c r="N26" s="200">
        <v>5</v>
      </c>
    </row>
    <row r="27" spans="1:17" x14ac:dyDescent="0.25">
      <c r="A27" s="198" t="s">
        <v>108</v>
      </c>
      <c r="B27" s="198" t="s">
        <v>3237</v>
      </c>
      <c r="C27" s="198">
        <v>0</v>
      </c>
      <c r="D27" s="196">
        <v>6</v>
      </c>
      <c r="E27" s="196">
        <v>2.21</v>
      </c>
      <c r="F27" s="196">
        <v>0.17299999999999999</v>
      </c>
      <c r="G27" s="196">
        <v>4.1059999999999999</v>
      </c>
      <c r="H27" s="196">
        <v>129.94</v>
      </c>
      <c r="I27" s="196">
        <v>253.06</v>
      </c>
      <c r="J27" s="196">
        <v>232.83</v>
      </c>
      <c r="K27" s="196">
        <v>2.7</v>
      </c>
      <c r="L27" s="200">
        <v>27</v>
      </c>
      <c r="M27" s="200">
        <v>1</v>
      </c>
      <c r="N27" s="200">
        <v>5</v>
      </c>
    </row>
    <row r="28" spans="1:17" x14ac:dyDescent="0.25">
      <c r="A28" s="198" t="s">
        <v>108</v>
      </c>
      <c r="B28" s="198" t="s">
        <v>106</v>
      </c>
      <c r="C28" s="198">
        <v>0</v>
      </c>
      <c r="D28" s="196">
        <v>56</v>
      </c>
      <c r="E28" s="196">
        <v>2.2679999999999998</v>
      </c>
      <c r="F28" s="196">
        <v>4.5999999999999999E-2</v>
      </c>
      <c r="G28" s="196">
        <v>4.2560000000000002</v>
      </c>
      <c r="H28" s="196">
        <v>268.988</v>
      </c>
      <c r="I28" s="196">
        <v>94.287000000000006</v>
      </c>
      <c r="J28" s="196">
        <v>249.12</v>
      </c>
      <c r="K28" s="196">
        <v>2.867</v>
      </c>
      <c r="L28" s="200">
        <v>28</v>
      </c>
      <c r="M28" s="200">
        <v>1</v>
      </c>
      <c r="N28" s="200">
        <v>5</v>
      </c>
    </row>
    <row r="29" spans="1:17" x14ac:dyDescent="0.25">
      <c r="A29" s="198" t="s">
        <v>108</v>
      </c>
      <c r="B29" s="198" t="s">
        <v>114</v>
      </c>
      <c r="C29" s="198">
        <v>0</v>
      </c>
      <c r="D29" s="196">
        <v>71</v>
      </c>
      <c r="E29" s="196">
        <v>2.2949999999999999</v>
      </c>
      <c r="F29" s="196">
        <v>0.218</v>
      </c>
      <c r="G29" s="196">
        <v>10.132</v>
      </c>
      <c r="H29" s="196">
        <v>228.05</v>
      </c>
      <c r="I29" s="196">
        <v>150.34</v>
      </c>
      <c r="J29" s="196">
        <v>113.871</v>
      </c>
      <c r="K29" s="196">
        <v>2.375</v>
      </c>
      <c r="L29" s="200">
        <v>29</v>
      </c>
      <c r="M29" s="200">
        <v>1</v>
      </c>
      <c r="N29" s="200">
        <v>5</v>
      </c>
    </row>
    <row r="30" spans="1:17" x14ac:dyDescent="0.25">
      <c r="A30" s="198" t="s">
        <v>108</v>
      </c>
      <c r="B30" s="198" t="s">
        <v>121</v>
      </c>
      <c r="C30" s="198">
        <v>0</v>
      </c>
      <c r="D30" s="196">
        <v>64</v>
      </c>
      <c r="E30" s="196">
        <v>2.2970000000000002</v>
      </c>
      <c r="F30" s="196">
        <v>0.23200000000000001</v>
      </c>
      <c r="G30" s="196">
        <v>18.125</v>
      </c>
      <c r="H30" s="196">
        <v>214.00800000000001</v>
      </c>
      <c r="I30" s="196">
        <v>278.45999999999998</v>
      </c>
      <c r="J30" s="196">
        <v>51.905000000000001</v>
      </c>
      <c r="K30" s="196">
        <v>1.23</v>
      </c>
      <c r="L30" s="200">
        <v>30</v>
      </c>
      <c r="M30" s="200">
        <v>1</v>
      </c>
      <c r="N30" s="200">
        <v>5</v>
      </c>
    </row>
    <row r="31" spans="1:17" x14ac:dyDescent="0.25">
      <c r="A31" s="198" t="s">
        <v>108</v>
      </c>
      <c r="B31" s="198" t="s">
        <v>128</v>
      </c>
      <c r="C31" s="198">
        <v>0</v>
      </c>
      <c r="D31" s="196">
        <v>58</v>
      </c>
      <c r="E31" s="196">
        <v>2.33</v>
      </c>
      <c r="F31" s="196">
        <v>0.22</v>
      </c>
      <c r="G31" s="196">
        <v>8.3740000000000006</v>
      </c>
      <c r="H31" s="196">
        <v>69.55</v>
      </c>
      <c r="I31" s="196">
        <v>235.36</v>
      </c>
      <c r="J31" s="196">
        <v>326.39999999999998</v>
      </c>
      <c r="K31" s="196">
        <v>2.9249999999999998</v>
      </c>
      <c r="L31" s="200">
        <v>31</v>
      </c>
      <c r="M31" s="200">
        <v>1</v>
      </c>
      <c r="N31" s="200">
        <v>5</v>
      </c>
    </row>
    <row r="32" spans="1:17" x14ac:dyDescent="0.25">
      <c r="A32" s="197" t="s">
        <v>135</v>
      </c>
      <c r="B32" s="198" t="s">
        <v>136</v>
      </c>
      <c r="C32" s="198">
        <v>0</v>
      </c>
      <c r="D32" s="196">
        <v>263</v>
      </c>
      <c r="E32" s="196">
        <v>2.36</v>
      </c>
      <c r="F32" s="196">
        <v>8.8999999999999996E-2</v>
      </c>
      <c r="G32" s="196">
        <v>7.1420000000000003</v>
      </c>
      <c r="H32" s="196">
        <v>151.66</v>
      </c>
      <c r="I32" s="196">
        <v>103.71</v>
      </c>
      <c r="J32" s="196">
        <v>169.4</v>
      </c>
      <c r="K32" s="196">
        <v>3.4649999999999999</v>
      </c>
      <c r="L32" s="200">
        <v>32</v>
      </c>
      <c r="M32" s="200">
        <v>1</v>
      </c>
      <c r="N32" s="200">
        <v>5</v>
      </c>
      <c r="O32" s="194" t="s">
        <v>136</v>
      </c>
      <c r="P32" s="194" t="s">
        <v>9601</v>
      </c>
      <c r="Q32" s="200" t="s">
        <v>8054</v>
      </c>
    </row>
    <row r="33" spans="1:14" x14ac:dyDescent="0.25">
      <c r="A33" s="198" t="s">
        <v>108</v>
      </c>
      <c r="B33" s="198" t="s">
        <v>143</v>
      </c>
      <c r="C33" s="198">
        <v>0</v>
      </c>
      <c r="D33" s="196">
        <v>75</v>
      </c>
      <c r="E33" s="196">
        <v>2.3650000000000002</v>
      </c>
      <c r="F33" s="196">
        <v>6.6000000000000003E-2</v>
      </c>
      <c r="G33" s="196">
        <v>9.9719999999999995</v>
      </c>
      <c r="H33" s="196">
        <v>2.82</v>
      </c>
      <c r="I33" s="196">
        <v>176.16800000000001</v>
      </c>
      <c r="J33" s="196">
        <v>316.66800000000001</v>
      </c>
      <c r="K33" s="196">
        <v>1.8149999999999999</v>
      </c>
      <c r="L33" s="200">
        <v>33</v>
      </c>
      <c r="M33" s="200">
        <v>1</v>
      </c>
      <c r="N33" s="200">
        <v>5</v>
      </c>
    </row>
    <row r="34" spans="1:14" x14ac:dyDescent="0.25">
      <c r="A34" s="198" t="s">
        <v>108</v>
      </c>
      <c r="B34" s="198" t="s">
        <v>150</v>
      </c>
      <c r="C34" s="198">
        <v>0</v>
      </c>
      <c r="D34" s="196">
        <v>44</v>
      </c>
      <c r="E34" s="196">
        <v>2.367</v>
      </c>
      <c r="F34" s="196">
        <v>0.126</v>
      </c>
      <c r="G34" s="196">
        <v>2.097</v>
      </c>
      <c r="H34" s="196">
        <v>86.56</v>
      </c>
      <c r="I34" s="196">
        <v>307.82</v>
      </c>
      <c r="J34" s="196">
        <v>196.54900000000001</v>
      </c>
      <c r="K34" s="196">
        <v>3.81</v>
      </c>
      <c r="L34" s="200">
        <v>34</v>
      </c>
      <c r="M34" s="200">
        <v>1</v>
      </c>
      <c r="N34" s="200">
        <v>5</v>
      </c>
    </row>
    <row r="35" spans="1:14" x14ac:dyDescent="0.25">
      <c r="A35" s="198" t="s">
        <v>108</v>
      </c>
      <c r="B35" s="198" t="s">
        <v>157</v>
      </c>
      <c r="C35" s="198">
        <v>0</v>
      </c>
      <c r="D35" s="196">
        <v>59</v>
      </c>
      <c r="E35" s="196">
        <v>2.3820000000000001</v>
      </c>
      <c r="F35" s="196">
        <v>6.0999999999999999E-2</v>
      </c>
      <c r="G35" s="196">
        <v>9.4429999999999996</v>
      </c>
      <c r="H35" s="196">
        <v>139.1</v>
      </c>
      <c r="I35" s="196">
        <v>239.9</v>
      </c>
      <c r="J35" s="196">
        <v>116.2</v>
      </c>
      <c r="K35" s="196">
        <v>2.6949999999999998</v>
      </c>
      <c r="L35" s="200">
        <v>35</v>
      </c>
      <c r="M35" s="200">
        <v>1</v>
      </c>
      <c r="N35" s="200">
        <v>5</v>
      </c>
    </row>
    <row r="36" spans="1:14" x14ac:dyDescent="0.25">
      <c r="A36" s="198" t="s">
        <v>108</v>
      </c>
      <c r="B36" s="198" t="s">
        <v>164</v>
      </c>
      <c r="C36" s="198">
        <v>0</v>
      </c>
      <c r="D36" s="196">
        <v>100</v>
      </c>
      <c r="E36" s="196">
        <v>2.387</v>
      </c>
      <c r="F36" s="196">
        <v>0.23</v>
      </c>
      <c r="G36" s="196">
        <v>5.5190000000000001</v>
      </c>
      <c r="H36" s="196">
        <v>145.4</v>
      </c>
      <c r="I36" s="196">
        <v>259.5</v>
      </c>
      <c r="J36" s="196">
        <v>207.9</v>
      </c>
      <c r="K36" s="196">
        <v>2.98</v>
      </c>
      <c r="L36" s="200">
        <v>36</v>
      </c>
      <c r="M36" s="200">
        <v>1</v>
      </c>
      <c r="N36" s="200">
        <v>5</v>
      </c>
    </row>
    <row r="37" spans="1:14" x14ac:dyDescent="0.25">
      <c r="A37" s="198" t="s">
        <v>108</v>
      </c>
      <c r="B37" s="198" t="s">
        <v>171</v>
      </c>
      <c r="C37" s="198">
        <v>0</v>
      </c>
      <c r="D37" s="196">
        <v>87</v>
      </c>
      <c r="E37" s="196">
        <v>2.387</v>
      </c>
      <c r="F37" s="196">
        <v>0.123</v>
      </c>
      <c r="G37" s="196">
        <v>5.577</v>
      </c>
      <c r="H37" s="196">
        <v>5.75</v>
      </c>
      <c r="I37" s="196">
        <v>68.87</v>
      </c>
      <c r="J37" s="196">
        <v>345.43</v>
      </c>
      <c r="K37" s="196">
        <v>3.53</v>
      </c>
      <c r="L37" s="200">
        <v>37</v>
      </c>
      <c r="M37" s="200">
        <v>1</v>
      </c>
      <c r="N37" s="200">
        <v>5</v>
      </c>
    </row>
    <row r="38" spans="1:14" x14ac:dyDescent="0.25">
      <c r="A38" s="198" t="s">
        <v>108</v>
      </c>
      <c r="B38" s="198" t="s">
        <v>177</v>
      </c>
      <c r="C38" s="198">
        <v>0</v>
      </c>
      <c r="D38" s="196">
        <v>47</v>
      </c>
      <c r="E38" s="196">
        <v>2.395</v>
      </c>
      <c r="F38" s="196">
        <v>0.127</v>
      </c>
      <c r="G38" s="196">
        <v>5.7759999999999998</v>
      </c>
      <c r="H38" s="196">
        <v>295.77999999999997</v>
      </c>
      <c r="I38" s="196">
        <v>337.75</v>
      </c>
      <c r="J38" s="196">
        <v>340.16</v>
      </c>
      <c r="K38" s="196">
        <v>3.21</v>
      </c>
      <c r="L38" s="200">
        <v>38</v>
      </c>
      <c r="M38" s="200">
        <v>1</v>
      </c>
      <c r="N38" s="200">
        <v>5</v>
      </c>
    </row>
    <row r="39" spans="1:14" x14ac:dyDescent="0.25">
      <c r="A39" s="198" t="s">
        <v>108</v>
      </c>
      <c r="B39" s="198" t="s">
        <v>184</v>
      </c>
      <c r="C39" s="198">
        <v>0</v>
      </c>
      <c r="D39" s="196">
        <v>52</v>
      </c>
      <c r="E39" s="196">
        <v>2.403</v>
      </c>
      <c r="F39" s="196">
        <v>0.246</v>
      </c>
      <c r="G39" s="196">
        <v>6.8140000000000001</v>
      </c>
      <c r="H39" s="196">
        <v>30.067</v>
      </c>
      <c r="I39" s="196">
        <v>343.25</v>
      </c>
      <c r="J39" s="196">
        <v>94.341999999999999</v>
      </c>
      <c r="K39" s="196">
        <v>4.6399999999999997</v>
      </c>
      <c r="L39" s="200">
        <v>39</v>
      </c>
      <c r="M39" s="200">
        <v>1</v>
      </c>
      <c r="N39" s="200">
        <v>5</v>
      </c>
    </row>
    <row r="40" spans="1:14" x14ac:dyDescent="0.25">
      <c r="A40" s="198" t="s">
        <v>108</v>
      </c>
      <c r="B40" s="198" t="s">
        <v>191</v>
      </c>
      <c r="C40" s="198">
        <v>0</v>
      </c>
      <c r="D40" s="196">
        <v>73</v>
      </c>
      <c r="E40" s="196">
        <v>2.4089999999999998</v>
      </c>
      <c r="F40" s="196">
        <v>0.14199999999999999</v>
      </c>
      <c r="G40" s="196">
        <v>0.70899999999999996</v>
      </c>
      <c r="H40" s="196">
        <v>256.58</v>
      </c>
      <c r="I40" s="196">
        <v>206.11</v>
      </c>
      <c r="J40" s="196">
        <v>12.443</v>
      </c>
      <c r="K40" s="196">
        <v>3.54</v>
      </c>
      <c r="L40" s="200">
        <v>40</v>
      </c>
      <c r="M40" s="200">
        <v>1</v>
      </c>
      <c r="N40" s="200">
        <v>5</v>
      </c>
    </row>
    <row r="41" spans="1:14" x14ac:dyDescent="0.25">
      <c r="A41" s="198" t="s">
        <v>108</v>
      </c>
      <c r="B41" s="198" t="s">
        <v>197</v>
      </c>
      <c r="C41" s="198">
        <v>0</v>
      </c>
      <c r="D41" s="196">
        <v>98</v>
      </c>
      <c r="E41" s="196">
        <v>2.4300000000000002</v>
      </c>
      <c r="F41" s="196">
        <v>0.20300000000000001</v>
      </c>
      <c r="G41" s="196">
        <v>14.736000000000001</v>
      </c>
      <c r="H41" s="196">
        <v>239.59</v>
      </c>
      <c r="I41" s="196">
        <v>138.63</v>
      </c>
      <c r="J41" s="196">
        <v>144</v>
      </c>
      <c r="K41" s="196">
        <v>3.18</v>
      </c>
      <c r="L41" s="200">
        <v>41</v>
      </c>
      <c r="M41" s="200">
        <v>1</v>
      </c>
      <c r="N41" s="200">
        <v>5</v>
      </c>
    </row>
    <row r="42" spans="1:14" x14ac:dyDescent="0.25">
      <c r="A42" s="198" t="s">
        <v>108</v>
      </c>
      <c r="B42" s="198" t="s">
        <v>204</v>
      </c>
      <c r="C42" s="198">
        <v>0</v>
      </c>
      <c r="D42" s="196">
        <v>41</v>
      </c>
      <c r="E42" s="196">
        <v>2.4319999999999999</v>
      </c>
      <c r="F42" s="196">
        <v>8.2000000000000003E-2</v>
      </c>
      <c r="G42" s="196">
        <v>4.9660000000000002</v>
      </c>
      <c r="H42" s="196">
        <v>167.17</v>
      </c>
      <c r="I42" s="196">
        <v>27.8</v>
      </c>
      <c r="J42" s="196">
        <v>141.86199999999999</v>
      </c>
      <c r="K42" s="196"/>
      <c r="L42" s="200">
        <v>42</v>
      </c>
      <c r="M42" s="200">
        <v>1</v>
      </c>
      <c r="N42" s="200">
        <v>5</v>
      </c>
    </row>
    <row r="43" spans="1:14" x14ac:dyDescent="0.25">
      <c r="A43" s="198" t="s">
        <v>108</v>
      </c>
      <c r="B43" s="198" t="s">
        <v>211</v>
      </c>
      <c r="C43" s="198">
        <v>0</v>
      </c>
      <c r="D43" s="196">
        <v>49</v>
      </c>
      <c r="E43" s="196">
        <v>2.4350000000000001</v>
      </c>
      <c r="F43" s="196">
        <v>0.16300000000000001</v>
      </c>
      <c r="G43" s="196">
        <v>3.0640000000000001</v>
      </c>
      <c r="H43" s="196">
        <v>249.99700000000001</v>
      </c>
      <c r="I43" s="196">
        <v>80.867000000000004</v>
      </c>
      <c r="J43" s="196">
        <v>87.975999999999999</v>
      </c>
      <c r="K43" s="196">
        <v>3.4</v>
      </c>
      <c r="L43" s="200">
        <v>43</v>
      </c>
      <c r="M43" s="200">
        <v>1</v>
      </c>
      <c r="N43" s="200">
        <v>5</v>
      </c>
    </row>
    <row r="44" spans="1:14" x14ac:dyDescent="0.25">
      <c r="A44" s="198" t="s">
        <v>108</v>
      </c>
      <c r="B44" s="198" t="s">
        <v>218</v>
      </c>
      <c r="C44" s="198">
        <v>0</v>
      </c>
      <c r="D44" s="196">
        <v>106</v>
      </c>
      <c r="E44" s="196">
        <v>2.4409999999999998</v>
      </c>
      <c r="F44" s="196">
        <v>0.159</v>
      </c>
      <c r="G44" s="196">
        <v>1.573</v>
      </c>
      <c r="H44" s="196">
        <v>182.09100000000001</v>
      </c>
      <c r="I44" s="196">
        <v>211.37899999999999</v>
      </c>
      <c r="J44" s="196">
        <v>268.39800000000002</v>
      </c>
      <c r="K44" s="196">
        <v>2.25</v>
      </c>
      <c r="L44" s="200">
        <v>44</v>
      </c>
      <c r="M44" s="200">
        <v>1</v>
      </c>
      <c r="N44" s="200">
        <v>5</v>
      </c>
    </row>
    <row r="45" spans="1:14" x14ac:dyDescent="0.25">
      <c r="A45" s="198" t="s">
        <v>108</v>
      </c>
      <c r="B45" s="198" t="s">
        <v>225</v>
      </c>
      <c r="C45" s="198">
        <v>0</v>
      </c>
      <c r="D45" s="196">
        <v>51</v>
      </c>
      <c r="E45" s="196">
        <v>2.4420000000000002</v>
      </c>
      <c r="F45" s="196">
        <v>0.223</v>
      </c>
      <c r="G45" s="196">
        <v>8.5299999999999994</v>
      </c>
      <c r="H45" s="196">
        <v>236.626</v>
      </c>
      <c r="I45" s="196">
        <v>84.397999999999996</v>
      </c>
      <c r="J45" s="196">
        <v>121.874</v>
      </c>
      <c r="K45" s="196">
        <v>2.78</v>
      </c>
      <c r="L45" s="200">
        <v>45</v>
      </c>
      <c r="M45" s="200">
        <v>1</v>
      </c>
      <c r="N45" s="200">
        <v>5</v>
      </c>
    </row>
    <row r="46" spans="1:14" x14ac:dyDescent="0.25">
      <c r="A46" s="198" t="s">
        <v>108</v>
      </c>
      <c r="B46" s="198" t="s">
        <v>233</v>
      </c>
      <c r="C46" s="198">
        <v>0</v>
      </c>
      <c r="D46" s="196">
        <v>75</v>
      </c>
      <c r="E46" s="196">
        <v>2.4529999999999998</v>
      </c>
      <c r="F46" s="196">
        <v>9.9000000000000005E-2</v>
      </c>
      <c r="G46" s="196">
        <v>4.6319999999999997</v>
      </c>
      <c r="H46" s="196">
        <v>196.071</v>
      </c>
      <c r="I46" s="196">
        <v>125.506</v>
      </c>
      <c r="J46" s="196">
        <v>71.503</v>
      </c>
      <c r="K46" s="196">
        <v>3.24</v>
      </c>
      <c r="L46" s="200">
        <v>46</v>
      </c>
      <c r="M46" s="200">
        <v>1</v>
      </c>
      <c r="N46" s="200">
        <v>5</v>
      </c>
    </row>
    <row r="47" spans="1:14" x14ac:dyDescent="0.25">
      <c r="A47" s="198" t="s">
        <v>108</v>
      </c>
      <c r="B47" s="198" t="s">
        <v>239</v>
      </c>
      <c r="C47" s="198">
        <v>0</v>
      </c>
      <c r="D47" s="196">
        <v>62</v>
      </c>
      <c r="E47" s="196">
        <v>2.5259999999999998</v>
      </c>
      <c r="F47" s="196">
        <v>0.17199999999999999</v>
      </c>
      <c r="G47" s="196">
        <v>2.3420000000000001</v>
      </c>
      <c r="H47" s="196">
        <v>176.88200000000001</v>
      </c>
      <c r="I47" s="196">
        <v>181.16800000000001</v>
      </c>
      <c r="J47" s="196">
        <v>45.401000000000003</v>
      </c>
      <c r="K47" s="196">
        <v>5.81</v>
      </c>
      <c r="L47" s="200">
        <v>47</v>
      </c>
      <c r="M47" s="200">
        <v>1</v>
      </c>
      <c r="N47" s="200">
        <v>5</v>
      </c>
    </row>
    <row r="48" spans="1:14" x14ac:dyDescent="0.25">
      <c r="A48" s="198" t="s">
        <v>17</v>
      </c>
      <c r="B48" s="198" t="s">
        <v>3476</v>
      </c>
      <c r="C48" s="198">
        <v>0</v>
      </c>
      <c r="D48" s="196">
        <v>1</v>
      </c>
      <c r="E48" s="196">
        <v>2.532</v>
      </c>
      <c r="F48" s="196">
        <v>0.629</v>
      </c>
      <c r="G48" s="196">
        <v>0.44600000000000001</v>
      </c>
      <c r="H48" s="196">
        <v>278.75</v>
      </c>
      <c r="I48" s="196">
        <v>124.3</v>
      </c>
      <c r="J48" s="196">
        <v>5.1219999999999999</v>
      </c>
      <c r="K48" s="196">
        <v>2.5</v>
      </c>
      <c r="L48" s="200">
        <v>48</v>
      </c>
      <c r="M48" s="200">
        <v>1</v>
      </c>
      <c r="N48" s="200">
        <v>10</v>
      </c>
    </row>
    <row r="49" spans="1:14" x14ac:dyDescent="0.25">
      <c r="A49" s="198" t="s">
        <v>108</v>
      </c>
      <c r="B49" s="198" t="s">
        <v>246</v>
      </c>
      <c r="C49" s="198">
        <v>0</v>
      </c>
      <c r="D49" s="196">
        <v>70</v>
      </c>
      <c r="E49" s="196">
        <v>2.5499999999999998</v>
      </c>
      <c r="F49" s="196">
        <v>0.184</v>
      </c>
      <c r="G49" s="196">
        <v>16.128</v>
      </c>
      <c r="H49" s="196">
        <v>45.460999999999999</v>
      </c>
      <c r="I49" s="196">
        <v>311.56299999999999</v>
      </c>
      <c r="J49" s="196">
        <v>255.36699999999999</v>
      </c>
      <c r="K49" s="196">
        <v>3.3340000000000001</v>
      </c>
      <c r="L49" s="200">
        <v>49</v>
      </c>
      <c r="M49" s="200">
        <v>1</v>
      </c>
      <c r="N49" s="200">
        <v>5</v>
      </c>
    </row>
    <row r="50" spans="1:14" x14ac:dyDescent="0.25">
      <c r="A50" s="198" t="s">
        <v>108</v>
      </c>
      <c r="B50" s="198" t="s">
        <v>253</v>
      </c>
      <c r="C50" s="198">
        <v>0</v>
      </c>
      <c r="D50" s="196">
        <v>55</v>
      </c>
      <c r="E50" s="196">
        <v>2.552</v>
      </c>
      <c r="F50" s="196">
        <v>0.151</v>
      </c>
      <c r="G50" s="196">
        <v>15.6</v>
      </c>
      <c r="H50" s="196">
        <v>302.26</v>
      </c>
      <c r="I50" s="196">
        <v>78.849000000000004</v>
      </c>
      <c r="J50" s="196">
        <v>293.41000000000003</v>
      </c>
      <c r="K50" s="196">
        <v>5.05</v>
      </c>
      <c r="L50" s="200">
        <v>50</v>
      </c>
      <c r="M50" s="200">
        <v>1</v>
      </c>
      <c r="N50" s="200">
        <v>5</v>
      </c>
    </row>
    <row r="51" spans="1:14" x14ac:dyDescent="0.25">
      <c r="A51" s="198" t="s">
        <v>108</v>
      </c>
      <c r="B51" s="198" t="s">
        <v>260</v>
      </c>
      <c r="C51" s="198">
        <v>0</v>
      </c>
      <c r="D51" s="196">
        <v>102</v>
      </c>
      <c r="E51" s="196">
        <v>2.5539999999999998</v>
      </c>
      <c r="F51" s="196">
        <v>7.3999999999999996E-2</v>
      </c>
      <c r="G51" s="196">
        <v>6.077</v>
      </c>
      <c r="H51" s="196">
        <v>62.01</v>
      </c>
      <c r="I51" s="196">
        <v>356.26</v>
      </c>
      <c r="J51" s="196">
        <v>48.4</v>
      </c>
      <c r="K51" s="196">
        <v>2.61</v>
      </c>
      <c r="L51" s="200">
        <v>51</v>
      </c>
      <c r="M51" s="200">
        <v>1</v>
      </c>
      <c r="N51" s="200">
        <v>5</v>
      </c>
    </row>
    <row r="52" spans="1:14" x14ac:dyDescent="0.25">
      <c r="A52" s="198" t="s">
        <v>108</v>
      </c>
      <c r="B52" s="198" t="s">
        <v>267</v>
      </c>
      <c r="C52" s="198">
        <v>0</v>
      </c>
      <c r="D52" s="196">
        <v>55</v>
      </c>
      <c r="E52" s="196">
        <v>2.5630000000000002</v>
      </c>
      <c r="F52" s="196">
        <v>0.11700000000000001</v>
      </c>
      <c r="G52" s="196">
        <v>11.602</v>
      </c>
      <c r="H52" s="196">
        <v>84.715999999999994</v>
      </c>
      <c r="I52" s="196">
        <v>345.98599999999999</v>
      </c>
      <c r="J52" s="196">
        <v>229.88499999999999</v>
      </c>
      <c r="K52" s="196">
        <v>1.7130000000000001</v>
      </c>
      <c r="L52" s="200">
        <v>52</v>
      </c>
      <c r="M52" s="200">
        <v>1</v>
      </c>
      <c r="N52" s="200">
        <v>5</v>
      </c>
    </row>
    <row r="53" spans="1:14" x14ac:dyDescent="0.25">
      <c r="A53" s="198" t="s">
        <v>108</v>
      </c>
      <c r="B53" s="198" t="s">
        <v>273</v>
      </c>
      <c r="C53" s="198">
        <v>0</v>
      </c>
      <c r="D53" s="196">
        <v>63</v>
      </c>
      <c r="E53" s="196">
        <v>2.5739999999999998</v>
      </c>
      <c r="F53" s="196">
        <v>0.191</v>
      </c>
      <c r="G53" s="196">
        <v>5.3680000000000003</v>
      </c>
      <c r="H53" s="196">
        <v>358.75</v>
      </c>
      <c r="I53" s="196">
        <v>141.58000000000001</v>
      </c>
      <c r="J53" s="196">
        <v>186.83</v>
      </c>
      <c r="K53" s="196">
        <v>3.5009999999999999</v>
      </c>
      <c r="L53" s="200">
        <v>53</v>
      </c>
      <c r="M53" s="200">
        <v>1</v>
      </c>
      <c r="N53" s="200">
        <v>5</v>
      </c>
    </row>
    <row r="54" spans="1:14" x14ac:dyDescent="0.25">
      <c r="A54" s="198" t="s">
        <v>108</v>
      </c>
      <c r="B54" s="198" t="s">
        <v>280</v>
      </c>
      <c r="C54" s="198">
        <v>0</v>
      </c>
      <c r="D54" s="196">
        <v>64</v>
      </c>
      <c r="E54" s="196">
        <v>2.5739999999999998</v>
      </c>
      <c r="F54" s="196">
        <v>0.187</v>
      </c>
      <c r="G54" s="196">
        <v>12.765000000000001</v>
      </c>
      <c r="H54" s="196">
        <v>181.66300000000001</v>
      </c>
      <c r="I54" s="196">
        <v>230.828</v>
      </c>
      <c r="J54" s="196">
        <v>218.92699999999999</v>
      </c>
      <c r="K54" s="196"/>
      <c r="L54" s="200">
        <v>54</v>
      </c>
      <c r="M54" s="200">
        <v>1</v>
      </c>
      <c r="N54" s="200">
        <v>5</v>
      </c>
    </row>
    <row r="55" spans="1:14" x14ac:dyDescent="0.25">
      <c r="A55" s="198" t="s">
        <v>108</v>
      </c>
      <c r="B55" s="198" t="s">
        <v>285</v>
      </c>
      <c r="C55" s="198">
        <v>0</v>
      </c>
      <c r="D55" s="196">
        <v>84</v>
      </c>
      <c r="E55" s="196">
        <v>2.5750000000000002</v>
      </c>
      <c r="F55" s="196">
        <v>7.2999999999999995E-2</v>
      </c>
      <c r="G55" s="196">
        <v>11.262</v>
      </c>
      <c r="H55" s="196">
        <v>353.72</v>
      </c>
      <c r="I55" s="196">
        <v>242.19</v>
      </c>
      <c r="J55" s="196">
        <v>260.36200000000002</v>
      </c>
      <c r="K55" s="196">
        <v>4.0999999999999996</v>
      </c>
      <c r="L55" s="200">
        <v>55</v>
      </c>
      <c r="M55" s="200">
        <v>1</v>
      </c>
      <c r="N55" s="200">
        <v>5</v>
      </c>
    </row>
    <row r="56" spans="1:14" x14ac:dyDescent="0.25">
      <c r="A56" s="198" t="s">
        <v>108</v>
      </c>
      <c r="B56" s="198" t="s">
        <v>292</v>
      </c>
      <c r="C56" s="198">
        <v>0</v>
      </c>
      <c r="D56" s="196">
        <v>101</v>
      </c>
      <c r="E56" s="196">
        <v>2.5779999999999998</v>
      </c>
      <c r="F56" s="196">
        <v>8.5000000000000006E-2</v>
      </c>
      <c r="G56" s="196">
        <v>16.532</v>
      </c>
      <c r="H56" s="196">
        <v>79.221999999999994</v>
      </c>
      <c r="I56" s="196">
        <v>43.207999999999998</v>
      </c>
      <c r="J56" s="196">
        <v>305.54700000000003</v>
      </c>
      <c r="K56" s="196">
        <v>2.7650000000000001</v>
      </c>
      <c r="L56" s="200">
        <v>56</v>
      </c>
      <c r="M56" s="200">
        <v>1</v>
      </c>
      <c r="N56" s="200">
        <v>5</v>
      </c>
    </row>
    <row r="57" spans="1:14" x14ac:dyDescent="0.25">
      <c r="A57" s="198" t="s">
        <v>108</v>
      </c>
      <c r="B57" s="198" t="s">
        <v>311</v>
      </c>
      <c r="C57" s="198">
        <v>0</v>
      </c>
      <c r="D57" s="196">
        <v>76</v>
      </c>
      <c r="E57" s="196">
        <v>2.585</v>
      </c>
      <c r="F57" s="196">
        <v>0.16800000000000001</v>
      </c>
      <c r="G57" s="196">
        <v>9.1059999999999999</v>
      </c>
      <c r="H57" s="196">
        <v>96.472999999999999</v>
      </c>
      <c r="I57" s="196">
        <v>86.492999999999995</v>
      </c>
      <c r="J57" s="196">
        <v>326.48899999999998</v>
      </c>
      <c r="K57" s="196">
        <v>3.1720000000000002</v>
      </c>
      <c r="L57" s="200">
        <v>57</v>
      </c>
      <c r="M57" s="200">
        <v>1</v>
      </c>
      <c r="N57" s="200">
        <v>5</v>
      </c>
    </row>
    <row r="58" spans="1:14" x14ac:dyDescent="0.25">
      <c r="A58" s="198" t="s">
        <v>108</v>
      </c>
      <c r="B58" s="198" t="s">
        <v>299</v>
      </c>
      <c r="C58" s="198">
        <v>0</v>
      </c>
      <c r="D58" s="196">
        <v>63</v>
      </c>
      <c r="E58" s="196">
        <v>2.5859999999999999</v>
      </c>
      <c r="F58" s="196">
        <v>0.24299999999999999</v>
      </c>
      <c r="G58" s="196">
        <v>11.936999999999999</v>
      </c>
      <c r="H58" s="196">
        <v>308.64999999999998</v>
      </c>
      <c r="I58" s="196">
        <v>255.19</v>
      </c>
      <c r="J58" s="196">
        <v>336.81</v>
      </c>
      <c r="K58" s="196">
        <v>1.44</v>
      </c>
      <c r="L58" s="200">
        <v>58</v>
      </c>
      <c r="M58" s="200">
        <v>1</v>
      </c>
      <c r="N58" s="200">
        <v>5</v>
      </c>
    </row>
    <row r="59" spans="1:14" x14ac:dyDescent="0.25">
      <c r="A59" s="198" t="s">
        <v>108</v>
      </c>
      <c r="B59" s="198" t="s">
        <v>305</v>
      </c>
      <c r="C59" s="198">
        <v>0</v>
      </c>
      <c r="D59" s="196">
        <v>55</v>
      </c>
      <c r="E59" s="196">
        <v>2.5910000000000002</v>
      </c>
      <c r="F59" s="196">
        <v>0.105</v>
      </c>
      <c r="G59" s="196">
        <v>2.109</v>
      </c>
      <c r="H59" s="196">
        <v>73.370999999999995</v>
      </c>
      <c r="I59" s="196">
        <v>10.805999999999999</v>
      </c>
      <c r="J59" s="196">
        <v>183.458</v>
      </c>
      <c r="K59" s="196"/>
      <c r="L59" s="200">
        <v>59</v>
      </c>
      <c r="M59" s="200">
        <v>1</v>
      </c>
      <c r="N59" s="200">
        <v>5</v>
      </c>
    </row>
    <row r="60" spans="1:14" x14ac:dyDescent="0.25">
      <c r="A60" s="198" t="s">
        <v>108</v>
      </c>
      <c r="B60" s="198" t="s">
        <v>318</v>
      </c>
      <c r="C60" s="198">
        <v>0</v>
      </c>
      <c r="D60" s="196">
        <v>72</v>
      </c>
      <c r="E60" s="196">
        <v>2.593</v>
      </c>
      <c r="F60" s="196">
        <v>0.10299999999999999</v>
      </c>
      <c r="G60" s="196">
        <v>4.9320000000000004</v>
      </c>
      <c r="H60" s="196">
        <v>166.42400000000001</v>
      </c>
      <c r="I60" s="196">
        <v>305.75700000000001</v>
      </c>
      <c r="J60" s="196">
        <v>190.607</v>
      </c>
      <c r="K60" s="196">
        <v>1.1499999999999999</v>
      </c>
      <c r="L60" s="200">
        <v>60</v>
      </c>
      <c r="M60" s="200">
        <v>1</v>
      </c>
      <c r="N60" s="200">
        <v>5</v>
      </c>
    </row>
    <row r="61" spans="1:14" x14ac:dyDescent="0.25">
      <c r="A61" s="198" t="s">
        <v>108</v>
      </c>
      <c r="B61" s="198" t="s">
        <v>325</v>
      </c>
      <c r="C61" s="198">
        <v>0</v>
      </c>
      <c r="D61" s="196">
        <v>57</v>
      </c>
      <c r="E61" s="196">
        <v>2.5950000000000002</v>
      </c>
      <c r="F61" s="196">
        <v>0.23799999999999999</v>
      </c>
      <c r="G61" s="196">
        <v>8.0719999999999992</v>
      </c>
      <c r="H61" s="196">
        <v>103.648</v>
      </c>
      <c r="I61" s="196">
        <v>193.47800000000001</v>
      </c>
      <c r="J61" s="196">
        <v>267.78100000000001</v>
      </c>
      <c r="K61" s="196">
        <v>6</v>
      </c>
      <c r="L61" s="200">
        <v>61</v>
      </c>
      <c r="M61" s="200">
        <v>1</v>
      </c>
      <c r="N61" s="200">
        <v>5</v>
      </c>
    </row>
    <row r="62" spans="1:14" x14ac:dyDescent="0.25">
      <c r="A62" s="198" t="s">
        <v>108</v>
      </c>
      <c r="B62" s="198" t="s">
        <v>332</v>
      </c>
      <c r="C62" s="198">
        <v>0</v>
      </c>
      <c r="D62" s="196">
        <v>63</v>
      </c>
      <c r="E62" s="196">
        <v>2.5979999999999999</v>
      </c>
      <c r="F62" s="196">
        <v>0.313</v>
      </c>
      <c r="G62" s="196">
        <v>18.344000000000001</v>
      </c>
      <c r="H62" s="196">
        <v>237.42400000000001</v>
      </c>
      <c r="I62" s="196">
        <v>48.048999999999999</v>
      </c>
      <c r="J62" s="196">
        <v>301.2</v>
      </c>
      <c r="K62" s="196">
        <v>1.454</v>
      </c>
      <c r="L62" s="200">
        <v>62</v>
      </c>
      <c r="M62" s="200">
        <v>1</v>
      </c>
      <c r="N62" s="200">
        <v>5</v>
      </c>
    </row>
    <row r="63" spans="1:14" x14ac:dyDescent="0.25">
      <c r="A63" s="198" t="s">
        <v>108</v>
      </c>
      <c r="B63" s="198" t="s">
        <v>338</v>
      </c>
      <c r="C63" s="198">
        <v>0</v>
      </c>
      <c r="D63" s="196">
        <v>74</v>
      </c>
      <c r="E63" s="196">
        <v>2.5979999999999999</v>
      </c>
      <c r="F63" s="196">
        <v>0.251</v>
      </c>
      <c r="G63" s="196">
        <v>3.9249999999999998</v>
      </c>
      <c r="H63" s="196">
        <v>44.326000000000001</v>
      </c>
      <c r="I63" s="196">
        <v>229.14</v>
      </c>
      <c r="J63" s="196">
        <v>297.81</v>
      </c>
      <c r="K63" s="196">
        <v>1.72</v>
      </c>
      <c r="L63" s="200">
        <v>63</v>
      </c>
      <c r="M63" s="200">
        <v>1</v>
      </c>
      <c r="N63" s="200">
        <v>5</v>
      </c>
    </row>
    <row r="64" spans="1:14" x14ac:dyDescent="0.25">
      <c r="A64" s="198" t="s">
        <v>108</v>
      </c>
      <c r="B64" s="198" t="s">
        <v>344</v>
      </c>
      <c r="C64" s="198">
        <v>0</v>
      </c>
      <c r="D64" s="196">
        <v>61</v>
      </c>
      <c r="E64" s="196">
        <v>2.6150000000000002</v>
      </c>
      <c r="F64" s="196">
        <v>0.182</v>
      </c>
      <c r="G64" s="196">
        <v>11.584</v>
      </c>
      <c r="H64" s="196">
        <v>256.01600000000002</v>
      </c>
      <c r="I64" s="196">
        <v>47.783000000000001</v>
      </c>
      <c r="J64" s="196">
        <v>264.19299999999998</v>
      </c>
      <c r="K64" s="196">
        <v>3.48</v>
      </c>
      <c r="L64" s="200">
        <v>64</v>
      </c>
      <c r="M64" s="200">
        <v>1</v>
      </c>
      <c r="N64" s="200">
        <v>5</v>
      </c>
    </row>
    <row r="65" spans="1:17" x14ac:dyDescent="0.25">
      <c r="A65" s="198" t="s">
        <v>108</v>
      </c>
      <c r="B65" s="198" t="s">
        <v>351</v>
      </c>
      <c r="C65" s="198">
        <v>0</v>
      </c>
      <c r="D65" s="196">
        <v>82</v>
      </c>
      <c r="E65" s="196">
        <v>2.6160000000000001</v>
      </c>
      <c r="F65" s="196">
        <v>0.23799999999999999</v>
      </c>
      <c r="G65" s="196">
        <v>18.509</v>
      </c>
      <c r="H65" s="196">
        <v>163.24</v>
      </c>
      <c r="I65" s="196">
        <v>159.32</v>
      </c>
      <c r="J65" s="196">
        <v>42.281999999999996</v>
      </c>
      <c r="K65" s="196">
        <v>1.03</v>
      </c>
      <c r="L65" s="200">
        <v>65</v>
      </c>
      <c r="M65" s="200">
        <v>1</v>
      </c>
      <c r="N65" s="200">
        <v>5</v>
      </c>
    </row>
    <row r="66" spans="1:17" x14ac:dyDescent="0.25">
      <c r="A66" s="198" t="s">
        <v>108</v>
      </c>
      <c r="B66" s="198" t="s">
        <v>358</v>
      </c>
      <c r="C66" s="198">
        <v>0</v>
      </c>
      <c r="D66" s="196">
        <v>62</v>
      </c>
      <c r="E66" s="196">
        <v>2.62</v>
      </c>
      <c r="F66" s="196">
        <v>0.20699999999999999</v>
      </c>
      <c r="G66" s="196">
        <v>8.6880000000000006</v>
      </c>
      <c r="H66" s="196">
        <v>151.423</v>
      </c>
      <c r="I66" s="196">
        <v>333.58199999999999</v>
      </c>
      <c r="J66" s="196">
        <v>353.80799999999999</v>
      </c>
      <c r="K66" s="196">
        <v>1.28</v>
      </c>
      <c r="L66" s="200">
        <v>66</v>
      </c>
      <c r="M66" s="200">
        <v>1</v>
      </c>
      <c r="N66" s="200">
        <v>5</v>
      </c>
    </row>
    <row r="67" spans="1:17" x14ac:dyDescent="0.25">
      <c r="A67" s="198" t="s">
        <v>108</v>
      </c>
      <c r="B67" s="198" t="s">
        <v>364</v>
      </c>
      <c r="C67" s="198">
        <v>0</v>
      </c>
      <c r="D67" s="196">
        <v>54</v>
      </c>
      <c r="E67" s="196">
        <v>2.6280000000000001</v>
      </c>
      <c r="F67" s="196">
        <v>0.23300000000000001</v>
      </c>
      <c r="G67" s="196">
        <v>10.145</v>
      </c>
      <c r="H67" s="196">
        <v>59.311</v>
      </c>
      <c r="I67" s="196">
        <v>67.227999999999994</v>
      </c>
      <c r="J67" s="196">
        <v>328.68700000000001</v>
      </c>
      <c r="K67" s="196">
        <v>3.07</v>
      </c>
      <c r="L67" s="200">
        <v>67</v>
      </c>
      <c r="M67" s="200">
        <v>1</v>
      </c>
      <c r="N67" s="200">
        <v>5</v>
      </c>
    </row>
    <row r="68" spans="1:17" x14ac:dyDescent="0.25">
      <c r="A68" s="198" t="s">
        <v>108</v>
      </c>
      <c r="B68" s="198" t="s">
        <v>371</v>
      </c>
      <c r="C68" s="198">
        <v>0</v>
      </c>
      <c r="D68" s="196">
        <v>52</v>
      </c>
      <c r="E68" s="196">
        <v>2.6339999999999999</v>
      </c>
      <c r="F68" s="196">
        <v>0.34599999999999997</v>
      </c>
      <c r="G68" s="196">
        <v>24.456</v>
      </c>
      <c r="H68" s="196">
        <v>283.95600000000002</v>
      </c>
      <c r="I68" s="196">
        <v>76.852000000000004</v>
      </c>
      <c r="J68" s="196">
        <v>219.547</v>
      </c>
      <c r="K68" s="196">
        <v>1.68</v>
      </c>
      <c r="L68" s="200">
        <v>68</v>
      </c>
      <c r="M68" s="200">
        <v>1</v>
      </c>
      <c r="N68" s="200">
        <v>5</v>
      </c>
    </row>
    <row r="69" spans="1:17" x14ac:dyDescent="0.25">
      <c r="A69" s="198" t="s">
        <v>108</v>
      </c>
      <c r="B69" s="198" t="s">
        <v>377</v>
      </c>
      <c r="C69" s="198">
        <v>0</v>
      </c>
      <c r="D69" s="196">
        <v>54</v>
      </c>
      <c r="E69" s="196">
        <v>2.6429999999999998</v>
      </c>
      <c r="F69" s="196">
        <v>0.17599999999999999</v>
      </c>
      <c r="G69" s="196">
        <v>3.0710000000000002</v>
      </c>
      <c r="H69" s="196">
        <v>62.326999999999998</v>
      </c>
      <c r="I69" s="196">
        <v>7.2670000000000003</v>
      </c>
      <c r="J69" s="196">
        <v>303.43599999999998</v>
      </c>
      <c r="K69" s="196">
        <v>2.9060000000000001</v>
      </c>
      <c r="L69" s="200">
        <v>69</v>
      </c>
      <c r="M69" s="200">
        <v>1</v>
      </c>
      <c r="N69" s="200">
        <v>5</v>
      </c>
    </row>
    <row r="70" spans="1:17" x14ac:dyDescent="0.25">
      <c r="A70" s="198" t="s">
        <v>108</v>
      </c>
      <c r="B70" s="198" t="s">
        <v>383</v>
      </c>
      <c r="C70" s="198">
        <v>0</v>
      </c>
      <c r="D70" s="196">
        <v>135</v>
      </c>
      <c r="E70" s="196">
        <v>2.6440000000000001</v>
      </c>
      <c r="F70" s="196">
        <v>0.186</v>
      </c>
      <c r="G70" s="196">
        <v>11.731999999999999</v>
      </c>
      <c r="H70" s="196">
        <v>97.576999999999998</v>
      </c>
      <c r="I70" s="196">
        <v>293.399</v>
      </c>
      <c r="J70" s="196">
        <v>148.82900000000001</v>
      </c>
      <c r="K70" s="196">
        <v>3.0350000000000001</v>
      </c>
      <c r="L70" s="200">
        <v>70</v>
      </c>
      <c r="M70" s="200">
        <v>1</v>
      </c>
      <c r="N70" s="200">
        <v>5</v>
      </c>
    </row>
    <row r="71" spans="1:17" x14ac:dyDescent="0.25">
      <c r="A71" s="198" t="s">
        <v>108</v>
      </c>
      <c r="B71" s="198" t="s">
        <v>390</v>
      </c>
      <c r="C71" s="198">
        <v>0</v>
      </c>
      <c r="D71" s="196">
        <v>26</v>
      </c>
      <c r="E71" s="196">
        <v>2.6480000000000001</v>
      </c>
      <c r="F71" s="196">
        <v>0.26500000000000001</v>
      </c>
      <c r="G71" s="196">
        <v>6.7430000000000003</v>
      </c>
      <c r="H71" s="196">
        <v>157.39599999999999</v>
      </c>
      <c r="I71" s="196">
        <v>179.589</v>
      </c>
      <c r="J71" s="196">
        <v>170.584</v>
      </c>
      <c r="K71" s="196">
        <v>1.3</v>
      </c>
      <c r="L71" s="200">
        <v>71</v>
      </c>
      <c r="M71" s="200">
        <v>1</v>
      </c>
      <c r="N71" s="200">
        <v>5</v>
      </c>
    </row>
    <row r="72" spans="1:17" x14ac:dyDescent="0.25">
      <c r="A72" s="198" t="s">
        <v>108</v>
      </c>
      <c r="B72" s="198" t="s">
        <v>397</v>
      </c>
      <c r="C72" s="198">
        <v>0</v>
      </c>
      <c r="D72" s="196">
        <v>58</v>
      </c>
      <c r="E72" s="196">
        <v>2.6509999999999998</v>
      </c>
      <c r="F72" s="196">
        <v>7.2999999999999995E-2</v>
      </c>
      <c r="G72" s="196">
        <v>10.923999999999999</v>
      </c>
      <c r="H72" s="196">
        <v>0.20300000000000001</v>
      </c>
      <c r="I72" s="196">
        <v>286.38200000000001</v>
      </c>
      <c r="J72" s="196">
        <v>277.35899999999998</v>
      </c>
      <c r="K72" s="196"/>
      <c r="L72" s="200">
        <v>72</v>
      </c>
      <c r="M72" s="200">
        <v>1</v>
      </c>
      <c r="N72" s="200">
        <v>5</v>
      </c>
    </row>
    <row r="73" spans="1:17" x14ac:dyDescent="0.25">
      <c r="A73" s="198" t="s">
        <v>108</v>
      </c>
      <c r="B73" s="198" t="s">
        <v>403</v>
      </c>
      <c r="C73" s="198">
        <v>0</v>
      </c>
      <c r="D73" s="196">
        <v>85</v>
      </c>
      <c r="E73" s="196">
        <v>2.653</v>
      </c>
      <c r="F73" s="196">
        <v>0.19400000000000001</v>
      </c>
      <c r="G73" s="196">
        <v>11.961</v>
      </c>
      <c r="H73" s="196">
        <v>123.11</v>
      </c>
      <c r="I73" s="196">
        <v>203.12</v>
      </c>
      <c r="J73" s="196">
        <v>83.677999999999997</v>
      </c>
      <c r="K73" s="196">
        <v>2.14</v>
      </c>
      <c r="L73" s="200">
        <v>73</v>
      </c>
      <c r="M73" s="200">
        <v>1</v>
      </c>
      <c r="N73" s="200">
        <v>5</v>
      </c>
    </row>
    <row r="74" spans="1:17" x14ac:dyDescent="0.25">
      <c r="A74" s="198" t="s">
        <v>108</v>
      </c>
      <c r="B74" s="198" t="s">
        <v>410</v>
      </c>
      <c r="C74" s="198">
        <v>0</v>
      </c>
      <c r="D74" s="196">
        <v>70</v>
      </c>
      <c r="E74" s="196">
        <v>2.657</v>
      </c>
      <c r="F74" s="196">
        <v>0.23400000000000001</v>
      </c>
      <c r="G74" s="196">
        <v>4.8120000000000003</v>
      </c>
      <c r="H74" s="196">
        <v>294.36</v>
      </c>
      <c r="I74" s="196">
        <v>76.203999999999994</v>
      </c>
      <c r="J74" s="196">
        <v>230.96</v>
      </c>
      <c r="K74" s="196">
        <v>2.99</v>
      </c>
      <c r="L74" s="200">
        <v>74</v>
      </c>
      <c r="M74" s="200">
        <v>1</v>
      </c>
      <c r="N74" s="200">
        <v>5</v>
      </c>
    </row>
    <row r="75" spans="1:17" x14ac:dyDescent="0.25">
      <c r="A75" s="198" t="s">
        <v>108</v>
      </c>
      <c r="B75" s="198" t="s">
        <v>416</v>
      </c>
      <c r="C75" s="198">
        <v>0</v>
      </c>
      <c r="D75" s="196">
        <v>51</v>
      </c>
      <c r="E75" s="196">
        <v>2.66</v>
      </c>
      <c r="F75" s="196">
        <v>0.1</v>
      </c>
      <c r="G75" s="196">
        <v>7.6829999999999998</v>
      </c>
      <c r="H75" s="196">
        <v>125.128</v>
      </c>
      <c r="I75" s="196">
        <v>222.017</v>
      </c>
      <c r="J75" s="196">
        <v>138.78899999999999</v>
      </c>
      <c r="K75" s="196"/>
      <c r="L75" s="200">
        <v>75</v>
      </c>
      <c r="M75" s="200">
        <v>1</v>
      </c>
      <c r="N75" s="200">
        <v>5</v>
      </c>
    </row>
    <row r="76" spans="1:17" x14ac:dyDescent="0.25">
      <c r="A76" s="198" t="s">
        <v>17</v>
      </c>
      <c r="B76" s="198" t="s">
        <v>3229</v>
      </c>
      <c r="C76" s="198">
        <v>0</v>
      </c>
      <c r="D76" s="196">
        <v>18</v>
      </c>
      <c r="E76" s="196">
        <v>2.6629999999999998</v>
      </c>
      <c r="F76" s="196">
        <v>0.53400000000000003</v>
      </c>
      <c r="G76" s="196">
        <v>26.693000000000001</v>
      </c>
      <c r="H76" s="196">
        <v>132.44999999999999</v>
      </c>
      <c r="I76" s="196">
        <v>215.55</v>
      </c>
      <c r="J76" s="196">
        <v>183.36</v>
      </c>
      <c r="K76" s="196"/>
      <c r="L76" s="200">
        <v>76</v>
      </c>
      <c r="M76" s="200">
        <v>1</v>
      </c>
      <c r="N76" s="200">
        <v>10</v>
      </c>
    </row>
    <row r="77" spans="1:17" x14ac:dyDescent="0.25">
      <c r="A77" s="198" t="s">
        <v>108</v>
      </c>
      <c r="B77" s="198" t="s">
        <v>422</v>
      </c>
      <c r="C77" s="198">
        <v>0</v>
      </c>
      <c r="D77" s="196">
        <v>65</v>
      </c>
      <c r="E77" s="196">
        <v>2.665</v>
      </c>
      <c r="F77" s="196">
        <v>0.215</v>
      </c>
      <c r="G77" s="196">
        <v>11.897</v>
      </c>
      <c r="H77" s="196">
        <v>58.107999999999997</v>
      </c>
      <c r="I77" s="196">
        <v>318.50400000000002</v>
      </c>
      <c r="J77" s="196">
        <v>292.47699999999998</v>
      </c>
      <c r="K77" s="196">
        <v>4.1749999999999998</v>
      </c>
      <c r="L77" s="200">
        <v>77</v>
      </c>
      <c r="M77" s="200">
        <v>1</v>
      </c>
      <c r="N77" s="200">
        <v>5</v>
      </c>
    </row>
    <row r="78" spans="1:17" x14ac:dyDescent="0.25">
      <c r="A78" s="197" t="s">
        <v>429</v>
      </c>
      <c r="B78" s="198" t="s">
        <v>430</v>
      </c>
      <c r="C78" s="198">
        <v>0</v>
      </c>
      <c r="D78" s="196">
        <v>127</v>
      </c>
      <c r="E78" s="196">
        <v>2.67</v>
      </c>
      <c r="F78" s="196">
        <v>0.25600000000000001</v>
      </c>
      <c r="G78" s="196">
        <v>12.991</v>
      </c>
      <c r="H78" s="196">
        <v>247.74</v>
      </c>
      <c r="I78" s="196">
        <v>169.84</v>
      </c>
      <c r="J78" s="196">
        <v>37.020000000000003</v>
      </c>
      <c r="K78" s="196">
        <v>3.1749999999999998</v>
      </c>
      <c r="L78" s="200">
        <v>78</v>
      </c>
      <c r="M78" s="200">
        <v>1</v>
      </c>
      <c r="N78" s="200">
        <v>5</v>
      </c>
      <c r="O78" s="194" t="s">
        <v>430</v>
      </c>
      <c r="P78" s="194" t="s">
        <v>9600</v>
      </c>
      <c r="Q78" s="200" t="s">
        <v>8054</v>
      </c>
    </row>
    <row r="79" spans="1:17" x14ac:dyDescent="0.25">
      <c r="A79" s="198" t="s">
        <v>108</v>
      </c>
      <c r="B79" s="198" t="s">
        <v>437</v>
      </c>
      <c r="C79" s="198">
        <v>0</v>
      </c>
      <c r="D79" s="196">
        <v>41</v>
      </c>
      <c r="E79" s="196">
        <v>2.6720000000000002</v>
      </c>
      <c r="F79" s="196">
        <v>0.255</v>
      </c>
      <c r="G79" s="196">
        <v>11.782999999999999</v>
      </c>
      <c r="H79" s="196">
        <v>268.68700000000001</v>
      </c>
      <c r="I79" s="196">
        <v>159.70500000000001</v>
      </c>
      <c r="J79" s="196">
        <v>85.016999999999996</v>
      </c>
      <c r="K79" s="196">
        <v>4.16</v>
      </c>
      <c r="L79" s="200">
        <v>79</v>
      </c>
      <c r="M79" s="200">
        <v>1</v>
      </c>
      <c r="N79" s="200">
        <v>5</v>
      </c>
    </row>
    <row r="80" spans="1:17" x14ac:dyDescent="0.25">
      <c r="A80" s="198" t="s">
        <v>108</v>
      </c>
      <c r="B80" s="198" t="s">
        <v>443</v>
      </c>
      <c r="C80" s="198">
        <v>0</v>
      </c>
      <c r="D80" s="196">
        <v>72</v>
      </c>
      <c r="E80" s="196">
        <v>2.6739999999999999</v>
      </c>
      <c r="F80" s="196">
        <v>0.14399999999999999</v>
      </c>
      <c r="G80" s="196">
        <v>12.634</v>
      </c>
      <c r="H80" s="196">
        <v>44.023000000000003</v>
      </c>
      <c r="I80" s="196">
        <v>77.421000000000006</v>
      </c>
      <c r="J80" s="196">
        <v>233.709</v>
      </c>
      <c r="K80" s="196">
        <v>1.35</v>
      </c>
      <c r="L80" s="200">
        <v>80</v>
      </c>
      <c r="M80" s="200">
        <v>1</v>
      </c>
      <c r="N80" s="200">
        <v>5</v>
      </c>
    </row>
    <row r="81" spans="1:14" x14ac:dyDescent="0.25">
      <c r="A81" s="198" t="s">
        <v>108</v>
      </c>
      <c r="B81" s="198" t="s">
        <v>449</v>
      </c>
      <c r="C81" s="198">
        <v>0</v>
      </c>
      <c r="D81" s="196">
        <v>114</v>
      </c>
      <c r="E81" s="196">
        <v>2.6819999999999999</v>
      </c>
      <c r="F81" s="196">
        <v>0.34</v>
      </c>
      <c r="G81" s="196">
        <v>11.101000000000001</v>
      </c>
      <c r="H81" s="196">
        <v>44.241</v>
      </c>
      <c r="I81" s="196">
        <v>327.88299999999998</v>
      </c>
      <c r="J81" s="196">
        <v>225.41900000000001</v>
      </c>
      <c r="K81" s="196">
        <v>1.595</v>
      </c>
      <c r="L81" s="200">
        <v>81</v>
      </c>
      <c r="M81" s="200">
        <v>1</v>
      </c>
      <c r="N81" s="200">
        <v>5</v>
      </c>
    </row>
    <row r="82" spans="1:14" x14ac:dyDescent="0.25">
      <c r="A82" s="198" t="s">
        <v>108</v>
      </c>
      <c r="B82" s="198" t="s">
        <v>456</v>
      </c>
      <c r="C82" s="198">
        <v>0</v>
      </c>
      <c r="D82" s="196">
        <v>58</v>
      </c>
      <c r="E82" s="196">
        <v>2.6829999999999998</v>
      </c>
      <c r="F82" s="196">
        <v>0.246</v>
      </c>
      <c r="G82" s="196">
        <v>9.8409999999999993</v>
      </c>
      <c r="H82" s="196">
        <v>337.15600000000001</v>
      </c>
      <c r="I82" s="196">
        <v>90.876000000000005</v>
      </c>
      <c r="J82" s="196">
        <v>219.54</v>
      </c>
      <c r="K82" s="196"/>
      <c r="L82" s="200">
        <v>82</v>
      </c>
      <c r="M82" s="200">
        <v>1</v>
      </c>
      <c r="N82" s="200">
        <v>5</v>
      </c>
    </row>
    <row r="83" spans="1:14" x14ac:dyDescent="0.25">
      <c r="A83" s="198" t="s">
        <v>108</v>
      </c>
      <c r="B83" s="198" t="s">
        <v>462</v>
      </c>
      <c r="C83" s="198">
        <v>0</v>
      </c>
      <c r="D83" s="196">
        <v>57</v>
      </c>
      <c r="E83" s="196">
        <v>2.6869999999999998</v>
      </c>
      <c r="F83" s="196">
        <v>0.105</v>
      </c>
      <c r="G83" s="196">
        <v>5.4980000000000002</v>
      </c>
      <c r="H83" s="196">
        <v>330.233</v>
      </c>
      <c r="I83" s="196">
        <v>184.44200000000001</v>
      </c>
      <c r="J83" s="196">
        <v>39.805</v>
      </c>
      <c r="K83" s="196">
        <v>4.83</v>
      </c>
      <c r="L83" s="200">
        <v>83</v>
      </c>
      <c r="M83" s="200">
        <v>1</v>
      </c>
      <c r="N83" s="200">
        <v>5</v>
      </c>
    </row>
    <row r="84" spans="1:14" x14ac:dyDescent="0.25">
      <c r="A84" s="198" t="s">
        <v>108</v>
      </c>
      <c r="B84" s="198" t="s">
        <v>468</v>
      </c>
      <c r="C84" s="198">
        <v>0</v>
      </c>
      <c r="D84" s="196">
        <v>53</v>
      </c>
      <c r="E84" s="196">
        <v>2.6880000000000002</v>
      </c>
      <c r="F84" s="196">
        <v>0.186</v>
      </c>
      <c r="G84" s="196">
        <v>15.577999999999999</v>
      </c>
      <c r="H84" s="196">
        <v>158.68600000000001</v>
      </c>
      <c r="I84" s="196">
        <v>354</v>
      </c>
      <c r="J84" s="196">
        <v>262.01900000000001</v>
      </c>
      <c r="K84" s="196">
        <v>1.42</v>
      </c>
      <c r="L84" s="200">
        <v>84</v>
      </c>
      <c r="M84" s="200">
        <v>1</v>
      </c>
      <c r="N84" s="200">
        <v>5</v>
      </c>
    </row>
    <row r="85" spans="1:14" x14ac:dyDescent="0.25">
      <c r="A85" s="198" t="s">
        <v>108</v>
      </c>
      <c r="B85" s="198" t="s">
        <v>475</v>
      </c>
      <c r="C85" s="198">
        <v>0</v>
      </c>
      <c r="D85" s="196">
        <v>47</v>
      </c>
      <c r="E85" s="196">
        <v>2.7010000000000001</v>
      </c>
      <c r="F85" s="196">
        <v>4.2999999999999997E-2</v>
      </c>
      <c r="G85" s="196">
        <v>5.0570000000000004</v>
      </c>
      <c r="H85" s="196">
        <v>34.465000000000003</v>
      </c>
      <c r="I85" s="196">
        <v>161.29</v>
      </c>
      <c r="J85" s="196">
        <v>15.122</v>
      </c>
      <c r="K85" s="196">
        <v>1.38</v>
      </c>
      <c r="L85" s="200">
        <v>85</v>
      </c>
      <c r="M85" s="200">
        <v>1</v>
      </c>
      <c r="N85" s="200">
        <v>5</v>
      </c>
    </row>
    <row r="86" spans="1:14" x14ac:dyDescent="0.25">
      <c r="A86" s="198" t="s">
        <v>108</v>
      </c>
      <c r="B86" s="198" t="s">
        <v>481</v>
      </c>
      <c r="C86" s="198">
        <v>0</v>
      </c>
      <c r="D86" s="196">
        <v>77</v>
      </c>
      <c r="E86" s="196">
        <v>2.7120000000000002</v>
      </c>
      <c r="F86" s="196">
        <v>0.19600000000000001</v>
      </c>
      <c r="G86" s="196">
        <v>11.804</v>
      </c>
      <c r="H86" s="196">
        <v>345.59399999999999</v>
      </c>
      <c r="I86" s="196">
        <v>313.44600000000003</v>
      </c>
      <c r="J86" s="196">
        <v>103.809</v>
      </c>
      <c r="K86" s="196">
        <v>3.5</v>
      </c>
      <c r="L86" s="200">
        <v>86</v>
      </c>
      <c r="M86" s="200">
        <v>1</v>
      </c>
      <c r="N86" s="200">
        <v>5</v>
      </c>
    </row>
    <row r="87" spans="1:14" x14ac:dyDescent="0.25">
      <c r="A87" s="198" t="s">
        <v>108</v>
      </c>
      <c r="B87" s="198" t="s">
        <v>488</v>
      </c>
      <c r="C87" s="198">
        <v>0</v>
      </c>
      <c r="D87" s="196">
        <v>82</v>
      </c>
      <c r="E87" s="196">
        <v>2.7149999999999999</v>
      </c>
      <c r="F87" s="196">
        <v>0.11700000000000001</v>
      </c>
      <c r="G87" s="196">
        <v>8.6310000000000002</v>
      </c>
      <c r="H87" s="196">
        <v>210.90100000000001</v>
      </c>
      <c r="I87" s="196">
        <v>170.209</v>
      </c>
      <c r="J87" s="196">
        <v>246.84800000000001</v>
      </c>
      <c r="K87" s="196">
        <v>1.3</v>
      </c>
      <c r="L87" s="200">
        <v>87</v>
      </c>
      <c r="M87" s="200">
        <v>1</v>
      </c>
      <c r="N87" s="200">
        <v>5</v>
      </c>
    </row>
    <row r="88" spans="1:14" x14ac:dyDescent="0.25">
      <c r="A88" s="198" t="s">
        <v>108</v>
      </c>
      <c r="B88" s="198" t="s">
        <v>494</v>
      </c>
      <c r="C88" s="198">
        <v>0</v>
      </c>
      <c r="D88" s="196">
        <v>66</v>
      </c>
      <c r="E88" s="196">
        <v>2.718</v>
      </c>
      <c r="F88" s="196">
        <v>6.7000000000000004E-2</v>
      </c>
      <c r="G88" s="196">
        <v>13.095000000000001</v>
      </c>
      <c r="H88" s="196">
        <v>146.982</v>
      </c>
      <c r="I88" s="196">
        <v>83.968999999999994</v>
      </c>
      <c r="J88" s="196">
        <v>198.102</v>
      </c>
      <c r="K88" s="196">
        <v>2</v>
      </c>
      <c r="L88" s="200">
        <v>88</v>
      </c>
      <c r="M88" s="200">
        <v>1</v>
      </c>
      <c r="N88" s="200">
        <v>5</v>
      </c>
    </row>
    <row r="89" spans="1:14" x14ac:dyDescent="0.25">
      <c r="A89" s="198" t="s">
        <v>108</v>
      </c>
      <c r="B89" s="198" t="s">
        <v>501</v>
      </c>
      <c r="C89" s="198">
        <v>2</v>
      </c>
      <c r="D89" s="196">
        <v>94</v>
      </c>
      <c r="E89" s="196">
        <v>2.72</v>
      </c>
      <c r="F89" s="196">
        <v>8.2000000000000003E-2</v>
      </c>
      <c r="G89" s="196">
        <v>6.61</v>
      </c>
      <c r="H89" s="196">
        <v>85.137</v>
      </c>
      <c r="I89" s="196">
        <v>147.93899999999999</v>
      </c>
      <c r="J89" s="196">
        <v>45.253999999999998</v>
      </c>
      <c r="K89" s="196">
        <v>1.2869999999999999</v>
      </c>
      <c r="L89" s="200">
        <v>89</v>
      </c>
      <c r="M89" s="200">
        <v>1</v>
      </c>
      <c r="N89" s="200">
        <v>5</v>
      </c>
    </row>
    <row r="90" spans="1:14" x14ac:dyDescent="0.25">
      <c r="A90" s="198" t="s">
        <v>32</v>
      </c>
      <c r="B90" s="198" t="s">
        <v>508</v>
      </c>
      <c r="C90" s="198"/>
      <c r="D90" s="196">
        <v>3</v>
      </c>
      <c r="E90" s="196"/>
      <c r="F90" s="196"/>
      <c r="G90" s="196"/>
      <c r="H90" s="196"/>
      <c r="I90" s="196"/>
      <c r="J90" s="196"/>
      <c r="K90" s="196"/>
      <c r="L90" s="200">
        <v>90</v>
      </c>
      <c r="M90" s="200">
        <v>3</v>
      </c>
      <c r="N90" s="200">
        <v>20</v>
      </c>
    </row>
    <row r="91" spans="1:14" x14ac:dyDescent="0.25">
      <c r="A91" s="198" t="s">
        <v>32</v>
      </c>
      <c r="B91" s="198" t="s">
        <v>511</v>
      </c>
      <c r="C91" s="198"/>
      <c r="D91" s="196">
        <v>7</v>
      </c>
      <c r="E91" s="196"/>
      <c r="F91" s="196">
        <v>0.01</v>
      </c>
      <c r="G91" s="196"/>
      <c r="H91" s="196"/>
      <c r="I91" s="196"/>
      <c r="J91" s="196"/>
      <c r="K91" s="196"/>
      <c r="L91" s="200">
        <v>91</v>
      </c>
      <c r="M91" s="200">
        <v>1</v>
      </c>
      <c r="N91" s="200">
        <v>20</v>
      </c>
    </row>
    <row r="92" spans="1:14" x14ac:dyDescent="0.25">
      <c r="A92" s="198" t="s">
        <v>108</v>
      </c>
      <c r="B92" s="198" t="s">
        <v>514</v>
      </c>
      <c r="C92" s="198">
        <v>0</v>
      </c>
      <c r="D92" s="196">
        <v>60</v>
      </c>
      <c r="E92" s="196">
        <v>2.7240000000000002</v>
      </c>
      <c r="F92" s="196">
        <v>0.24199999999999999</v>
      </c>
      <c r="G92" s="196">
        <v>10.962999999999999</v>
      </c>
      <c r="H92" s="196">
        <v>172.94499999999999</v>
      </c>
      <c r="I92" s="196">
        <v>96.94</v>
      </c>
      <c r="J92" s="196">
        <v>125.79</v>
      </c>
      <c r="K92" s="196">
        <v>7.72</v>
      </c>
      <c r="L92" s="200">
        <v>92</v>
      </c>
      <c r="M92" s="200">
        <v>1</v>
      </c>
      <c r="N92" s="200">
        <v>5</v>
      </c>
    </row>
    <row r="93" spans="1:14" x14ac:dyDescent="0.25">
      <c r="A93" s="198" t="s">
        <v>108</v>
      </c>
      <c r="B93" s="198" t="s">
        <v>521</v>
      </c>
      <c r="C93" s="198">
        <v>0</v>
      </c>
      <c r="D93" s="196">
        <v>60</v>
      </c>
      <c r="E93" s="196">
        <v>2.7269999999999999</v>
      </c>
      <c r="F93" s="196">
        <v>0.22700000000000001</v>
      </c>
      <c r="G93" s="196">
        <v>9.782</v>
      </c>
      <c r="H93" s="196">
        <v>338.29</v>
      </c>
      <c r="I93" s="196">
        <v>241.83</v>
      </c>
      <c r="J93" s="196">
        <v>34.237000000000002</v>
      </c>
      <c r="K93" s="196">
        <v>7.86</v>
      </c>
      <c r="L93" s="200">
        <v>93</v>
      </c>
      <c r="M93" s="200">
        <v>1</v>
      </c>
      <c r="N93" s="200">
        <v>5</v>
      </c>
    </row>
    <row r="94" spans="1:14" x14ac:dyDescent="0.25">
      <c r="A94" s="198" t="s">
        <v>108</v>
      </c>
      <c r="B94" s="198" t="s">
        <v>527</v>
      </c>
      <c r="C94" s="198">
        <v>0</v>
      </c>
      <c r="D94" s="196">
        <v>71</v>
      </c>
      <c r="E94" s="196">
        <v>2.7280000000000002</v>
      </c>
      <c r="F94" s="196">
        <v>0.24099999999999999</v>
      </c>
      <c r="G94" s="196">
        <v>10.587999999999999</v>
      </c>
      <c r="H94" s="196">
        <v>196.93</v>
      </c>
      <c r="I94" s="196">
        <v>21.707000000000001</v>
      </c>
      <c r="J94" s="196">
        <v>217.42</v>
      </c>
      <c r="K94" s="196">
        <v>1.395</v>
      </c>
      <c r="L94" s="200">
        <v>94</v>
      </c>
      <c r="M94" s="200">
        <v>1</v>
      </c>
      <c r="N94" s="200">
        <v>5</v>
      </c>
    </row>
    <row r="95" spans="1:14" x14ac:dyDescent="0.25">
      <c r="A95" s="198" t="s">
        <v>108</v>
      </c>
      <c r="B95" s="198" t="s">
        <v>533</v>
      </c>
      <c r="C95" s="198">
        <v>0</v>
      </c>
      <c r="D95" s="196">
        <v>55</v>
      </c>
      <c r="E95" s="196">
        <v>2.7330000000000001</v>
      </c>
      <c r="F95" s="196">
        <v>0.216</v>
      </c>
      <c r="G95" s="196">
        <v>3.1859999999999999</v>
      </c>
      <c r="H95" s="196">
        <v>196.71100000000001</v>
      </c>
      <c r="I95" s="196">
        <v>107.26300000000001</v>
      </c>
      <c r="J95" s="196">
        <v>200.67400000000001</v>
      </c>
      <c r="K95" s="196"/>
      <c r="L95" s="200">
        <v>95</v>
      </c>
      <c r="M95" s="200">
        <v>1</v>
      </c>
      <c r="N95" s="200">
        <v>5</v>
      </c>
    </row>
    <row r="96" spans="1:14" x14ac:dyDescent="0.25">
      <c r="A96" s="198" t="s">
        <v>108</v>
      </c>
      <c r="B96" s="198" t="s">
        <v>539</v>
      </c>
      <c r="C96" s="198">
        <v>0</v>
      </c>
      <c r="D96" s="196">
        <v>62</v>
      </c>
      <c r="E96" s="196">
        <v>2.7370000000000001</v>
      </c>
      <c r="F96" s="196">
        <v>5.8999999999999997E-2</v>
      </c>
      <c r="G96" s="196">
        <v>3.1779999999999999</v>
      </c>
      <c r="H96" s="196">
        <v>57.06</v>
      </c>
      <c r="I96" s="196">
        <v>347.916</v>
      </c>
      <c r="J96" s="196">
        <v>47.637999999999998</v>
      </c>
      <c r="K96" s="196">
        <v>1.6259999999999999</v>
      </c>
      <c r="L96" s="200">
        <v>96</v>
      </c>
      <c r="M96" s="200">
        <v>1</v>
      </c>
      <c r="N96" s="200">
        <v>5</v>
      </c>
    </row>
    <row r="97" spans="1:14" x14ac:dyDescent="0.25">
      <c r="A97" s="198" t="s">
        <v>108</v>
      </c>
      <c r="B97" s="198" t="s">
        <v>545</v>
      </c>
      <c r="C97" s="198">
        <v>0</v>
      </c>
      <c r="D97" s="196">
        <v>53</v>
      </c>
      <c r="E97" s="196">
        <v>2.7370000000000001</v>
      </c>
      <c r="F97" s="196">
        <v>0.14299999999999999</v>
      </c>
      <c r="G97" s="196">
        <v>20.66</v>
      </c>
      <c r="H97" s="196">
        <v>45.542999999999999</v>
      </c>
      <c r="I97" s="196">
        <v>136.60900000000001</v>
      </c>
      <c r="J97" s="196">
        <v>276.654</v>
      </c>
      <c r="K97" s="196">
        <v>1.88</v>
      </c>
      <c r="L97" s="200">
        <v>97</v>
      </c>
      <c r="M97" s="200">
        <v>1</v>
      </c>
      <c r="N97" s="200">
        <v>5</v>
      </c>
    </row>
    <row r="98" spans="1:14" x14ac:dyDescent="0.25">
      <c r="A98" s="198" t="s">
        <v>108</v>
      </c>
      <c r="B98" s="198" t="s">
        <v>550</v>
      </c>
      <c r="C98" s="198">
        <v>0</v>
      </c>
      <c r="D98" s="196">
        <v>49</v>
      </c>
      <c r="E98" s="196">
        <v>2.7370000000000001</v>
      </c>
      <c r="F98" s="196">
        <v>0.28599999999999998</v>
      </c>
      <c r="G98" s="196">
        <v>15.869</v>
      </c>
      <c r="H98" s="196">
        <v>286.97000000000003</v>
      </c>
      <c r="I98" s="196">
        <v>115.44</v>
      </c>
      <c r="J98" s="196">
        <v>10.84</v>
      </c>
      <c r="K98" s="196">
        <v>1.6060000000000001</v>
      </c>
      <c r="L98" s="200">
        <v>98</v>
      </c>
      <c r="M98" s="200">
        <v>1</v>
      </c>
      <c r="N98" s="200">
        <v>5</v>
      </c>
    </row>
    <row r="99" spans="1:14" x14ac:dyDescent="0.25">
      <c r="A99" s="198" t="s">
        <v>108</v>
      </c>
      <c r="B99" s="198" t="s">
        <v>555</v>
      </c>
      <c r="C99" s="198">
        <v>0</v>
      </c>
      <c r="D99" s="196">
        <v>65</v>
      </c>
      <c r="E99" s="196">
        <v>2.7370000000000001</v>
      </c>
      <c r="F99" s="196">
        <v>0.13300000000000001</v>
      </c>
      <c r="G99" s="196">
        <v>6.8959999999999999</v>
      </c>
      <c r="H99" s="196">
        <v>85.088999999999999</v>
      </c>
      <c r="I99" s="196">
        <v>324.57</v>
      </c>
      <c r="J99" s="196">
        <v>10.506</v>
      </c>
      <c r="K99" s="196">
        <v>9.14</v>
      </c>
      <c r="L99" s="200">
        <v>99</v>
      </c>
      <c r="M99" s="200">
        <v>1</v>
      </c>
      <c r="N99" s="200">
        <v>5</v>
      </c>
    </row>
    <row r="100" spans="1:14" x14ac:dyDescent="0.25">
      <c r="A100" s="198" t="s">
        <v>108</v>
      </c>
      <c r="B100" s="198" t="s">
        <v>560</v>
      </c>
      <c r="C100" s="198">
        <v>0</v>
      </c>
      <c r="D100" s="196">
        <v>79</v>
      </c>
      <c r="E100" s="196">
        <v>2.738</v>
      </c>
      <c r="F100" s="196">
        <v>0.129</v>
      </c>
      <c r="G100" s="196">
        <v>23.238</v>
      </c>
      <c r="H100" s="196">
        <v>224.01</v>
      </c>
      <c r="I100" s="196">
        <v>153.84</v>
      </c>
      <c r="J100" s="196">
        <v>327.48</v>
      </c>
      <c r="K100" s="196">
        <v>1.64</v>
      </c>
      <c r="L100" s="200">
        <v>100</v>
      </c>
      <c r="M100" s="200">
        <v>1</v>
      </c>
      <c r="N100" s="200">
        <v>5</v>
      </c>
    </row>
    <row r="101" spans="1:14" x14ac:dyDescent="0.25">
      <c r="A101" s="198" t="s">
        <v>108</v>
      </c>
      <c r="B101" s="198" t="s">
        <v>567</v>
      </c>
      <c r="C101" s="198">
        <v>0</v>
      </c>
      <c r="D101" s="196">
        <v>58</v>
      </c>
      <c r="E101" s="196">
        <v>2.74</v>
      </c>
      <c r="F101" s="196">
        <v>0.28299999999999997</v>
      </c>
      <c r="G101" s="196">
        <v>10.596</v>
      </c>
      <c r="H101" s="196">
        <v>316.01</v>
      </c>
      <c r="I101" s="196">
        <v>89.665000000000006</v>
      </c>
      <c r="J101" s="196">
        <v>308.887</v>
      </c>
      <c r="K101" s="196"/>
      <c r="L101" s="200">
        <v>101</v>
      </c>
      <c r="M101" s="200">
        <v>1</v>
      </c>
      <c r="N101" s="200">
        <v>5</v>
      </c>
    </row>
    <row r="102" spans="1:14" x14ac:dyDescent="0.25">
      <c r="A102" s="198" t="s">
        <v>108</v>
      </c>
      <c r="B102" s="198" t="s">
        <v>573</v>
      </c>
      <c r="C102" s="198">
        <v>0</v>
      </c>
      <c r="D102" s="196">
        <v>57</v>
      </c>
      <c r="E102" s="196">
        <v>2.7410000000000001</v>
      </c>
      <c r="F102" s="196">
        <v>3.6999999999999998E-2</v>
      </c>
      <c r="G102" s="196">
        <v>3.7789999999999999</v>
      </c>
      <c r="H102" s="196">
        <v>299.70499999999998</v>
      </c>
      <c r="I102" s="196">
        <v>145.16900000000001</v>
      </c>
      <c r="J102" s="196">
        <v>348.97500000000002</v>
      </c>
      <c r="K102" s="196"/>
      <c r="L102" s="200">
        <v>102</v>
      </c>
      <c r="M102" s="200">
        <v>1</v>
      </c>
      <c r="N102" s="200">
        <v>5</v>
      </c>
    </row>
    <row r="103" spans="1:14" x14ac:dyDescent="0.25">
      <c r="A103" s="198" t="s">
        <v>108</v>
      </c>
      <c r="B103" s="198" t="s">
        <v>579</v>
      </c>
      <c r="C103" s="198">
        <v>0</v>
      </c>
      <c r="D103" s="196">
        <v>51</v>
      </c>
      <c r="E103" s="196">
        <v>2.7410000000000001</v>
      </c>
      <c r="F103" s="196">
        <v>0.23499999999999999</v>
      </c>
      <c r="G103" s="196">
        <v>18.113</v>
      </c>
      <c r="H103" s="196">
        <v>157.13999999999999</v>
      </c>
      <c r="I103" s="196">
        <v>128.24</v>
      </c>
      <c r="J103" s="196">
        <v>330.99</v>
      </c>
      <c r="K103" s="196">
        <v>3.1560000000000001</v>
      </c>
      <c r="L103" s="200">
        <v>103</v>
      </c>
      <c r="M103" s="200">
        <v>1</v>
      </c>
      <c r="N103" s="200">
        <v>5</v>
      </c>
    </row>
    <row r="104" spans="1:14" x14ac:dyDescent="0.25">
      <c r="A104" s="198" t="s">
        <v>108</v>
      </c>
      <c r="B104" s="198" t="s">
        <v>584</v>
      </c>
      <c r="C104" s="198">
        <v>0</v>
      </c>
      <c r="D104" s="196">
        <v>54</v>
      </c>
      <c r="E104" s="196">
        <v>2.742</v>
      </c>
      <c r="F104" s="196">
        <v>0.156</v>
      </c>
      <c r="G104" s="196">
        <v>9.84</v>
      </c>
      <c r="H104" s="196">
        <v>349.78300000000002</v>
      </c>
      <c r="I104" s="196">
        <v>66.753</v>
      </c>
      <c r="J104" s="196">
        <v>141.03299999999999</v>
      </c>
      <c r="K104" s="196">
        <v>8.9499999999999993</v>
      </c>
      <c r="L104" s="200">
        <v>104</v>
      </c>
      <c r="M104" s="200">
        <v>1</v>
      </c>
      <c r="N104" s="200">
        <v>5</v>
      </c>
    </row>
    <row r="105" spans="1:14" x14ac:dyDescent="0.25">
      <c r="A105" s="198" t="s">
        <v>108</v>
      </c>
      <c r="B105" s="198" t="s">
        <v>590</v>
      </c>
      <c r="C105" s="198">
        <v>0</v>
      </c>
      <c r="D105" s="196">
        <v>73</v>
      </c>
      <c r="E105" s="196">
        <v>2.7429999999999999</v>
      </c>
      <c r="F105" s="196">
        <v>0.20899999999999999</v>
      </c>
      <c r="G105" s="196">
        <v>14.196999999999999</v>
      </c>
      <c r="H105" s="196">
        <v>228.89</v>
      </c>
      <c r="I105" s="196">
        <v>148.18</v>
      </c>
      <c r="J105" s="196">
        <v>307.27</v>
      </c>
      <c r="K105" s="196">
        <v>1.8149999999999999</v>
      </c>
      <c r="L105" s="200">
        <v>105</v>
      </c>
      <c r="M105" s="200">
        <v>1</v>
      </c>
      <c r="N105" s="200">
        <v>5</v>
      </c>
    </row>
    <row r="106" spans="1:14" x14ac:dyDescent="0.25">
      <c r="A106" s="198" t="s">
        <v>108</v>
      </c>
      <c r="B106" s="198" t="s">
        <v>596</v>
      </c>
      <c r="C106" s="198">
        <v>0</v>
      </c>
      <c r="D106" s="196">
        <v>67</v>
      </c>
      <c r="E106" s="196">
        <v>2.7429999999999999</v>
      </c>
      <c r="F106" s="196">
        <v>0.24299999999999999</v>
      </c>
      <c r="G106" s="196">
        <v>24.991</v>
      </c>
      <c r="H106" s="196">
        <v>54.969000000000001</v>
      </c>
      <c r="I106" s="196">
        <v>0.16400000000000001</v>
      </c>
      <c r="J106" s="196">
        <v>75.989000000000004</v>
      </c>
      <c r="K106" s="196">
        <v>1.6930000000000001</v>
      </c>
      <c r="L106" s="200">
        <v>106</v>
      </c>
      <c r="M106" s="200">
        <v>1</v>
      </c>
      <c r="N106" s="200">
        <v>5</v>
      </c>
    </row>
    <row r="107" spans="1:14" x14ac:dyDescent="0.25">
      <c r="A107" s="198" t="s">
        <v>108</v>
      </c>
      <c r="B107" s="198" t="s">
        <v>602</v>
      </c>
      <c r="C107" s="198">
        <v>0</v>
      </c>
      <c r="D107" s="196">
        <v>55</v>
      </c>
      <c r="E107" s="196">
        <v>2.7469999999999999</v>
      </c>
      <c r="F107" s="196">
        <v>0.30299999999999999</v>
      </c>
      <c r="G107" s="196">
        <v>18.431999999999999</v>
      </c>
      <c r="H107" s="196">
        <v>47.131999999999998</v>
      </c>
      <c r="I107" s="196">
        <v>358.47199999999998</v>
      </c>
      <c r="J107" s="196">
        <v>47.005000000000003</v>
      </c>
      <c r="K107" s="196">
        <v>1.6719999999999999</v>
      </c>
      <c r="L107" s="200">
        <v>107</v>
      </c>
      <c r="M107" s="200">
        <v>1</v>
      </c>
      <c r="N107" s="200">
        <v>5</v>
      </c>
    </row>
    <row r="108" spans="1:14" x14ac:dyDescent="0.25">
      <c r="A108" s="198" t="s">
        <v>108</v>
      </c>
      <c r="B108" s="198" t="s">
        <v>608</v>
      </c>
      <c r="C108" s="198">
        <v>0</v>
      </c>
      <c r="D108" s="196">
        <v>82</v>
      </c>
      <c r="E108" s="196">
        <v>2.75</v>
      </c>
      <c r="F108" s="196">
        <v>0.127</v>
      </c>
      <c r="G108" s="196">
        <v>6.2450000000000001</v>
      </c>
      <c r="H108" s="196">
        <v>303.82</v>
      </c>
      <c r="I108" s="196">
        <v>76.242999999999995</v>
      </c>
      <c r="J108" s="196">
        <v>345.49</v>
      </c>
      <c r="K108" s="196">
        <v>1.66</v>
      </c>
      <c r="L108" s="200">
        <v>108</v>
      </c>
      <c r="M108" s="200">
        <v>1</v>
      </c>
      <c r="N108" s="200">
        <v>5</v>
      </c>
    </row>
    <row r="109" spans="1:14" x14ac:dyDescent="0.25">
      <c r="A109" s="198" t="s">
        <v>108</v>
      </c>
      <c r="B109" s="198" t="s">
        <v>614</v>
      </c>
      <c r="C109" s="198">
        <v>0</v>
      </c>
      <c r="D109" s="196">
        <v>70</v>
      </c>
      <c r="E109" s="196">
        <v>2.75</v>
      </c>
      <c r="F109" s="196">
        <v>0.04</v>
      </c>
      <c r="G109" s="196">
        <v>4.3609999999999998</v>
      </c>
      <c r="H109" s="196">
        <v>115.501</v>
      </c>
      <c r="I109" s="196">
        <v>181.727</v>
      </c>
      <c r="J109" s="196">
        <v>70.418999999999997</v>
      </c>
      <c r="K109" s="196"/>
      <c r="L109" s="200">
        <v>109</v>
      </c>
      <c r="M109" s="200">
        <v>1</v>
      </c>
      <c r="N109" s="200">
        <v>5</v>
      </c>
    </row>
    <row r="110" spans="1:14" x14ac:dyDescent="0.25">
      <c r="A110" s="198" t="s">
        <v>108</v>
      </c>
      <c r="B110" s="198" t="s">
        <v>619</v>
      </c>
      <c r="C110" s="198">
        <v>2</v>
      </c>
      <c r="D110" s="196">
        <v>77</v>
      </c>
      <c r="E110" s="196">
        <v>2.7570000000000001</v>
      </c>
      <c r="F110" s="196">
        <v>0.14000000000000001</v>
      </c>
      <c r="G110" s="196">
        <v>8.5609999999999999</v>
      </c>
      <c r="H110" s="196">
        <v>274.54300000000001</v>
      </c>
      <c r="I110" s="196">
        <v>4.0629999999999997</v>
      </c>
      <c r="J110" s="196">
        <v>262.02199999999999</v>
      </c>
      <c r="K110" s="196">
        <v>1.9</v>
      </c>
      <c r="L110" s="200">
        <v>110</v>
      </c>
      <c r="M110" s="200">
        <v>1</v>
      </c>
      <c r="N110" s="200">
        <v>5</v>
      </c>
    </row>
    <row r="111" spans="1:14" x14ac:dyDescent="0.25">
      <c r="A111" s="198" t="s">
        <v>32</v>
      </c>
      <c r="B111" s="198" t="s">
        <v>625</v>
      </c>
      <c r="C111" s="198"/>
      <c r="D111" s="196">
        <v>2</v>
      </c>
      <c r="E111" s="196"/>
      <c r="F111" s="196"/>
      <c r="G111" s="196"/>
      <c r="H111" s="196"/>
      <c r="I111" s="196"/>
      <c r="J111" s="196"/>
      <c r="K111" s="196"/>
      <c r="L111" s="200">
        <v>111</v>
      </c>
      <c r="M111" s="200">
        <v>1</v>
      </c>
      <c r="N111" s="200">
        <v>20</v>
      </c>
    </row>
    <row r="112" spans="1:14" x14ac:dyDescent="0.25">
      <c r="A112" s="198" t="s">
        <v>32</v>
      </c>
      <c r="B112" s="198" t="s">
        <v>628</v>
      </c>
      <c r="C112" s="198"/>
      <c r="D112" s="196">
        <v>2</v>
      </c>
      <c r="E112" s="196"/>
      <c r="F112" s="196"/>
      <c r="G112" s="196"/>
      <c r="H112" s="196"/>
      <c r="I112" s="196"/>
      <c r="J112" s="196"/>
      <c r="K112" s="196"/>
      <c r="L112" s="200">
        <v>112</v>
      </c>
      <c r="M112" s="200">
        <v>1</v>
      </c>
      <c r="N112" s="200">
        <v>20</v>
      </c>
    </row>
    <row r="113" spans="1:17" x14ac:dyDescent="0.25">
      <c r="A113" s="198" t="s">
        <v>108</v>
      </c>
      <c r="B113" s="198" t="s">
        <v>630</v>
      </c>
      <c r="C113" s="198">
        <v>0</v>
      </c>
      <c r="D113" s="196">
        <v>67</v>
      </c>
      <c r="E113" s="196">
        <v>2.758</v>
      </c>
      <c r="F113" s="196">
        <v>0.23699999999999999</v>
      </c>
      <c r="G113" s="196">
        <v>8.2240000000000002</v>
      </c>
      <c r="H113" s="196">
        <v>78.566000000000003</v>
      </c>
      <c r="I113" s="196">
        <v>354.79599999999999</v>
      </c>
      <c r="J113" s="196">
        <v>28.971</v>
      </c>
      <c r="K113" s="196">
        <v>6.1</v>
      </c>
      <c r="L113" s="200">
        <v>113</v>
      </c>
      <c r="M113" s="200">
        <v>1</v>
      </c>
      <c r="N113" s="200">
        <v>5</v>
      </c>
    </row>
    <row r="114" spans="1:17" x14ac:dyDescent="0.25">
      <c r="A114" s="198" t="s">
        <v>108</v>
      </c>
      <c r="B114" s="198" t="s">
        <v>636</v>
      </c>
      <c r="C114" s="198">
        <v>0</v>
      </c>
      <c r="D114" s="196">
        <v>61</v>
      </c>
      <c r="E114" s="196">
        <v>2.76</v>
      </c>
      <c r="F114" s="196">
        <v>6.7000000000000004E-2</v>
      </c>
      <c r="G114" s="196">
        <v>8.2449999999999992</v>
      </c>
      <c r="H114" s="196">
        <v>94.611000000000004</v>
      </c>
      <c r="I114" s="196">
        <v>31.154</v>
      </c>
      <c r="J114" s="196">
        <v>67.781999999999996</v>
      </c>
      <c r="K114" s="196">
        <v>3.75</v>
      </c>
      <c r="L114" s="200">
        <v>114</v>
      </c>
      <c r="M114" s="200">
        <v>1</v>
      </c>
      <c r="N114" s="200">
        <v>5</v>
      </c>
    </row>
    <row r="115" spans="1:17" x14ac:dyDescent="0.25">
      <c r="A115" s="198" t="s">
        <v>108</v>
      </c>
      <c r="B115" s="198" t="s">
        <v>642</v>
      </c>
      <c r="C115" s="198">
        <v>1</v>
      </c>
      <c r="D115" s="196">
        <v>94</v>
      </c>
      <c r="E115" s="196">
        <v>2.7650000000000001</v>
      </c>
      <c r="F115" s="196">
        <v>0.27200000000000002</v>
      </c>
      <c r="G115" s="196">
        <v>15.765000000000001</v>
      </c>
      <c r="H115" s="196">
        <v>46.238999999999997</v>
      </c>
      <c r="I115" s="196">
        <v>178.15899999999999</v>
      </c>
      <c r="J115" s="196">
        <v>247.5</v>
      </c>
      <c r="K115" s="196">
        <v>1.865</v>
      </c>
      <c r="L115" s="200">
        <v>115</v>
      </c>
      <c r="M115" s="200">
        <v>1</v>
      </c>
      <c r="N115" s="200">
        <v>5</v>
      </c>
    </row>
    <row r="116" spans="1:17" x14ac:dyDescent="0.25">
      <c r="A116" s="198" t="s">
        <v>32</v>
      </c>
      <c r="B116" s="198" t="s">
        <v>648</v>
      </c>
      <c r="C116" s="198"/>
      <c r="D116" s="196">
        <v>1</v>
      </c>
      <c r="E116" s="196"/>
      <c r="F116" s="196"/>
      <c r="G116" s="196"/>
      <c r="H116" s="196"/>
      <c r="I116" s="196"/>
      <c r="J116" s="196"/>
      <c r="K116" s="196"/>
      <c r="L116" s="200">
        <v>116</v>
      </c>
      <c r="M116" s="200">
        <v>1</v>
      </c>
      <c r="N116" s="200">
        <v>20</v>
      </c>
    </row>
    <row r="117" spans="1:17" x14ac:dyDescent="0.25">
      <c r="A117" s="198" t="s">
        <v>108</v>
      </c>
      <c r="B117" s="198" t="s">
        <v>651</v>
      </c>
      <c r="C117" s="198">
        <v>0</v>
      </c>
      <c r="D117" s="196">
        <v>109</v>
      </c>
      <c r="E117" s="196">
        <v>2.7679999999999998</v>
      </c>
      <c r="F117" s="196">
        <v>0.16500000000000001</v>
      </c>
      <c r="G117" s="196">
        <v>5.2190000000000003</v>
      </c>
      <c r="H117" s="196">
        <v>36.591000000000001</v>
      </c>
      <c r="I117" s="196">
        <v>276.76499999999999</v>
      </c>
      <c r="J117" s="196">
        <v>165.45400000000001</v>
      </c>
      <c r="K117" s="196">
        <v>2.6</v>
      </c>
      <c r="L117" s="200">
        <v>117</v>
      </c>
      <c r="M117" s="200">
        <v>1</v>
      </c>
      <c r="N117" s="200">
        <v>5</v>
      </c>
    </row>
    <row r="118" spans="1:17" x14ac:dyDescent="0.25">
      <c r="A118" s="198" t="s">
        <v>108</v>
      </c>
      <c r="B118" s="198" t="s">
        <v>658</v>
      </c>
      <c r="C118" s="198">
        <v>0</v>
      </c>
      <c r="D118" s="196">
        <v>90</v>
      </c>
      <c r="E118" s="196">
        <v>2.7690000000000001</v>
      </c>
      <c r="F118" s="196">
        <v>0.114</v>
      </c>
      <c r="G118" s="196">
        <v>10.382999999999999</v>
      </c>
      <c r="H118" s="196">
        <v>209.56</v>
      </c>
      <c r="I118" s="196">
        <v>157.16800000000001</v>
      </c>
      <c r="J118" s="196">
        <v>58.261000000000003</v>
      </c>
      <c r="K118" s="196">
        <v>2.4700000000000002</v>
      </c>
      <c r="L118" s="200">
        <v>118</v>
      </c>
      <c r="M118" s="200">
        <v>1</v>
      </c>
      <c r="N118" s="200">
        <v>5</v>
      </c>
    </row>
    <row r="119" spans="1:17" x14ac:dyDescent="0.25">
      <c r="A119" s="197" t="s">
        <v>665</v>
      </c>
      <c r="B119" s="198" t="s">
        <v>666</v>
      </c>
      <c r="C119" s="198">
        <v>0</v>
      </c>
      <c r="D119" s="196">
        <v>470</v>
      </c>
      <c r="E119" s="196">
        <v>2.77</v>
      </c>
      <c r="F119" s="196">
        <v>7.9000000000000001E-2</v>
      </c>
      <c r="G119" s="196">
        <v>10.590999999999999</v>
      </c>
      <c r="H119" s="196">
        <v>72.814999999999998</v>
      </c>
      <c r="I119" s="196">
        <v>80.313999999999993</v>
      </c>
      <c r="J119" s="196">
        <v>224.095</v>
      </c>
      <c r="K119" s="196">
        <v>2.1619999999999999</v>
      </c>
      <c r="L119" s="200">
        <v>119</v>
      </c>
      <c r="M119" s="200">
        <v>1</v>
      </c>
      <c r="N119" s="200">
        <v>2</v>
      </c>
      <c r="O119" s="194" t="s">
        <v>666</v>
      </c>
      <c r="P119" s="194" t="s">
        <v>9599</v>
      </c>
      <c r="Q119" s="200" t="s">
        <v>8068</v>
      </c>
    </row>
    <row r="120" spans="1:17" x14ac:dyDescent="0.25">
      <c r="A120" s="197" t="s">
        <v>725</v>
      </c>
      <c r="B120" s="198" t="s">
        <v>726</v>
      </c>
      <c r="C120" s="198">
        <v>0</v>
      </c>
      <c r="D120" s="196">
        <v>256</v>
      </c>
      <c r="E120" s="196">
        <v>2.77</v>
      </c>
      <c r="F120" s="196">
        <v>0.23100000000000001</v>
      </c>
      <c r="G120" s="196">
        <v>34.851999999999997</v>
      </c>
      <c r="H120" s="196">
        <v>310.529</v>
      </c>
      <c r="I120" s="196">
        <v>173.166</v>
      </c>
      <c r="J120" s="196">
        <v>346.02199999999999</v>
      </c>
      <c r="K120" s="196">
        <v>2.7930000000000001</v>
      </c>
      <c r="L120" s="200">
        <v>120</v>
      </c>
      <c r="M120" s="200">
        <v>1</v>
      </c>
      <c r="N120" s="200">
        <v>5</v>
      </c>
      <c r="O120" s="194" t="s">
        <v>726</v>
      </c>
      <c r="P120" s="194" t="s">
        <v>9598</v>
      </c>
      <c r="Q120" s="200" t="s">
        <v>8054</v>
      </c>
    </row>
    <row r="121" spans="1:17" x14ac:dyDescent="0.25">
      <c r="A121" s="198" t="s">
        <v>108</v>
      </c>
      <c r="B121" s="198" t="s">
        <v>673</v>
      </c>
      <c r="C121" s="198">
        <v>0</v>
      </c>
      <c r="D121" s="196">
        <v>80</v>
      </c>
      <c r="E121" s="196">
        <v>2.77</v>
      </c>
      <c r="F121" s="196">
        <v>0.17599999999999999</v>
      </c>
      <c r="G121" s="196">
        <v>10.278</v>
      </c>
      <c r="H121" s="196">
        <v>154.98400000000001</v>
      </c>
      <c r="I121" s="196">
        <v>195.71600000000001</v>
      </c>
      <c r="J121" s="196">
        <v>11.885</v>
      </c>
      <c r="K121" s="196">
        <v>5.04</v>
      </c>
      <c r="L121" s="200">
        <v>121</v>
      </c>
      <c r="M121" s="200">
        <v>1</v>
      </c>
      <c r="N121" s="200">
        <v>5</v>
      </c>
    </row>
    <row r="122" spans="1:17" x14ac:dyDescent="0.25">
      <c r="A122" s="198" t="s">
        <v>108</v>
      </c>
      <c r="B122" s="198" t="s">
        <v>679</v>
      </c>
      <c r="C122" s="198">
        <v>0</v>
      </c>
      <c r="D122" s="196">
        <v>48</v>
      </c>
      <c r="E122" s="196">
        <v>2.77</v>
      </c>
      <c r="F122" s="196">
        <v>0.16300000000000001</v>
      </c>
      <c r="G122" s="196">
        <v>4.7640000000000002</v>
      </c>
      <c r="H122" s="196">
        <v>40.058</v>
      </c>
      <c r="I122" s="196">
        <v>134.09700000000001</v>
      </c>
      <c r="J122" s="196">
        <v>300.952</v>
      </c>
      <c r="K122" s="196">
        <v>3.3740000000000001</v>
      </c>
      <c r="L122" s="200">
        <v>122</v>
      </c>
      <c r="M122" s="200">
        <v>1</v>
      </c>
      <c r="N122" s="200">
        <v>5</v>
      </c>
    </row>
    <row r="123" spans="1:17" x14ac:dyDescent="0.25">
      <c r="A123" s="198" t="s">
        <v>108</v>
      </c>
      <c r="B123" s="198" t="s">
        <v>685</v>
      </c>
      <c r="C123" s="198">
        <v>0</v>
      </c>
      <c r="D123" s="196">
        <v>84</v>
      </c>
      <c r="E123" s="196">
        <v>2.7730000000000001</v>
      </c>
      <c r="F123" s="196">
        <v>0.17599999999999999</v>
      </c>
      <c r="G123" s="196">
        <v>16.314</v>
      </c>
      <c r="H123" s="196">
        <v>76.096999999999994</v>
      </c>
      <c r="I123" s="196">
        <v>107.556</v>
      </c>
      <c r="J123" s="196">
        <v>131.03899999999999</v>
      </c>
      <c r="K123" s="196">
        <v>2.9580000000000002</v>
      </c>
      <c r="L123" s="200">
        <v>123</v>
      </c>
      <c r="M123" s="200">
        <v>1</v>
      </c>
      <c r="N123" s="200">
        <v>5</v>
      </c>
    </row>
    <row r="124" spans="1:17" x14ac:dyDescent="0.25">
      <c r="A124" s="198" t="s">
        <v>108</v>
      </c>
      <c r="B124" s="198" t="s">
        <v>691</v>
      </c>
      <c r="C124" s="198">
        <v>0</v>
      </c>
      <c r="D124" s="196">
        <v>51</v>
      </c>
      <c r="E124" s="196">
        <v>2.774</v>
      </c>
      <c r="F124" s="196">
        <v>0.108</v>
      </c>
      <c r="G124" s="196">
        <v>8.2089999999999996</v>
      </c>
      <c r="H124" s="196">
        <v>331.822</v>
      </c>
      <c r="I124" s="196">
        <v>99.245000000000005</v>
      </c>
      <c r="J124" s="196">
        <v>350.25599999999997</v>
      </c>
      <c r="K124" s="196"/>
      <c r="L124" s="200">
        <v>124</v>
      </c>
      <c r="M124" s="200">
        <v>1</v>
      </c>
      <c r="N124" s="200">
        <v>5</v>
      </c>
    </row>
    <row r="125" spans="1:17" x14ac:dyDescent="0.25">
      <c r="A125" s="198" t="s">
        <v>108</v>
      </c>
      <c r="B125" s="198" t="s">
        <v>697</v>
      </c>
      <c r="C125" s="198">
        <v>0</v>
      </c>
      <c r="D125" s="196">
        <v>63</v>
      </c>
      <c r="E125" s="196">
        <v>2.7770000000000001</v>
      </c>
      <c r="F125" s="196">
        <v>0.33200000000000002</v>
      </c>
      <c r="G125" s="196">
        <v>14.879</v>
      </c>
      <c r="H125" s="196">
        <v>90.823999999999998</v>
      </c>
      <c r="I125" s="196">
        <v>212.46</v>
      </c>
      <c r="J125" s="196">
        <v>173.245</v>
      </c>
      <c r="K125" s="196"/>
      <c r="L125" s="200">
        <v>125</v>
      </c>
      <c r="M125" s="200">
        <v>1</v>
      </c>
      <c r="N125" s="200">
        <v>5</v>
      </c>
    </row>
    <row r="126" spans="1:17" x14ac:dyDescent="0.25">
      <c r="A126" s="198" t="s">
        <v>108</v>
      </c>
      <c r="B126" s="198" t="s">
        <v>703</v>
      </c>
      <c r="C126" s="198">
        <v>0</v>
      </c>
      <c r="D126" s="196">
        <v>60</v>
      </c>
      <c r="E126" s="196">
        <v>2.7770000000000001</v>
      </c>
      <c r="F126" s="196">
        <v>0.151</v>
      </c>
      <c r="G126" s="196">
        <v>9.43</v>
      </c>
      <c r="H126" s="196">
        <v>344.46100000000001</v>
      </c>
      <c r="I126" s="196">
        <v>144.33000000000001</v>
      </c>
      <c r="J126" s="196">
        <v>121.574</v>
      </c>
      <c r="K126" s="196">
        <v>3.95</v>
      </c>
      <c r="L126" s="200">
        <v>126</v>
      </c>
      <c r="M126" s="200">
        <v>1</v>
      </c>
      <c r="N126" s="200">
        <v>5</v>
      </c>
    </row>
    <row r="127" spans="1:17" x14ac:dyDescent="0.25">
      <c r="A127" s="198" t="s">
        <v>108</v>
      </c>
      <c r="B127" s="198" t="s">
        <v>708</v>
      </c>
      <c r="C127" s="198">
        <v>0</v>
      </c>
      <c r="D127" s="196">
        <v>60</v>
      </c>
      <c r="E127" s="196">
        <v>2.778</v>
      </c>
      <c r="F127" s="196">
        <v>0.24</v>
      </c>
      <c r="G127" s="196">
        <v>4.0750000000000002</v>
      </c>
      <c r="H127" s="196">
        <v>174.51900000000001</v>
      </c>
      <c r="I127" s="196">
        <v>197.31299999999999</v>
      </c>
      <c r="J127" s="196">
        <v>36.838000000000001</v>
      </c>
      <c r="K127" s="196">
        <v>6.66</v>
      </c>
      <c r="L127" s="200">
        <v>127</v>
      </c>
      <c r="M127" s="200">
        <v>1</v>
      </c>
      <c r="N127" s="200">
        <v>5</v>
      </c>
    </row>
    <row r="128" spans="1:17" x14ac:dyDescent="0.25">
      <c r="A128" s="198" t="s">
        <v>108</v>
      </c>
      <c r="B128" s="198" t="s">
        <v>714</v>
      </c>
      <c r="C128" s="198">
        <v>0</v>
      </c>
      <c r="D128" s="196">
        <v>74</v>
      </c>
      <c r="E128" s="196">
        <v>2.7810000000000001</v>
      </c>
      <c r="F128" s="196">
        <v>0.17599999999999999</v>
      </c>
      <c r="G128" s="196">
        <v>10.913</v>
      </c>
      <c r="H128" s="196">
        <v>165.566</v>
      </c>
      <c r="I128" s="196">
        <v>1.8340000000000001</v>
      </c>
      <c r="J128" s="196">
        <v>60.281999999999996</v>
      </c>
      <c r="K128" s="196">
        <v>2.1579999999999999</v>
      </c>
      <c r="L128" s="200">
        <v>128</v>
      </c>
      <c r="M128" s="200">
        <v>1</v>
      </c>
      <c r="N128" s="200">
        <v>5</v>
      </c>
    </row>
    <row r="129" spans="1:14" x14ac:dyDescent="0.25">
      <c r="A129" s="198" t="s">
        <v>108</v>
      </c>
      <c r="B129" s="198" t="s">
        <v>720</v>
      </c>
      <c r="C129" s="198">
        <v>0</v>
      </c>
      <c r="D129" s="196">
        <v>62</v>
      </c>
      <c r="E129" s="196">
        <v>2.7810000000000001</v>
      </c>
      <c r="F129" s="196">
        <v>0.187</v>
      </c>
      <c r="G129" s="196">
        <v>7.9720000000000004</v>
      </c>
      <c r="H129" s="196">
        <v>304.86200000000002</v>
      </c>
      <c r="I129" s="196">
        <v>44.127000000000002</v>
      </c>
      <c r="J129" s="196">
        <v>48.72</v>
      </c>
      <c r="K129" s="196">
        <v>3.21</v>
      </c>
      <c r="L129" s="200">
        <v>129</v>
      </c>
      <c r="M129" s="200">
        <v>1</v>
      </c>
      <c r="N129" s="200">
        <v>5</v>
      </c>
    </row>
    <row r="130" spans="1:14" x14ac:dyDescent="0.25">
      <c r="A130" s="198" t="s">
        <v>108</v>
      </c>
      <c r="B130" s="198" t="s">
        <v>732</v>
      </c>
      <c r="C130" s="198">
        <v>2</v>
      </c>
      <c r="D130" s="196">
        <v>59</v>
      </c>
      <c r="E130" s="196">
        <v>2.794</v>
      </c>
      <c r="F130" s="196">
        <v>0.251</v>
      </c>
      <c r="G130" s="196">
        <v>13.099</v>
      </c>
      <c r="H130" s="196">
        <v>179.09899999999999</v>
      </c>
      <c r="I130" s="196">
        <v>215.672</v>
      </c>
      <c r="J130" s="196">
        <v>55.259</v>
      </c>
      <c r="K130" s="196">
        <v>4.234</v>
      </c>
      <c r="L130" s="200">
        <v>130</v>
      </c>
      <c r="M130" s="200">
        <v>1</v>
      </c>
      <c r="N130" s="200">
        <v>5</v>
      </c>
    </row>
    <row r="131" spans="1:14" x14ac:dyDescent="0.25">
      <c r="A131" s="198" t="s">
        <v>32</v>
      </c>
      <c r="B131" s="198" t="s">
        <v>738</v>
      </c>
      <c r="C131" s="198"/>
      <c r="D131" s="196">
        <v>3</v>
      </c>
      <c r="E131" s="196"/>
      <c r="F131" s="196"/>
      <c r="G131" s="196"/>
      <c r="H131" s="196"/>
      <c r="I131" s="196"/>
      <c r="J131" s="196"/>
      <c r="K131" s="196"/>
      <c r="L131" s="200">
        <v>131</v>
      </c>
      <c r="M131" s="200">
        <v>1</v>
      </c>
      <c r="N131" s="200">
        <v>20</v>
      </c>
    </row>
    <row r="132" spans="1:14" x14ac:dyDescent="0.25">
      <c r="A132" s="198" t="s">
        <v>32</v>
      </c>
      <c r="B132" s="198" t="s">
        <v>739</v>
      </c>
      <c r="C132" s="198"/>
      <c r="D132" s="196">
        <v>4</v>
      </c>
      <c r="E132" s="196"/>
      <c r="F132" s="196"/>
      <c r="G132" s="196"/>
      <c r="H132" s="196"/>
      <c r="I132" s="196"/>
      <c r="J132" s="196"/>
      <c r="K132" s="196"/>
      <c r="L132" s="200">
        <v>132</v>
      </c>
      <c r="M132" s="200">
        <v>1</v>
      </c>
      <c r="N132" s="200">
        <v>20</v>
      </c>
    </row>
    <row r="133" spans="1:14" x14ac:dyDescent="0.25">
      <c r="A133" s="198" t="s">
        <v>108</v>
      </c>
      <c r="B133" s="198" t="s">
        <v>742</v>
      </c>
      <c r="C133" s="198">
        <v>0</v>
      </c>
      <c r="D133" s="196">
        <v>83</v>
      </c>
      <c r="E133" s="196">
        <v>2.798</v>
      </c>
      <c r="F133" s="196">
        <v>0.115</v>
      </c>
      <c r="G133" s="196">
        <v>18.402999999999999</v>
      </c>
      <c r="H133" s="196">
        <v>5.5220000000000002</v>
      </c>
      <c r="I133" s="196">
        <v>140.37</v>
      </c>
      <c r="J133" s="196">
        <v>123.762</v>
      </c>
      <c r="K133" s="196">
        <v>3.504</v>
      </c>
      <c r="L133" s="200">
        <v>133</v>
      </c>
      <c r="M133" s="200">
        <v>1</v>
      </c>
      <c r="N133" s="200">
        <v>5</v>
      </c>
    </row>
    <row r="134" spans="1:14" x14ac:dyDescent="0.25">
      <c r="A134" s="198" t="s">
        <v>108</v>
      </c>
      <c r="B134" s="198" t="s">
        <v>749</v>
      </c>
      <c r="C134" s="198">
        <v>0</v>
      </c>
      <c r="D134" s="196">
        <v>55</v>
      </c>
      <c r="E134" s="196">
        <v>2.8039999999999998</v>
      </c>
      <c r="F134" s="196">
        <v>0.156</v>
      </c>
      <c r="G134" s="196">
        <v>13.398999999999999</v>
      </c>
      <c r="H134" s="196">
        <v>150.489</v>
      </c>
      <c r="I134" s="196">
        <v>235.904</v>
      </c>
      <c r="J134" s="196">
        <v>53.204000000000001</v>
      </c>
      <c r="K134" s="196">
        <v>6.29</v>
      </c>
      <c r="L134" s="200">
        <v>134</v>
      </c>
      <c r="M134" s="200">
        <v>1</v>
      </c>
      <c r="N134" s="200">
        <v>5</v>
      </c>
    </row>
    <row r="135" spans="1:14" x14ac:dyDescent="0.25">
      <c r="A135" s="198" t="s">
        <v>108</v>
      </c>
      <c r="B135" s="198" t="s">
        <v>755</v>
      </c>
      <c r="C135" s="198">
        <v>0</v>
      </c>
      <c r="D135" s="196">
        <v>61</v>
      </c>
      <c r="E135" s="196">
        <v>2.8380000000000001</v>
      </c>
      <c r="F135" s="196">
        <v>0.14000000000000001</v>
      </c>
      <c r="G135" s="196">
        <v>15.395</v>
      </c>
      <c r="H135" s="196">
        <v>344.62599999999998</v>
      </c>
      <c r="I135" s="196">
        <v>347.61099999999999</v>
      </c>
      <c r="J135" s="196">
        <v>277.55200000000002</v>
      </c>
      <c r="K135" s="196">
        <v>2.93</v>
      </c>
      <c r="L135" s="200">
        <v>135</v>
      </c>
      <c r="M135" s="200">
        <v>1</v>
      </c>
      <c r="N135" s="200">
        <v>5</v>
      </c>
    </row>
    <row r="136" spans="1:14" x14ac:dyDescent="0.25">
      <c r="A136" s="198" t="s">
        <v>108</v>
      </c>
      <c r="B136" s="198" t="s">
        <v>761</v>
      </c>
      <c r="C136" s="198">
        <v>0</v>
      </c>
      <c r="D136" s="196">
        <v>61</v>
      </c>
      <c r="E136" s="196">
        <v>2.855</v>
      </c>
      <c r="F136" s="196">
        <v>0.21099999999999999</v>
      </c>
      <c r="G136" s="196">
        <v>7.8090000000000002</v>
      </c>
      <c r="H136" s="196">
        <v>50.234000000000002</v>
      </c>
      <c r="I136" s="196">
        <v>1.4970000000000001</v>
      </c>
      <c r="J136" s="196">
        <v>149.58099999999999</v>
      </c>
      <c r="K136" s="196">
        <v>6.54</v>
      </c>
      <c r="L136" s="200">
        <v>136</v>
      </c>
      <c r="M136" s="200">
        <v>1</v>
      </c>
      <c r="N136" s="200">
        <v>5</v>
      </c>
    </row>
    <row r="137" spans="1:14" x14ac:dyDescent="0.25">
      <c r="A137" s="198" t="s">
        <v>108</v>
      </c>
      <c r="B137" s="198" t="s">
        <v>767</v>
      </c>
      <c r="C137" s="198">
        <v>1</v>
      </c>
      <c r="D137" s="196">
        <v>16</v>
      </c>
      <c r="E137" s="196">
        <v>2.8610000000000002</v>
      </c>
      <c r="F137" s="196">
        <v>4.1000000000000002E-2</v>
      </c>
      <c r="G137" s="196">
        <v>1.1319999999999999</v>
      </c>
      <c r="H137" s="196">
        <v>110.961</v>
      </c>
      <c r="I137" s="196">
        <v>324.01600000000002</v>
      </c>
      <c r="J137" s="196">
        <v>38.707000000000001</v>
      </c>
      <c r="K137" s="196">
        <v>2.6</v>
      </c>
      <c r="L137" s="200">
        <v>137</v>
      </c>
      <c r="M137" s="200">
        <v>1</v>
      </c>
      <c r="N137" s="200">
        <v>5</v>
      </c>
    </row>
    <row r="138" spans="1:14" x14ac:dyDescent="0.25">
      <c r="A138" s="198" t="s">
        <v>32</v>
      </c>
      <c r="B138" s="198" t="s">
        <v>774</v>
      </c>
      <c r="C138" s="198"/>
      <c r="D138" s="196">
        <v>1</v>
      </c>
      <c r="E138" s="196"/>
      <c r="F138" s="196"/>
      <c r="G138" s="196"/>
      <c r="H138" s="196"/>
      <c r="I138" s="196"/>
      <c r="J138" s="196"/>
      <c r="K138" s="196"/>
      <c r="L138" s="200">
        <v>138</v>
      </c>
      <c r="M138" s="200">
        <v>1</v>
      </c>
      <c r="N138" s="200">
        <v>20</v>
      </c>
    </row>
    <row r="139" spans="1:14" x14ac:dyDescent="0.25">
      <c r="A139" s="198" t="s">
        <v>108</v>
      </c>
      <c r="B139" s="198" t="s">
        <v>775</v>
      </c>
      <c r="C139" s="198">
        <v>0</v>
      </c>
      <c r="D139" s="196">
        <v>57</v>
      </c>
      <c r="E139" s="196">
        <v>2.87</v>
      </c>
      <c r="F139" s="196">
        <v>0.21199999999999999</v>
      </c>
      <c r="G139" s="196">
        <v>12.262</v>
      </c>
      <c r="H139" s="196">
        <v>111.07599999999999</v>
      </c>
      <c r="I139" s="196">
        <v>135.703</v>
      </c>
      <c r="J139" s="196">
        <v>97.353999999999999</v>
      </c>
      <c r="K139" s="196">
        <v>2.96</v>
      </c>
      <c r="L139" s="200">
        <v>139</v>
      </c>
      <c r="M139" s="200">
        <v>1</v>
      </c>
      <c r="N139" s="200">
        <v>5</v>
      </c>
    </row>
    <row r="140" spans="1:14" x14ac:dyDescent="0.25">
      <c r="A140" s="198" t="s">
        <v>108</v>
      </c>
      <c r="B140" s="198" t="s">
        <v>781</v>
      </c>
      <c r="C140" s="198">
        <v>0</v>
      </c>
      <c r="D140" s="196">
        <v>68</v>
      </c>
      <c r="E140" s="196">
        <v>2.8780000000000001</v>
      </c>
      <c r="F140" s="196">
        <v>0.13500000000000001</v>
      </c>
      <c r="G140" s="196">
        <v>4.9850000000000003</v>
      </c>
      <c r="H140" s="196">
        <v>314.589</v>
      </c>
      <c r="I140" s="196">
        <v>3.2440000000000002</v>
      </c>
      <c r="J140" s="196">
        <v>225.00700000000001</v>
      </c>
      <c r="K140" s="196">
        <v>2.17</v>
      </c>
      <c r="L140" s="200">
        <v>140</v>
      </c>
      <c r="M140" s="200">
        <v>1</v>
      </c>
      <c r="N140" s="200">
        <v>5</v>
      </c>
    </row>
    <row r="141" spans="1:14" x14ac:dyDescent="0.25">
      <c r="A141" s="198" t="s">
        <v>108</v>
      </c>
      <c r="B141" s="198" t="s">
        <v>788</v>
      </c>
      <c r="C141" s="198">
        <v>0</v>
      </c>
      <c r="D141" s="196">
        <v>74</v>
      </c>
      <c r="E141" s="196">
        <v>2.8879999999999999</v>
      </c>
      <c r="F141" s="196">
        <v>0.23200000000000001</v>
      </c>
      <c r="G141" s="196">
        <v>14.976000000000001</v>
      </c>
      <c r="H141" s="196">
        <v>314.13</v>
      </c>
      <c r="I141" s="196">
        <v>83.998999999999995</v>
      </c>
      <c r="J141" s="196">
        <v>46.683999999999997</v>
      </c>
      <c r="K141" s="196">
        <v>3.0790000000000002</v>
      </c>
      <c r="L141" s="200">
        <v>141</v>
      </c>
      <c r="M141" s="200">
        <v>1</v>
      </c>
      <c r="N141" s="200">
        <v>5</v>
      </c>
    </row>
    <row r="142" spans="1:14" x14ac:dyDescent="0.25">
      <c r="A142" s="198" t="s">
        <v>108</v>
      </c>
      <c r="B142" s="198" t="s">
        <v>794</v>
      </c>
      <c r="C142" s="198">
        <v>0</v>
      </c>
      <c r="D142" s="196">
        <v>64</v>
      </c>
      <c r="E142" s="196">
        <v>2.8889999999999998</v>
      </c>
      <c r="F142" s="196">
        <v>0.104</v>
      </c>
      <c r="G142" s="196">
        <v>19.477</v>
      </c>
      <c r="H142" s="196">
        <v>222.31899999999999</v>
      </c>
      <c r="I142" s="196">
        <v>311.41899999999998</v>
      </c>
      <c r="J142" s="196">
        <v>247.69200000000001</v>
      </c>
      <c r="K142" s="196"/>
      <c r="L142" s="200">
        <v>142</v>
      </c>
      <c r="M142" s="200">
        <v>1</v>
      </c>
      <c r="N142" s="200">
        <v>5</v>
      </c>
    </row>
    <row r="143" spans="1:14" x14ac:dyDescent="0.25">
      <c r="A143" s="198" t="s">
        <v>108</v>
      </c>
      <c r="B143" s="198" t="s">
        <v>800</v>
      </c>
      <c r="C143" s="198">
        <v>0</v>
      </c>
      <c r="D143" s="196">
        <v>87</v>
      </c>
      <c r="E143" s="196">
        <v>2.8959999999999999</v>
      </c>
      <c r="F143" s="196">
        <v>0.17100000000000001</v>
      </c>
      <c r="G143" s="196">
        <v>20.257000000000001</v>
      </c>
      <c r="H143" s="196">
        <v>219.47800000000001</v>
      </c>
      <c r="I143" s="196">
        <v>166.886</v>
      </c>
      <c r="J143" s="196">
        <v>66.751000000000005</v>
      </c>
      <c r="K143" s="196">
        <v>3.14</v>
      </c>
      <c r="L143" s="200">
        <v>143</v>
      </c>
      <c r="M143" s="200">
        <v>1</v>
      </c>
      <c r="N143" s="200">
        <v>5</v>
      </c>
    </row>
    <row r="144" spans="1:14" x14ac:dyDescent="0.25">
      <c r="A144" s="198" t="s">
        <v>108</v>
      </c>
      <c r="B144" s="198" t="s">
        <v>806</v>
      </c>
      <c r="C144" s="198">
        <v>0</v>
      </c>
      <c r="D144" s="196">
        <v>73</v>
      </c>
      <c r="E144" s="196">
        <v>2.9079999999999999</v>
      </c>
      <c r="F144" s="196">
        <v>8.7999999999999995E-2</v>
      </c>
      <c r="G144" s="196">
        <v>12.413</v>
      </c>
      <c r="H144" s="196">
        <v>210.75</v>
      </c>
      <c r="I144" s="196">
        <v>183.89</v>
      </c>
      <c r="J144" s="196">
        <v>170</v>
      </c>
      <c r="K144" s="196">
        <v>2.99</v>
      </c>
      <c r="L144" s="200">
        <v>144</v>
      </c>
      <c r="M144" s="200">
        <v>1</v>
      </c>
      <c r="N144" s="200">
        <v>5</v>
      </c>
    </row>
    <row r="145" spans="1:14" x14ac:dyDescent="0.25">
      <c r="A145" s="198" t="s">
        <v>108</v>
      </c>
      <c r="B145" s="198" t="s">
        <v>812</v>
      </c>
      <c r="C145" s="198">
        <v>1</v>
      </c>
      <c r="D145" s="196">
        <v>75</v>
      </c>
      <c r="E145" s="196">
        <v>2.911</v>
      </c>
      <c r="F145" s="196">
        <v>0.10199999999999999</v>
      </c>
      <c r="G145" s="196">
        <v>13.702999999999999</v>
      </c>
      <c r="H145" s="196">
        <v>355.03</v>
      </c>
      <c r="I145" s="196">
        <v>66.17</v>
      </c>
      <c r="J145" s="196">
        <v>282.54000000000002</v>
      </c>
      <c r="K145" s="196">
        <v>3.028</v>
      </c>
      <c r="L145" s="200">
        <v>145</v>
      </c>
      <c r="M145" s="200">
        <v>1</v>
      </c>
      <c r="N145" s="200">
        <v>5</v>
      </c>
    </row>
    <row r="146" spans="1:14" x14ac:dyDescent="0.25">
      <c r="A146" s="198" t="s">
        <v>32</v>
      </c>
      <c r="B146" s="198" t="s">
        <v>818</v>
      </c>
      <c r="C146" s="198"/>
      <c r="D146" s="196">
        <v>14</v>
      </c>
      <c r="E146" s="196"/>
      <c r="F146" s="196">
        <v>5.0000000000000001E-3</v>
      </c>
      <c r="G146" s="196"/>
      <c r="H146" s="196"/>
      <c r="I146" s="196"/>
      <c r="J146" s="196"/>
      <c r="K146" s="196">
        <v>3.4</v>
      </c>
      <c r="L146" s="200">
        <v>146</v>
      </c>
      <c r="M146" s="200">
        <v>1</v>
      </c>
      <c r="N146" s="200">
        <v>20</v>
      </c>
    </row>
    <row r="147" spans="1:14" x14ac:dyDescent="0.25">
      <c r="A147" s="198" t="s">
        <v>108</v>
      </c>
      <c r="B147" s="198" t="s">
        <v>821</v>
      </c>
      <c r="C147" s="198">
        <v>0</v>
      </c>
      <c r="D147" s="196">
        <v>112</v>
      </c>
      <c r="E147" s="196">
        <v>2.92</v>
      </c>
      <c r="F147" s="196">
        <v>0.13400000000000001</v>
      </c>
      <c r="G147" s="196">
        <v>3.0960000000000001</v>
      </c>
      <c r="H147" s="196">
        <v>229.41</v>
      </c>
      <c r="I147" s="196">
        <v>150.03</v>
      </c>
      <c r="J147" s="196">
        <v>243.16</v>
      </c>
      <c r="K147" s="196">
        <v>3.9769999999999999</v>
      </c>
      <c r="L147" s="200">
        <v>147</v>
      </c>
      <c r="M147" s="200">
        <v>1</v>
      </c>
      <c r="N147" s="200">
        <v>5</v>
      </c>
    </row>
    <row r="148" spans="1:14" x14ac:dyDescent="0.25">
      <c r="A148" s="198" t="s">
        <v>108</v>
      </c>
      <c r="B148" s="198" t="s">
        <v>828</v>
      </c>
      <c r="C148" s="198">
        <v>0</v>
      </c>
      <c r="D148" s="196">
        <v>65</v>
      </c>
      <c r="E148" s="196">
        <v>2.9220000000000002</v>
      </c>
      <c r="F148" s="196">
        <v>4.8000000000000001E-2</v>
      </c>
      <c r="G148" s="196">
        <v>25.045000000000002</v>
      </c>
      <c r="H148" s="196">
        <v>101.355</v>
      </c>
      <c r="I148" s="196">
        <v>2.895</v>
      </c>
      <c r="J148" s="196">
        <v>348.73399999999998</v>
      </c>
      <c r="K148" s="196">
        <v>3.4009999999999998</v>
      </c>
      <c r="L148" s="200">
        <v>148</v>
      </c>
      <c r="M148" s="200">
        <v>1</v>
      </c>
      <c r="N148" s="200">
        <v>5</v>
      </c>
    </row>
    <row r="149" spans="1:14" x14ac:dyDescent="0.25">
      <c r="A149" s="198" t="s">
        <v>108</v>
      </c>
      <c r="B149" s="198" t="s">
        <v>834</v>
      </c>
      <c r="C149" s="198">
        <v>0</v>
      </c>
      <c r="D149" s="196">
        <v>75</v>
      </c>
      <c r="E149" s="196">
        <v>2.9239999999999999</v>
      </c>
      <c r="F149" s="196">
        <v>9.1999999999999998E-2</v>
      </c>
      <c r="G149" s="196">
        <v>8.2460000000000004</v>
      </c>
      <c r="H149" s="196">
        <v>346.22500000000002</v>
      </c>
      <c r="I149" s="196">
        <v>32.350999999999999</v>
      </c>
      <c r="J149" s="196">
        <v>306.89800000000002</v>
      </c>
      <c r="K149" s="196">
        <v>2.23</v>
      </c>
      <c r="L149" s="200">
        <v>149</v>
      </c>
      <c r="M149" s="200">
        <v>1</v>
      </c>
      <c r="N149" s="200">
        <v>5</v>
      </c>
    </row>
    <row r="150" spans="1:14" x14ac:dyDescent="0.25">
      <c r="A150" s="198" t="s">
        <v>108</v>
      </c>
      <c r="B150" s="198" t="s">
        <v>840</v>
      </c>
      <c r="C150" s="198">
        <v>0</v>
      </c>
      <c r="D150" s="196">
        <v>57</v>
      </c>
      <c r="E150" s="196">
        <v>2.9279999999999999</v>
      </c>
      <c r="F150" s="196">
        <v>0.16400000000000001</v>
      </c>
      <c r="G150" s="196">
        <v>14.661</v>
      </c>
      <c r="H150" s="196">
        <v>175.16</v>
      </c>
      <c r="I150" s="196">
        <v>70.605999999999995</v>
      </c>
      <c r="J150" s="196">
        <v>21.265999999999998</v>
      </c>
      <c r="K150" s="196">
        <v>2.25</v>
      </c>
      <c r="L150" s="200">
        <v>150</v>
      </c>
      <c r="M150" s="200">
        <v>1</v>
      </c>
      <c r="N150" s="200">
        <v>5</v>
      </c>
    </row>
    <row r="151" spans="1:14" x14ac:dyDescent="0.25">
      <c r="A151" s="198" t="s">
        <v>108</v>
      </c>
      <c r="B151" s="198" t="s">
        <v>846</v>
      </c>
      <c r="C151" s="198">
        <v>0</v>
      </c>
      <c r="D151" s="196">
        <v>76</v>
      </c>
      <c r="E151" s="196">
        <v>2.93</v>
      </c>
      <c r="F151" s="196">
        <v>0.16500000000000001</v>
      </c>
      <c r="G151" s="196">
        <v>18.236999999999998</v>
      </c>
      <c r="H151" s="196">
        <v>307.13200000000001</v>
      </c>
      <c r="I151" s="196">
        <v>79.728999999999999</v>
      </c>
      <c r="J151" s="196">
        <v>235.69</v>
      </c>
      <c r="K151" s="196">
        <v>1.6859999999999999</v>
      </c>
      <c r="L151" s="200">
        <v>151</v>
      </c>
      <c r="M151" s="200">
        <v>1</v>
      </c>
      <c r="N151" s="200">
        <v>5</v>
      </c>
    </row>
    <row r="152" spans="1:14" x14ac:dyDescent="0.25">
      <c r="A152" s="198" t="s">
        <v>108</v>
      </c>
      <c r="B152" s="198" t="s">
        <v>852</v>
      </c>
      <c r="C152" s="198">
        <v>0</v>
      </c>
      <c r="D152" s="196">
        <v>55</v>
      </c>
      <c r="E152" s="196">
        <v>2.9820000000000002</v>
      </c>
      <c r="F152" s="196">
        <v>0.16500000000000001</v>
      </c>
      <c r="G152" s="196">
        <v>8.859</v>
      </c>
      <c r="H152" s="196">
        <v>290.12400000000002</v>
      </c>
      <c r="I152" s="196">
        <v>185.18</v>
      </c>
      <c r="J152" s="196">
        <v>60.81</v>
      </c>
      <c r="K152" s="196">
        <v>4.38</v>
      </c>
      <c r="L152" s="200">
        <v>152</v>
      </c>
      <c r="M152" s="200">
        <v>1</v>
      </c>
      <c r="N152" s="200">
        <v>5</v>
      </c>
    </row>
    <row r="153" spans="1:14" x14ac:dyDescent="0.25">
      <c r="A153" s="198" t="s">
        <v>108</v>
      </c>
      <c r="B153" s="198" t="s">
        <v>859</v>
      </c>
      <c r="C153" s="198">
        <v>0</v>
      </c>
      <c r="D153" s="196">
        <v>74</v>
      </c>
      <c r="E153" s="196">
        <v>2.984</v>
      </c>
      <c r="F153" s="196">
        <v>0.13100000000000001</v>
      </c>
      <c r="G153" s="196">
        <v>2.194</v>
      </c>
      <c r="H153" s="196">
        <v>151.96899999999999</v>
      </c>
      <c r="I153" s="196">
        <v>206.49199999999999</v>
      </c>
      <c r="J153" s="196">
        <v>92.018000000000001</v>
      </c>
      <c r="K153" s="196">
        <v>0.98</v>
      </c>
      <c r="L153" s="200">
        <v>153</v>
      </c>
      <c r="M153" s="200">
        <v>1</v>
      </c>
      <c r="N153" s="200">
        <v>5</v>
      </c>
    </row>
    <row r="154" spans="1:14" x14ac:dyDescent="0.25">
      <c r="A154" s="198" t="s">
        <v>108</v>
      </c>
      <c r="B154" s="198" t="s">
        <v>865</v>
      </c>
      <c r="C154" s="198">
        <v>0</v>
      </c>
      <c r="D154" s="196">
        <v>43</v>
      </c>
      <c r="E154" s="196">
        <v>2.9860000000000002</v>
      </c>
      <c r="F154" s="196">
        <v>6.4000000000000001E-2</v>
      </c>
      <c r="G154" s="196">
        <v>7.0869999999999997</v>
      </c>
      <c r="H154" s="196">
        <v>218.05500000000001</v>
      </c>
      <c r="I154" s="196">
        <v>38.21</v>
      </c>
      <c r="J154" s="196">
        <v>143.315</v>
      </c>
      <c r="K154" s="196"/>
      <c r="L154" s="200">
        <v>154</v>
      </c>
      <c r="M154" s="200">
        <v>1</v>
      </c>
      <c r="N154" s="200">
        <v>5</v>
      </c>
    </row>
    <row r="155" spans="1:14" x14ac:dyDescent="0.25">
      <c r="A155" s="198" t="s">
        <v>108</v>
      </c>
      <c r="B155" s="198" t="s">
        <v>872</v>
      </c>
      <c r="C155" s="198">
        <v>0</v>
      </c>
      <c r="D155" s="196">
        <v>52</v>
      </c>
      <c r="E155" s="196">
        <v>2.99</v>
      </c>
      <c r="F155" s="196">
        <v>0.22800000000000001</v>
      </c>
      <c r="G155" s="196">
        <v>7.9379999999999997</v>
      </c>
      <c r="H155" s="196">
        <v>213.96199999999999</v>
      </c>
      <c r="I155" s="196">
        <v>353.81700000000001</v>
      </c>
      <c r="J155" s="196">
        <v>77.468999999999994</v>
      </c>
      <c r="K155" s="196">
        <v>1.7689999999999999</v>
      </c>
      <c r="L155" s="200">
        <v>155</v>
      </c>
      <c r="M155" s="200">
        <v>1</v>
      </c>
      <c r="N155" s="200">
        <v>5</v>
      </c>
    </row>
    <row r="156" spans="1:14" x14ac:dyDescent="0.25">
      <c r="A156" s="198" t="s">
        <v>108</v>
      </c>
      <c r="B156" s="198" t="s">
        <v>878</v>
      </c>
      <c r="C156" s="198">
        <v>0</v>
      </c>
      <c r="D156" s="196">
        <v>74</v>
      </c>
      <c r="E156" s="196">
        <v>2.992</v>
      </c>
      <c r="F156" s="196">
        <v>2.8000000000000001E-2</v>
      </c>
      <c r="G156" s="196">
        <v>14.901999999999999</v>
      </c>
      <c r="H156" s="196">
        <v>52.460999999999999</v>
      </c>
      <c r="I156" s="196">
        <v>348.79</v>
      </c>
      <c r="J156" s="196">
        <v>317.47000000000003</v>
      </c>
      <c r="K156" s="196">
        <v>3.67</v>
      </c>
      <c r="L156" s="200">
        <v>156</v>
      </c>
      <c r="M156" s="200">
        <v>1</v>
      </c>
      <c r="N156" s="200">
        <v>5</v>
      </c>
    </row>
    <row r="157" spans="1:14" x14ac:dyDescent="0.25">
      <c r="A157" s="198" t="s">
        <v>108</v>
      </c>
      <c r="B157" s="198" t="s">
        <v>884</v>
      </c>
      <c r="C157" s="198">
        <v>0</v>
      </c>
      <c r="D157" s="196">
        <v>59</v>
      </c>
      <c r="E157" s="196">
        <v>3.0009999999999999</v>
      </c>
      <c r="F157" s="196">
        <v>9.1999999999999998E-2</v>
      </c>
      <c r="G157" s="196">
        <v>28.853999999999999</v>
      </c>
      <c r="H157" s="196">
        <v>146.06100000000001</v>
      </c>
      <c r="I157" s="196">
        <v>63.832000000000001</v>
      </c>
      <c r="J157" s="196">
        <v>163.71</v>
      </c>
      <c r="K157" s="196"/>
      <c r="L157" s="200">
        <v>157</v>
      </c>
      <c r="M157" s="200">
        <v>1</v>
      </c>
      <c r="N157" s="200">
        <v>5</v>
      </c>
    </row>
    <row r="158" spans="1:14" x14ac:dyDescent="0.25">
      <c r="A158" s="198" t="s">
        <v>108</v>
      </c>
      <c r="B158" s="198" t="s">
        <v>890</v>
      </c>
      <c r="C158" s="198">
        <v>0</v>
      </c>
      <c r="D158" s="196">
        <v>85</v>
      </c>
      <c r="E158" s="196">
        <v>3.0009999999999999</v>
      </c>
      <c r="F158" s="196">
        <v>0.34</v>
      </c>
      <c r="G158" s="196">
        <v>18.164999999999999</v>
      </c>
      <c r="H158" s="196">
        <v>275.51100000000002</v>
      </c>
      <c r="I158" s="196">
        <v>130.08099999999999</v>
      </c>
      <c r="J158" s="196">
        <v>59.046999999999997</v>
      </c>
      <c r="K158" s="196">
        <v>1.47</v>
      </c>
      <c r="L158" s="200">
        <v>158</v>
      </c>
      <c r="M158" s="200">
        <v>1</v>
      </c>
      <c r="N158" s="200">
        <v>5</v>
      </c>
    </row>
    <row r="159" spans="1:14" x14ac:dyDescent="0.25">
      <c r="A159" s="198" t="s">
        <v>108</v>
      </c>
      <c r="B159" s="198" t="s">
        <v>895</v>
      </c>
      <c r="C159" s="198">
        <v>0</v>
      </c>
      <c r="D159" s="196">
        <v>58</v>
      </c>
      <c r="E159" s="196">
        <v>3.0030000000000001</v>
      </c>
      <c r="F159" s="196">
        <v>0.17799999999999999</v>
      </c>
      <c r="G159" s="196">
        <v>11.696999999999999</v>
      </c>
      <c r="H159" s="196">
        <v>287.86200000000002</v>
      </c>
      <c r="I159" s="196">
        <v>132.55099999999999</v>
      </c>
      <c r="J159" s="196">
        <v>350.47300000000001</v>
      </c>
      <c r="K159" s="196"/>
      <c r="L159" s="200">
        <v>159</v>
      </c>
      <c r="M159" s="200">
        <v>1</v>
      </c>
      <c r="N159" s="200">
        <v>5</v>
      </c>
    </row>
    <row r="160" spans="1:14" x14ac:dyDescent="0.25">
      <c r="A160" s="198" t="s">
        <v>108</v>
      </c>
      <c r="B160" s="198" t="s">
        <v>901</v>
      </c>
      <c r="C160" s="198">
        <v>0</v>
      </c>
      <c r="D160" s="196">
        <v>63</v>
      </c>
      <c r="E160" s="196">
        <v>3.0049999999999999</v>
      </c>
      <c r="F160" s="196">
        <v>6.5000000000000002E-2</v>
      </c>
      <c r="G160" s="196">
        <v>6.4459999999999997</v>
      </c>
      <c r="H160" s="196">
        <v>333.00400000000002</v>
      </c>
      <c r="I160" s="196">
        <v>354.28500000000003</v>
      </c>
      <c r="J160" s="196">
        <v>10.993</v>
      </c>
      <c r="K160" s="196"/>
      <c r="L160" s="200">
        <v>160</v>
      </c>
      <c r="M160" s="200">
        <v>1</v>
      </c>
      <c r="N160" s="200">
        <v>5</v>
      </c>
    </row>
    <row r="161" spans="1:14" x14ac:dyDescent="0.25">
      <c r="A161" s="198" t="s">
        <v>108</v>
      </c>
      <c r="B161" s="198" t="s">
        <v>907</v>
      </c>
      <c r="C161" s="198">
        <v>0</v>
      </c>
      <c r="D161" s="196">
        <v>52</v>
      </c>
      <c r="E161" s="196">
        <v>3.0390000000000001</v>
      </c>
      <c r="F161" s="196">
        <v>0.14799999999999999</v>
      </c>
      <c r="G161" s="196">
        <v>17.007999999999999</v>
      </c>
      <c r="H161" s="196">
        <v>146.17699999999999</v>
      </c>
      <c r="I161" s="196">
        <v>312.95</v>
      </c>
      <c r="J161" s="196">
        <v>178.09700000000001</v>
      </c>
      <c r="K161" s="196"/>
      <c r="L161" s="200">
        <v>161</v>
      </c>
      <c r="M161" s="200">
        <v>1</v>
      </c>
      <c r="N161" s="200">
        <v>5</v>
      </c>
    </row>
    <row r="162" spans="1:14" x14ac:dyDescent="0.25">
      <c r="A162" s="198" t="s">
        <v>108</v>
      </c>
      <c r="B162" s="198" t="s">
        <v>913</v>
      </c>
      <c r="C162" s="198">
        <v>0</v>
      </c>
      <c r="D162" s="196">
        <v>72</v>
      </c>
      <c r="E162" s="196">
        <v>3.0419999999999998</v>
      </c>
      <c r="F162" s="196">
        <v>0.161</v>
      </c>
      <c r="G162" s="196">
        <v>3.8860000000000001</v>
      </c>
      <c r="H162" s="196">
        <v>173.52199999999999</v>
      </c>
      <c r="I162" s="196">
        <v>263.64400000000001</v>
      </c>
      <c r="J162" s="196">
        <v>260.142</v>
      </c>
      <c r="K162" s="196">
        <v>2.54</v>
      </c>
      <c r="L162" s="200">
        <v>162</v>
      </c>
      <c r="M162" s="200">
        <v>1</v>
      </c>
      <c r="N162" s="200">
        <v>5</v>
      </c>
    </row>
    <row r="163" spans="1:14" x14ac:dyDescent="0.25">
      <c r="A163" s="198" t="s">
        <v>108</v>
      </c>
      <c r="B163" s="198" t="s">
        <v>919</v>
      </c>
      <c r="C163" s="198">
        <v>0</v>
      </c>
      <c r="D163" s="196">
        <v>53</v>
      </c>
      <c r="E163" s="196">
        <v>3.0459999999999998</v>
      </c>
      <c r="F163" s="196">
        <v>4.1000000000000002E-2</v>
      </c>
      <c r="G163" s="196">
        <v>3.8769999999999998</v>
      </c>
      <c r="H163" s="196">
        <v>107.727</v>
      </c>
      <c r="I163" s="196">
        <v>268.63299999999998</v>
      </c>
      <c r="J163" s="196">
        <v>52.051000000000002</v>
      </c>
      <c r="K163" s="196"/>
      <c r="L163" s="200">
        <v>163</v>
      </c>
      <c r="M163" s="200">
        <v>1</v>
      </c>
      <c r="N163" s="200">
        <v>5</v>
      </c>
    </row>
    <row r="164" spans="1:14" x14ac:dyDescent="0.25">
      <c r="A164" s="198" t="s">
        <v>108</v>
      </c>
      <c r="B164" s="198" t="s">
        <v>931</v>
      </c>
      <c r="C164" s="198">
        <v>1</v>
      </c>
      <c r="D164" s="196">
        <v>74</v>
      </c>
      <c r="E164" s="196">
        <v>3.0470000000000002</v>
      </c>
      <c r="F164" s="196">
        <v>0.14799999999999999</v>
      </c>
      <c r="G164" s="196">
        <v>7.992</v>
      </c>
      <c r="H164" s="196">
        <v>53.701999999999998</v>
      </c>
      <c r="I164" s="196">
        <v>304.36900000000003</v>
      </c>
      <c r="J164" s="196">
        <v>127.107</v>
      </c>
      <c r="K164" s="196">
        <v>0.81</v>
      </c>
      <c r="L164" s="200">
        <v>164</v>
      </c>
      <c r="M164" s="200">
        <v>1</v>
      </c>
      <c r="N164" s="200">
        <v>5</v>
      </c>
    </row>
    <row r="165" spans="1:14" x14ac:dyDescent="0.25">
      <c r="A165" s="198" t="s">
        <v>32</v>
      </c>
      <c r="B165" s="198" t="s">
        <v>937</v>
      </c>
      <c r="C165" s="198"/>
      <c r="D165" s="196">
        <v>5</v>
      </c>
      <c r="E165" s="196"/>
      <c r="F165" s="196">
        <v>0.12</v>
      </c>
      <c r="G165" s="196"/>
      <c r="H165" s="196"/>
      <c r="I165" s="196"/>
      <c r="J165" s="196"/>
      <c r="K165" s="196"/>
      <c r="L165" s="200">
        <v>165</v>
      </c>
      <c r="M165" s="200">
        <v>3</v>
      </c>
      <c r="N165" s="200">
        <v>20</v>
      </c>
    </row>
    <row r="166" spans="1:14" x14ac:dyDescent="0.25">
      <c r="A166" s="198" t="s">
        <v>108</v>
      </c>
      <c r="B166" s="198" t="s">
        <v>925</v>
      </c>
      <c r="C166" s="198">
        <v>0</v>
      </c>
      <c r="D166" s="196">
        <v>85</v>
      </c>
      <c r="E166" s="196">
        <v>3.0489999999999999</v>
      </c>
      <c r="F166" s="196">
        <v>0.10199999999999999</v>
      </c>
      <c r="G166" s="196">
        <v>5.5049999999999999</v>
      </c>
      <c r="H166" s="196">
        <v>80.635999999999996</v>
      </c>
      <c r="I166" s="196">
        <v>270.36200000000002</v>
      </c>
      <c r="J166" s="196">
        <v>277.959</v>
      </c>
      <c r="K166" s="196">
        <v>2.3570000000000002</v>
      </c>
      <c r="L166" s="200">
        <v>166</v>
      </c>
      <c r="M166" s="200">
        <v>1</v>
      </c>
      <c r="N166" s="200">
        <v>5</v>
      </c>
    </row>
    <row r="167" spans="1:14" x14ac:dyDescent="0.25">
      <c r="A167" s="198" t="s">
        <v>108</v>
      </c>
      <c r="B167" s="198" t="s">
        <v>940</v>
      </c>
      <c r="C167" s="198">
        <v>0</v>
      </c>
      <c r="D167" s="196">
        <v>85</v>
      </c>
      <c r="E167" s="196">
        <v>3.052</v>
      </c>
      <c r="F167" s="196">
        <v>0.14000000000000001</v>
      </c>
      <c r="G167" s="196">
        <v>15.962999999999999</v>
      </c>
      <c r="H167" s="196">
        <v>208.97</v>
      </c>
      <c r="I167" s="196">
        <v>321.60000000000002</v>
      </c>
      <c r="J167" s="196">
        <v>29.93</v>
      </c>
      <c r="K167" s="196">
        <v>2.61</v>
      </c>
      <c r="L167" s="200">
        <v>167</v>
      </c>
      <c r="M167" s="200">
        <v>1</v>
      </c>
      <c r="N167" s="200">
        <v>5</v>
      </c>
    </row>
    <row r="168" spans="1:14" x14ac:dyDescent="0.25">
      <c r="A168" s="198" t="s">
        <v>108</v>
      </c>
      <c r="B168" s="198" t="s">
        <v>946</v>
      </c>
      <c r="C168" s="198">
        <v>0</v>
      </c>
      <c r="D168" s="196">
        <v>166</v>
      </c>
      <c r="E168" s="196">
        <v>3.056</v>
      </c>
      <c r="F168" s="196">
        <v>0.14899999999999999</v>
      </c>
      <c r="G168" s="196">
        <v>17.285</v>
      </c>
      <c r="H168" s="196">
        <v>95.653999999999996</v>
      </c>
      <c r="I168" s="196">
        <v>280.42200000000003</v>
      </c>
      <c r="J168" s="196">
        <v>204.09299999999999</v>
      </c>
      <c r="K168" s="196">
        <v>1.92</v>
      </c>
      <c r="L168" s="200">
        <v>168</v>
      </c>
      <c r="M168" s="200">
        <v>1</v>
      </c>
      <c r="N168" s="200">
        <v>5</v>
      </c>
    </row>
    <row r="169" spans="1:14" x14ac:dyDescent="0.25">
      <c r="A169" s="198" t="s">
        <v>108</v>
      </c>
      <c r="B169" s="198" t="s">
        <v>953</v>
      </c>
      <c r="C169" s="198">
        <v>0</v>
      </c>
      <c r="D169" s="196">
        <v>127</v>
      </c>
      <c r="E169" s="196">
        <v>3.0619999999999998</v>
      </c>
      <c r="F169" s="196">
        <v>7.5999999999999998E-2</v>
      </c>
      <c r="G169" s="196">
        <v>15.236000000000001</v>
      </c>
      <c r="H169" s="196">
        <v>337.06</v>
      </c>
      <c r="I169" s="196">
        <v>89.251999999999995</v>
      </c>
      <c r="J169" s="196">
        <v>279.3</v>
      </c>
      <c r="K169" s="196">
        <v>1.6</v>
      </c>
      <c r="L169" s="200">
        <v>169</v>
      </c>
      <c r="M169" s="200">
        <v>1</v>
      </c>
      <c r="N169" s="200">
        <v>5</v>
      </c>
    </row>
    <row r="170" spans="1:14" x14ac:dyDescent="0.25">
      <c r="A170" s="198" t="s">
        <v>108</v>
      </c>
      <c r="B170" s="198" t="s">
        <v>959</v>
      </c>
      <c r="C170" s="198">
        <v>0</v>
      </c>
      <c r="D170" s="196">
        <v>68</v>
      </c>
      <c r="E170" s="196">
        <v>3.0649999999999999</v>
      </c>
      <c r="F170" s="196">
        <v>0.153</v>
      </c>
      <c r="G170" s="196">
        <v>12.996</v>
      </c>
      <c r="H170" s="196">
        <v>154.196</v>
      </c>
      <c r="I170" s="196">
        <v>243.03800000000001</v>
      </c>
      <c r="J170" s="196">
        <v>250.185</v>
      </c>
      <c r="K170" s="196"/>
      <c r="L170" s="200">
        <v>170</v>
      </c>
      <c r="M170" s="200">
        <v>1</v>
      </c>
      <c r="N170" s="200">
        <v>5</v>
      </c>
    </row>
    <row r="171" spans="1:14" x14ac:dyDescent="0.25">
      <c r="A171" s="198" t="s">
        <v>108</v>
      </c>
      <c r="B171" s="198" t="s">
        <v>965</v>
      </c>
      <c r="C171" s="198">
        <v>0</v>
      </c>
      <c r="D171" s="196">
        <v>88</v>
      </c>
      <c r="E171" s="196">
        <v>3.0680000000000001</v>
      </c>
      <c r="F171" s="196">
        <v>3.7999999999999999E-2</v>
      </c>
      <c r="G171" s="196">
        <v>11.23</v>
      </c>
      <c r="H171" s="196">
        <v>200.10300000000001</v>
      </c>
      <c r="I171" s="196">
        <v>69.471000000000004</v>
      </c>
      <c r="J171" s="196">
        <v>237.495</v>
      </c>
      <c r="K171" s="196">
        <v>1.462</v>
      </c>
      <c r="L171" s="200">
        <v>171</v>
      </c>
      <c r="M171" s="200">
        <v>1</v>
      </c>
      <c r="N171" s="200">
        <v>5</v>
      </c>
    </row>
    <row r="172" spans="1:14" x14ac:dyDescent="0.25">
      <c r="A172" s="198" t="s">
        <v>108</v>
      </c>
      <c r="B172" s="198" t="s">
        <v>972</v>
      </c>
      <c r="C172" s="198">
        <v>0</v>
      </c>
      <c r="D172" s="196">
        <v>50</v>
      </c>
      <c r="E172" s="196">
        <v>3.069</v>
      </c>
      <c r="F172" s="196">
        <v>0.14599999999999999</v>
      </c>
      <c r="G172" s="196">
        <v>17.82</v>
      </c>
      <c r="H172" s="196">
        <v>310.95400000000001</v>
      </c>
      <c r="I172" s="196">
        <v>232.869</v>
      </c>
      <c r="J172" s="196">
        <v>135.977</v>
      </c>
      <c r="K172" s="196"/>
      <c r="L172" s="200">
        <v>172</v>
      </c>
      <c r="M172" s="200">
        <v>1</v>
      </c>
      <c r="N172" s="200">
        <v>5</v>
      </c>
    </row>
    <row r="173" spans="1:14" x14ac:dyDescent="0.25">
      <c r="A173" s="198" t="s">
        <v>108</v>
      </c>
      <c r="B173" s="198" t="s">
        <v>978</v>
      </c>
      <c r="C173" s="198">
        <v>0</v>
      </c>
      <c r="D173" s="196">
        <v>63</v>
      </c>
      <c r="E173" s="196">
        <v>3.0840000000000001</v>
      </c>
      <c r="F173" s="196">
        <v>0.25</v>
      </c>
      <c r="G173" s="196">
        <v>15.106999999999999</v>
      </c>
      <c r="H173" s="196">
        <v>45.905999999999999</v>
      </c>
      <c r="I173" s="196">
        <v>331.49700000000001</v>
      </c>
      <c r="J173" s="196">
        <v>235.76300000000001</v>
      </c>
      <c r="K173" s="196">
        <v>9.2899999999999991</v>
      </c>
      <c r="L173" s="200">
        <v>173</v>
      </c>
      <c r="M173" s="200">
        <v>1</v>
      </c>
      <c r="N173" s="200">
        <v>5</v>
      </c>
    </row>
    <row r="174" spans="1:14" x14ac:dyDescent="0.25">
      <c r="A174" s="198" t="s">
        <v>108</v>
      </c>
      <c r="B174" s="198" t="s">
        <v>984</v>
      </c>
      <c r="C174" s="198">
        <v>0</v>
      </c>
      <c r="D174" s="196">
        <v>71</v>
      </c>
      <c r="E174" s="196">
        <v>3.0920000000000001</v>
      </c>
      <c r="F174" s="196">
        <v>0.13700000000000001</v>
      </c>
      <c r="G174" s="196">
        <v>2.44</v>
      </c>
      <c r="H174" s="196">
        <v>69.573999999999998</v>
      </c>
      <c r="I174" s="196">
        <v>120.914</v>
      </c>
      <c r="J174" s="196">
        <v>302.25700000000001</v>
      </c>
      <c r="K174" s="196">
        <v>1.5649999999999999</v>
      </c>
      <c r="L174" s="200">
        <v>174</v>
      </c>
      <c r="M174" s="200">
        <v>1</v>
      </c>
      <c r="N174" s="200">
        <v>5</v>
      </c>
    </row>
    <row r="175" spans="1:14" x14ac:dyDescent="0.25">
      <c r="A175" s="198" t="s">
        <v>108</v>
      </c>
      <c r="B175" s="198" t="s">
        <v>990</v>
      </c>
      <c r="C175" s="198">
        <v>0</v>
      </c>
      <c r="D175" s="196">
        <v>160</v>
      </c>
      <c r="E175" s="196">
        <v>3.0950000000000002</v>
      </c>
      <c r="F175" s="196">
        <v>0.10199999999999999</v>
      </c>
      <c r="G175" s="196">
        <v>7.4669999999999996</v>
      </c>
      <c r="H175" s="196">
        <v>343.36500000000001</v>
      </c>
      <c r="I175" s="196">
        <v>129.011</v>
      </c>
      <c r="J175" s="196">
        <v>52.86</v>
      </c>
      <c r="K175" s="196">
        <v>1.4550000000000001</v>
      </c>
      <c r="L175" s="200">
        <v>175</v>
      </c>
      <c r="M175" s="200">
        <v>1</v>
      </c>
      <c r="N175" s="200">
        <v>5</v>
      </c>
    </row>
    <row r="176" spans="1:14" x14ac:dyDescent="0.25">
      <c r="A176" s="198" t="s">
        <v>108</v>
      </c>
      <c r="B176" s="198" t="s">
        <v>997</v>
      </c>
      <c r="C176" s="198">
        <v>0</v>
      </c>
      <c r="D176" s="196">
        <v>75</v>
      </c>
      <c r="E176" s="196">
        <v>3.101</v>
      </c>
      <c r="F176" s="196">
        <v>0.22500000000000001</v>
      </c>
      <c r="G176" s="196">
        <v>3.17</v>
      </c>
      <c r="H176" s="196">
        <v>111.146</v>
      </c>
      <c r="I176" s="196">
        <v>285.64600000000002</v>
      </c>
      <c r="J176" s="196">
        <v>169.53</v>
      </c>
      <c r="K176" s="196"/>
      <c r="L176" s="200">
        <v>176</v>
      </c>
      <c r="M176" s="200">
        <v>1</v>
      </c>
      <c r="N176" s="200">
        <v>5</v>
      </c>
    </row>
    <row r="177" spans="1:14" x14ac:dyDescent="0.25">
      <c r="A177" s="198" t="s">
        <v>108</v>
      </c>
      <c r="B177" s="198" t="s">
        <v>1003</v>
      </c>
      <c r="C177" s="198">
        <v>0</v>
      </c>
      <c r="D177" s="196">
        <v>63</v>
      </c>
      <c r="E177" s="196">
        <v>3.1030000000000002</v>
      </c>
      <c r="F177" s="196">
        <v>0.108</v>
      </c>
      <c r="G177" s="196">
        <v>6.1310000000000002</v>
      </c>
      <c r="H177" s="196">
        <v>333.387</v>
      </c>
      <c r="I177" s="196">
        <v>134.13200000000001</v>
      </c>
      <c r="J177" s="196">
        <v>214.036</v>
      </c>
      <c r="K177" s="196">
        <v>1.4</v>
      </c>
      <c r="L177" s="200">
        <v>177</v>
      </c>
      <c r="M177" s="200">
        <v>1</v>
      </c>
      <c r="N177" s="200">
        <v>5</v>
      </c>
    </row>
    <row r="178" spans="1:14" x14ac:dyDescent="0.25">
      <c r="A178" s="198" t="s">
        <v>108</v>
      </c>
      <c r="B178" s="198" t="s">
        <v>1009</v>
      </c>
      <c r="C178" s="198">
        <v>0</v>
      </c>
      <c r="D178" s="196">
        <v>50</v>
      </c>
      <c r="E178" s="196">
        <v>3.109</v>
      </c>
      <c r="F178" s="196">
        <v>0.159</v>
      </c>
      <c r="G178" s="196">
        <v>24.893999999999998</v>
      </c>
      <c r="H178" s="196">
        <v>338.34</v>
      </c>
      <c r="I178" s="196">
        <v>90.105999999999995</v>
      </c>
      <c r="J178" s="196">
        <v>177.10900000000001</v>
      </c>
      <c r="K178" s="196"/>
      <c r="L178" s="200">
        <v>178</v>
      </c>
      <c r="M178" s="200">
        <v>1</v>
      </c>
      <c r="N178" s="200">
        <v>5</v>
      </c>
    </row>
    <row r="179" spans="1:14" x14ac:dyDescent="0.25">
      <c r="A179" s="198" t="s">
        <v>108</v>
      </c>
      <c r="B179" s="198" t="s">
        <v>1015</v>
      </c>
      <c r="C179" s="198">
        <v>0</v>
      </c>
      <c r="D179" s="196">
        <v>108</v>
      </c>
      <c r="E179" s="196">
        <v>3.11</v>
      </c>
      <c r="F179" s="196">
        <v>7.4999999999999997E-2</v>
      </c>
      <c r="G179" s="196">
        <v>6.5540000000000003</v>
      </c>
      <c r="H179" s="196">
        <v>257.58300000000003</v>
      </c>
      <c r="I179" s="196">
        <v>183.75399999999999</v>
      </c>
      <c r="J179" s="196">
        <v>336.19099999999997</v>
      </c>
      <c r="K179" s="196">
        <v>1.72</v>
      </c>
      <c r="L179" s="200">
        <v>179</v>
      </c>
      <c r="M179" s="200">
        <v>1</v>
      </c>
      <c r="N179" s="200">
        <v>5</v>
      </c>
    </row>
    <row r="180" spans="1:14" x14ac:dyDescent="0.25">
      <c r="A180" s="198" t="s">
        <v>108</v>
      </c>
      <c r="B180" s="198" t="s">
        <v>1022</v>
      </c>
      <c r="C180" s="198">
        <v>0</v>
      </c>
      <c r="D180" s="196">
        <v>62</v>
      </c>
      <c r="E180" s="196">
        <v>3.1110000000000002</v>
      </c>
      <c r="F180" s="196">
        <v>0.106</v>
      </c>
      <c r="G180" s="196">
        <v>16.116</v>
      </c>
      <c r="H180" s="196">
        <v>103.92400000000001</v>
      </c>
      <c r="I180" s="196">
        <v>352.32799999999997</v>
      </c>
      <c r="J180" s="196">
        <v>325.24599999999998</v>
      </c>
      <c r="K180" s="196">
        <v>3.27</v>
      </c>
      <c r="L180" s="200">
        <v>180</v>
      </c>
      <c r="M180" s="200">
        <v>1</v>
      </c>
      <c r="N180" s="200">
        <v>5</v>
      </c>
    </row>
    <row r="181" spans="1:14" x14ac:dyDescent="0.25">
      <c r="A181" s="198" t="s">
        <v>108</v>
      </c>
      <c r="B181" s="198" t="s">
        <v>1028</v>
      </c>
      <c r="C181" s="198">
        <v>0</v>
      </c>
      <c r="D181" s="196">
        <v>60</v>
      </c>
      <c r="E181" s="196">
        <v>3.1139999999999999</v>
      </c>
      <c r="F181" s="196">
        <v>0.20799999999999999</v>
      </c>
      <c r="G181" s="196">
        <v>4.8220000000000001</v>
      </c>
      <c r="H181" s="196">
        <v>307.88600000000002</v>
      </c>
      <c r="I181" s="196">
        <v>86.451999999999998</v>
      </c>
      <c r="J181" s="196">
        <v>264.875</v>
      </c>
      <c r="K181" s="196"/>
      <c r="L181" s="200">
        <v>181</v>
      </c>
      <c r="M181" s="200">
        <v>1</v>
      </c>
      <c r="N181" s="200">
        <v>5</v>
      </c>
    </row>
    <row r="182" spans="1:14" x14ac:dyDescent="0.25">
      <c r="A182" s="198" t="s">
        <v>108</v>
      </c>
      <c r="B182" s="198" t="s">
        <v>1034</v>
      </c>
      <c r="C182" s="198">
        <v>0</v>
      </c>
      <c r="D182" s="196">
        <v>47</v>
      </c>
      <c r="E182" s="196">
        <v>3.1139999999999999</v>
      </c>
      <c r="F182" s="196">
        <v>9.7000000000000003E-2</v>
      </c>
      <c r="G182" s="196">
        <v>19.085000000000001</v>
      </c>
      <c r="H182" s="196">
        <v>214.40299999999999</v>
      </c>
      <c r="I182" s="196">
        <v>144.857</v>
      </c>
      <c r="J182" s="196">
        <v>346.43799999999999</v>
      </c>
      <c r="K182" s="196"/>
      <c r="L182" s="200">
        <v>182</v>
      </c>
      <c r="M182" s="200">
        <v>1</v>
      </c>
      <c r="N182" s="200">
        <v>5</v>
      </c>
    </row>
    <row r="183" spans="1:14" x14ac:dyDescent="0.25">
      <c r="A183" s="198" t="s">
        <v>108</v>
      </c>
      <c r="B183" s="198" t="s">
        <v>1039</v>
      </c>
      <c r="C183" s="198">
        <v>0</v>
      </c>
      <c r="D183" s="196">
        <v>68</v>
      </c>
      <c r="E183" s="196">
        <v>3.1160000000000001</v>
      </c>
      <c r="F183" s="196">
        <v>0.105</v>
      </c>
      <c r="G183" s="196">
        <v>4.2640000000000002</v>
      </c>
      <c r="H183" s="196">
        <v>100.91</v>
      </c>
      <c r="I183" s="196">
        <v>313.47800000000001</v>
      </c>
      <c r="J183" s="196">
        <v>28.128</v>
      </c>
      <c r="K183" s="196">
        <v>8.41</v>
      </c>
      <c r="L183" s="200">
        <v>183</v>
      </c>
      <c r="M183" s="200">
        <v>1</v>
      </c>
      <c r="N183" s="200">
        <v>5</v>
      </c>
    </row>
    <row r="184" spans="1:14" x14ac:dyDescent="0.25">
      <c r="A184" s="198" t="s">
        <v>108</v>
      </c>
      <c r="B184" s="198" t="s">
        <v>1045</v>
      </c>
      <c r="C184" s="198">
        <v>0</v>
      </c>
      <c r="D184" s="196">
        <v>78</v>
      </c>
      <c r="E184" s="196">
        <v>3.1179999999999999</v>
      </c>
      <c r="F184" s="196">
        <v>5.2999999999999999E-2</v>
      </c>
      <c r="G184" s="196">
        <v>6.9640000000000004</v>
      </c>
      <c r="H184" s="196">
        <v>232.822</v>
      </c>
      <c r="I184" s="196">
        <v>341.19299999999998</v>
      </c>
      <c r="J184" s="196">
        <v>56.21</v>
      </c>
      <c r="K184" s="196"/>
      <c r="L184" s="200">
        <v>184</v>
      </c>
      <c r="M184" s="200">
        <v>1</v>
      </c>
      <c r="N184" s="200">
        <v>5</v>
      </c>
    </row>
    <row r="185" spans="1:14" x14ac:dyDescent="0.25">
      <c r="A185" s="198" t="s">
        <v>108</v>
      </c>
      <c r="B185" s="198" t="s">
        <v>1052</v>
      </c>
      <c r="C185" s="198">
        <v>0</v>
      </c>
      <c r="D185" s="196">
        <v>68</v>
      </c>
      <c r="E185" s="196">
        <v>3.1179999999999999</v>
      </c>
      <c r="F185" s="196">
        <v>1.7999999999999999E-2</v>
      </c>
      <c r="G185" s="196">
        <v>7.2549999999999999</v>
      </c>
      <c r="H185" s="196">
        <v>195.69</v>
      </c>
      <c r="I185" s="196">
        <v>72.384</v>
      </c>
      <c r="J185" s="196">
        <v>276.49</v>
      </c>
      <c r="K185" s="196">
        <v>2.48</v>
      </c>
      <c r="L185" s="200">
        <v>185</v>
      </c>
      <c r="M185" s="200">
        <v>1</v>
      </c>
      <c r="N185" s="200">
        <v>5</v>
      </c>
    </row>
    <row r="186" spans="1:14" x14ac:dyDescent="0.25">
      <c r="A186" s="198" t="s">
        <v>108</v>
      </c>
      <c r="B186" s="198" t="s">
        <v>1057</v>
      </c>
      <c r="C186" s="198">
        <v>0</v>
      </c>
      <c r="D186" s="196">
        <v>61</v>
      </c>
      <c r="E186" s="196">
        <v>3.1179999999999999</v>
      </c>
      <c r="F186" s="196">
        <v>7.2999999999999995E-2</v>
      </c>
      <c r="G186" s="196">
        <v>21.645</v>
      </c>
      <c r="H186" s="196">
        <v>268.35599999999999</v>
      </c>
      <c r="I186" s="196">
        <v>211.29900000000001</v>
      </c>
      <c r="J186" s="196">
        <v>204.74100000000001</v>
      </c>
      <c r="K186" s="196"/>
      <c r="L186" s="200">
        <v>186</v>
      </c>
      <c r="M186" s="200">
        <v>1</v>
      </c>
      <c r="N186" s="200">
        <v>5</v>
      </c>
    </row>
    <row r="187" spans="1:14" x14ac:dyDescent="0.25">
      <c r="A187" s="198" t="s">
        <v>108</v>
      </c>
      <c r="B187" s="198" t="s">
        <v>1062</v>
      </c>
      <c r="C187" s="198">
        <v>0</v>
      </c>
      <c r="D187" s="196">
        <v>50</v>
      </c>
      <c r="E187" s="196">
        <v>3.1219999999999999</v>
      </c>
      <c r="F187" s="196">
        <v>0.193</v>
      </c>
      <c r="G187" s="196">
        <v>16.381</v>
      </c>
      <c r="H187" s="196">
        <v>201.49</v>
      </c>
      <c r="I187" s="196">
        <v>129.81</v>
      </c>
      <c r="J187" s="196">
        <v>33.057000000000002</v>
      </c>
      <c r="K187" s="196"/>
      <c r="L187" s="200">
        <v>187</v>
      </c>
      <c r="M187" s="200">
        <v>1</v>
      </c>
      <c r="N187" s="200">
        <v>5</v>
      </c>
    </row>
    <row r="188" spans="1:14" x14ac:dyDescent="0.25">
      <c r="A188" s="198" t="s">
        <v>108</v>
      </c>
      <c r="B188" s="198" t="s">
        <v>1068</v>
      </c>
      <c r="C188" s="198">
        <v>0</v>
      </c>
      <c r="D188" s="196">
        <v>48</v>
      </c>
      <c r="E188" s="196">
        <v>3.1219999999999999</v>
      </c>
      <c r="F188" s="196">
        <v>0.17799999999999999</v>
      </c>
      <c r="G188" s="196">
        <v>2.2229999999999999</v>
      </c>
      <c r="H188" s="196">
        <v>273.28500000000003</v>
      </c>
      <c r="I188" s="196">
        <v>125.738</v>
      </c>
      <c r="J188" s="196">
        <v>161.828</v>
      </c>
      <c r="K188" s="196">
        <v>1.38</v>
      </c>
      <c r="L188" s="200">
        <v>188</v>
      </c>
      <c r="M188" s="200">
        <v>1</v>
      </c>
      <c r="N188" s="200">
        <v>5</v>
      </c>
    </row>
    <row r="189" spans="1:14" x14ac:dyDescent="0.25">
      <c r="A189" s="198" t="s">
        <v>108</v>
      </c>
      <c r="B189" s="198" t="s">
        <v>1073</v>
      </c>
      <c r="C189" s="198">
        <v>0</v>
      </c>
      <c r="D189" s="196">
        <v>50</v>
      </c>
      <c r="E189" s="196">
        <v>3.1230000000000002</v>
      </c>
      <c r="F189" s="196">
        <v>6.2E-2</v>
      </c>
      <c r="G189" s="196">
        <v>6.8730000000000002</v>
      </c>
      <c r="H189" s="196">
        <v>64.100999999999999</v>
      </c>
      <c r="I189" s="196">
        <v>344.00200000000001</v>
      </c>
      <c r="J189" s="196">
        <v>357.173</v>
      </c>
      <c r="K189" s="196"/>
      <c r="L189" s="200">
        <v>189</v>
      </c>
      <c r="M189" s="200">
        <v>1</v>
      </c>
      <c r="N189" s="200">
        <v>5</v>
      </c>
    </row>
    <row r="190" spans="1:14" x14ac:dyDescent="0.25">
      <c r="A190" s="198" t="s">
        <v>108</v>
      </c>
      <c r="B190" s="198" t="s">
        <v>1079</v>
      </c>
      <c r="C190" s="198">
        <v>0</v>
      </c>
      <c r="D190" s="196">
        <v>101</v>
      </c>
      <c r="E190" s="196">
        <v>3.1240000000000001</v>
      </c>
      <c r="F190" s="196">
        <v>0.107</v>
      </c>
      <c r="G190" s="196">
        <v>15.930999999999999</v>
      </c>
      <c r="H190" s="196">
        <v>344.67700000000002</v>
      </c>
      <c r="I190" s="196">
        <v>336.67899999999997</v>
      </c>
      <c r="J190" s="196">
        <v>121.102</v>
      </c>
      <c r="K190" s="196">
        <v>2.29</v>
      </c>
      <c r="L190" s="200">
        <v>190</v>
      </c>
      <c r="M190" s="200">
        <v>1</v>
      </c>
      <c r="N190" s="200">
        <v>5</v>
      </c>
    </row>
    <row r="191" spans="1:14" x14ac:dyDescent="0.25">
      <c r="A191" s="198" t="s">
        <v>108</v>
      </c>
      <c r="B191" s="198" t="s">
        <v>1085</v>
      </c>
      <c r="C191" s="198">
        <v>0</v>
      </c>
      <c r="D191" s="196">
        <v>72</v>
      </c>
      <c r="E191" s="196">
        <v>3.1240000000000001</v>
      </c>
      <c r="F191" s="196">
        <v>0.221</v>
      </c>
      <c r="G191" s="196">
        <v>13.428000000000001</v>
      </c>
      <c r="H191" s="196">
        <v>107.128</v>
      </c>
      <c r="I191" s="196">
        <v>202.458</v>
      </c>
      <c r="J191" s="196">
        <v>225.048</v>
      </c>
      <c r="K191" s="196">
        <v>4.46</v>
      </c>
      <c r="L191" s="200">
        <v>191</v>
      </c>
      <c r="M191" s="200">
        <v>1</v>
      </c>
      <c r="N191" s="200">
        <v>5</v>
      </c>
    </row>
    <row r="192" spans="1:14" x14ac:dyDescent="0.25">
      <c r="A192" s="198" t="s">
        <v>108</v>
      </c>
      <c r="B192" s="198" t="s">
        <v>1104</v>
      </c>
      <c r="C192" s="198">
        <v>0</v>
      </c>
      <c r="D192" s="196">
        <v>90</v>
      </c>
      <c r="E192" s="196">
        <v>3.125</v>
      </c>
      <c r="F192" s="196">
        <v>8.3000000000000004E-2</v>
      </c>
      <c r="G192" s="196">
        <v>11.236000000000001</v>
      </c>
      <c r="H192" s="196">
        <v>350.85</v>
      </c>
      <c r="I192" s="196">
        <v>302.65800000000002</v>
      </c>
      <c r="J192" s="196">
        <v>128.93199999999999</v>
      </c>
      <c r="K192" s="196">
        <v>8.14</v>
      </c>
      <c r="L192" s="200">
        <v>192</v>
      </c>
      <c r="M192" s="200">
        <v>1</v>
      </c>
      <c r="N192" s="200">
        <v>5</v>
      </c>
    </row>
    <row r="193" spans="1:17" x14ac:dyDescent="0.25">
      <c r="A193" s="198" t="s">
        <v>108</v>
      </c>
      <c r="B193" s="198" t="s">
        <v>1110</v>
      </c>
      <c r="C193" s="198">
        <v>0</v>
      </c>
      <c r="D193" s="196">
        <v>52</v>
      </c>
      <c r="E193" s="196">
        <v>3.1259999999999999</v>
      </c>
      <c r="F193" s="196">
        <v>0.13300000000000001</v>
      </c>
      <c r="G193" s="196">
        <v>14.337</v>
      </c>
      <c r="H193" s="196">
        <v>48.469000000000001</v>
      </c>
      <c r="I193" s="196">
        <v>177.84</v>
      </c>
      <c r="J193" s="196">
        <v>172.39599999999999</v>
      </c>
      <c r="K193" s="196"/>
      <c r="L193" s="200">
        <v>193</v>
      </c>
      <c r="M193" s="200">
        <v>1</v>
      </c>
      <c r="N193" s="200">
        <v>5</v>
      </c>
    </row>
    <row r="194" spans="1:17" x14ac:dyDescent="0.25">
      <c r="A194" s="198" t="s">
        <v>108</v>
      </c>
      <c r="B194" s="198" t="s">
        <v>1116</v>
      </c>
      <c r="C194" s="198">
        <v>3</v>
      </c>
      <c r="D194" s="196">
        <v>100</v>
      </c>
      <c r="E194" s="196">
        <v>3.1269999999999998</v>
      </c>
      <c r="F194" s="196">
        <v>0.20899999999999999</v>
      </c>
      <c r="G194" s="196">
        <v>22.782</v>
      </c>
      <c r="H194" s="196">
        <v>237.58799999999999</v>
      </c>
      <c r="I194" s="196">
        <v>145.00899999999999</v>
      </c>
      <c r="J194" s="196">
        <v>87.757999999999996</v>
      </c>
      <c r="K194" s="196">
        <v>1.55</v>
      </c>
      <c r="L194" s="200">
        <v>194</v>
      </c>
      <c r="M194" s="200">
        <v>1</v>
      </c>
      <c r="N194" s="200">
        <v>5</v>
      </c>
    </row>
    <row r="195" spans="1:17" x14ac:dyDescent="0.25">
      <c r="A195" s="198" t="s">
        <v>32</v>
      </c>
      <c r="B195" s="198" t="s">
        <v>1122</v>
      </c>
      <c r="C195" s="198"/>
      <c r="D195" s="196">
        <v>1</v>
      </c>
      <c r="E195" s="196"/>
      <c r="F195" s="196">
        <v>0.33</v>
      </c>
      <c r="G195" s="196"/>
      <c r="H195" s="196"/>
      <c r="I195" s="196"/>
      <c r="J195" s="196"/>
      <c r="K195" s="196"/>
      <c r="L195" s="200">
        <v>195</v>
      </c>
      <c r="M195" s="200">
        <v>3</v>
      </c>
      <c r="N195" s="200">
        <v>20</v>
      </c>
    </row>
    <row r="196" spans="1:17" x14ac:dyDescent="0.25">
      <c r="A196" s="198" t="s">
        <v>32</v>
      </c>
      <c r="B196" s="198" t="s">
        <v>1124</v>
      </c>
      <c r="C196" s="198"/>
      <c r="D196" s="196">
        <v>1</v>
      </c>
      <c r="E196" s="196"/>
      <c r="F196" s="196">
        <v>0.03</v>
      </c>
      <c r="G196" s="196"/>
      <c r="H196" s="196"/>
      <c r="I196" s="196"/>
      <c r="J196" s="196"/>
      <c r="K196" s="196"/>
      <c r="L196" s="200">
        <v>196</v>
      </c>
      <c r="M196" s="200">
        <v>3</v>
      </c>
      <c r="N196" s="200">
        <v>20</v>
      </c>
    </row>
    <row r="197" spans="1:17" x14ac:dyDescent="0.25">
      <c r="A197" s="198" t="s">
        <v>32</v>
      </c>
      <c r="B197" s="198" t="s">
        <v>1126</v>
      </c>
      <c r="C197" s="198"/>
      <c r="D197" s="196">
        <v>3</v>
      </c>
      <c r="E197" s="196"/>
      <c r="F197" s="196">
        <v>8.4000000000000005E-2</v>
      </c>
      <c r="G197" s="196"/>
      <c r="H197" s="196"/>
      <c r="I197" s="196"/>
      <c r="J197" s="196"/>
      <c r="K197" s="196"/>
      <c r="L197" s="200">
        <v>197</v>
      </c>
      <c r="M197" s="200">
        <v>3</v>
      </c>
      <c r="N197" s="200">
        <v>20</v>
      </c>
    </row>
    <row r="198" spans="1:17" x14ac:dyDescent="0.25">
      <c r="A198" s="198" t="s">
        <v>108</v>
      </c>
      <c r="B198" s="198" t="s">
        <v>1128</v>
      </c>
      <c r="C198" s="198">
        <v>0</v>
      </c>
      <c r="D198" s="196">
        <v>55</v>
      </c>
      <c r="E198" s="196">
        <v>3.129</v>
      </c>
      <c r="F198" s="196">
        <v>0.27200000000000002</v>
      </c>
      <c r="G198" s="196">
        <v>25.204000000000001</v>
      </c>
      <c r="H198" s="196">
        <v>251.95099999999999</v>
      </c>
      <c r="I198" s="196">
        <v>55.667999999999999</v>
      </c>
      <c r="J198" s="196">
        <v>1.093</v>
      </c>
      <c r="K198" s="196"/>
      <c r="L198" s="200">
        <v>198</v>
      </c>
      <c r="M198" s="200">
        <v>1</v>
      </c>
      <c r="N198" s="200">
        <v>5</v>
      </c>
    </row>
    <row r="199" spans="1:17" x14ac:dyDescent="0.25">
      <c r="A199" s="198" t="s">
        <v>108</v>
      </c>
      <c r="B199" s="198" t="s">
        <v>1134</v>
      </c>
      <c r="C199" s="198">
        <v>0</v>
      </c>
      <c r="D199" s="196">
        <v>53</v>
      </c>
      <c r="E199" s="196">
        <v>3.13</v>
      </c>
      <c r="F199" s="196">
        <v>0.20399999999999999</v>
      </c>
      <c r="G199" s="196">
        <v>18.89</v>
      </c>
      <c r="H199" s="196">
        <v>318.94299999999998</v>
      </c>
      <c r="I199" s="196">
        <v>143.22399999999999</v>
      </c>
      <c r="J199" s="196">
        <v>32.320999999999998</v>
      </c>
      <c r="K199" s="196"/>
      <c r="L199" s="200">
        <v>199</v>
      </c>
      <c r="M199" s="200">
        <v>1</v>
      </c>
      <c r="N199" s="200">
        <v>5</v>
      </c>
    </row>
    <row r="200" spans="1:17" x14ac:dyDescent="0.25">
      <c r="A200" s="198" t="s">
        <v>108</v>
      </c>
      <c r="B200" s="198" t="s">
        <v>1140</v>
      </c>
      <c r="C200" s="198">
        <v>0</v>
      </c>
      <c r="D200" s="196">
        <v>65</v>
      </c>
      <c r="E200" s="196">
        <v>3.133</v>
      </c>
      <c r="F200" s="196">
        <v>0.13300000000000001</v>
      </c>
      <c r="G200" s="196">
        <v>2.5459999999999998</v>
      </c>
      <c r="H200" s="196">
        <v>56.848999999999997</v>
      </c>
      <c r="I200" s="196">
        <v>100.52</v>
      </c>
      <c r="J200" s="196">
        <v>11.164</v>
      </c>
      <c r="K200" s="196">
        <v>1.7549999999999999</v>
      </c>
      <c r="L200" s="200">
        <v>200</v>
      </c>
      <c r="M200" s="200">
        <v>1</v>
      </c>
      <c r="N200" s="200">
        <v>5</v>
      </c>
    </row>
    <row r="201" spans="1:17" x14ac:dyDescent="0.25">
      <c r="A201" s="198" t="s">
        <v>108</v>
      </c>
      <c r="B201" s="198" t="s">
        <v>1153</v>
      </c>
      <c r="C201" s="198">
        <v>0</v>
      </c>
      <c r="D201" s="196">
        <v>93</v>
      </c>
      <c r="E201" s="196">
        <v>3.1349999999999998</v>
      </c>
      <c r="F201" s="196">
        <v>0.128</v>
      </c>
      <c r="G201" s="196">
        <v>10.813000000000001</v>
      </c>
      <c r="H201" s="196">
        <v>168.07</v>
      </c>
      <c r="I201" s="196">
        <v>86.864000000000004</v>
      </c>
      <c r="J201" s="196">
        <v>71.260000000000005</v>
      </c>
      <c r="K201" s="196">
        <v>2.16</v>
      </c>
      <c r="L201" s="200">
        <v>201</v>
      </c>
      <c r="M201" s="200">
        <v>1</v>
      </c>
      <c r="N201" s="200">
        <v>5</v>
      </c>
    </row>
    <row r="202" spans="1:17" x14ac:dyDescent="0.25">
      <c r="A202" s="198" t="s">
        <v>108</v>
      </c>
      <c r="B202" s="198" t="s">
        <v>1160</v>
      </c>
      <c r="C202" s="198">
        <v>0</v>
      </c>
      <c r="D202" s="196">
        <v>67</v>
      </c>
      <c r="E202" s="196">
        <v>3.1349999999999998</v>
      </c>
      <c r="F202" s="196">
        <v>2.8000000000000001E-2</v>
      </c>
      <c r="G202" s="196">
        <v>1.931</v>
      </c>
      <c r="H202" s="196">
        <v>100.69199999999999</v>
      </c>
      <c r="I202" s="196">
        <v>248.357</v>
      </c>
      <c r="J202" s="196">
        <v>92.905000000000001</v>
      </c>
      <c r="K202" s="196">
        <v>14.13</v>
      </c>
      <c r="L202" s="200">
        <v>202</v>
      </c>
      <c r="M202" s="200">
        <v>1</v>
      </c>
      <c r="N202" s="200">
        <v>5</v>
      </c>
    </row>
    <row r="203" spans="1:17" x14ac:dyDescent="0.25">
      <c r="A203" s="197" t="s">
        <v>1090</v>
      </c>
      <c r="B203" s="198" t="s">
        <v>1091</v>
      </c>
      <c r="C203" s="198">
        <v>0</v>
      </c>
      <c r="D203" s="196">
        <v>217</v>
      </c>
      <c r="E203" s="196">
        <v>3.1419999999999999</v>
      </c>
      <c r="F203" s="196">
        <v>0.11899999999999999</v>
      </c>
      <c r="G203" s="196">
        <v>3.8420000000000001</v>
      </c>
      <c r="H203" s="196">
        <v>313.55700000000002</v>
      </c>
      <c r="I203" s="196">
        <v>283.64600000000002</v>
      </c>
      <c r="J203" s="196">
        <v>273.78800000000001</v>
      </c>
      <c r="K203" s="196">
        <v>2.0019999999999998</v>
      </c>
      <c r="L203" s="200">
        <v>203</v>
      </c>
      <c r="M203" s="200">
        <v>1</v>
      </c>
      <c r="N203" s="200">
        <v>5</v>
      </c>
      <c r="O203" s="194" t="s">
        <v>1091</v>
      </c>
      <c r="P203" s="194" t="s">
        <v>9597</v>
      </c>
      <c r="Q203" s="200" t="s">
        <v>8054</v>
      </c>
    </row>
    <row r="204" spans="1:17" x14ac:dyDescent="0.25">
      <c r="A204" s="198" t="s">
        <v>108</v>
      </c>
      <c r="B204" s="198" t="s">
        <v>1148</v>
      </c>
      <c r="C204" s="198">
        <v>0</v>
      </c>
      <c r="D204" s="196">
        <v>104</v>
      </c>
      <c r="E204" s="196">
        <v>3.1429999999999998</v>
      </c>
      <c r="F204" s="196">
        <v>0.13200000000000001</v>
      </c>
      <c r="G204" s="196">
        <v>0.76</v>
      </c>
      <c r="H204" s="196">
        <v>107.989</v>
      </c>
      <c r="I204" s="196">
        <v>35.991999999999997</v>
      </c>
      <c r="J204" s="196">
        <v>185.96799999999999</v>
      </c>
      <c r="K204" s="196">
        <v>2.0449999999999999</v>
      </c>
      <c r="L204" s="200">
        <v>204</v>
      </c>
      <c r="M204" s="200">
        <v>1</v>
      </c>
      <c r="N204" s="200">
        <v>5</v>
      </c>
    </row>
    <row r="205" spans="1:17" x14ac:dyDescent="0.25">
      <c r="A205" s="198" t="s">
        <v>108</v>
      </c>
      <c r="B205" s="198" t="s">
        <v>1165</v>
      </c>
      <c r="C205" s="198">
        <v>0</v>
      </c>
      <c r="D205" s="196">
        <v>67</v>
      </c>
      <c r="E205" s="196">
        <v>3.145</v>
      </c>
      <c r="F205" s="196">
        <v>0.182</v>
      </c>
      <c r="G205" s="196">
        <v>11.266</v>
      </c>
      <c r="H205" s="196">
        <v>114.819</v>
      </c>
      <c r="I205" s="196">
        <v>253.16</v>
      </c>
      <c r="J205" s="196">
        <v>53.487000000000002</v>
      </c>
      <c r="K205" s="196">
        <v>7.81</v>
      </c>
      <c r="L205" s="200">
        <v>205</v>
      </c>
      <c r="M205" s="200">
        <v>1</v>
      </c>
      <c r="N205" s="200">
        <v>5</v>
      </c>
    </row>
    <row r="206" spans="1:17" x14ac:dyDescent="0.25">
      <c r="A206" s="198" t="s">
        <v>108</v>
      </c>
      <c r="B206" s="198" t="s">
        <v>1171</v>
      </c>
      <c r="C206" s="198">
        <v>0</v>
      </c>
      <c r="D206" s="196">
        <v>51</v>
      </c>
      <c r="E206" s="196">
        <v>3.145</v>
      </c>
      <c r="F206" s="196">
        <v>0.17</v>
      </c>
      <c r="G206" s="196">
        <v>1.8280000000000001</v>
      </c>
      <c r="H206" s="196">
        <v>216.161</v>
      </c>
      <c r="I206" s="196">
        <v>117.229</v>
      </c>
      <c r="J206" s="196">
        <v>230.61099999999999</v>
      </c>
      <c r="K206" s="196">
        <v>1.6779999999999999</v>
      </c>
      <c r="L206" s="200">
        <v>206</v>
      </c>
      <c r="M206" s="200">
        <v>1</v>
      </c>
      <c r="N206" s="200">
        <v>5</v>
      </c>
    </row>
    <row r="207" spans="1:17" x14ac:dyDescent="0.25">
      <c r="A207" s="198" t="s">
        <v>108</v>
      </c>
      <c r="B207" s="198" t="s">
        <v>1176</v>
      </c>
      <c r="C207" s="198">
        <v>0</v>
      </c>
      <c r="D207" s="196">
        <v>57</v>
      </c>
      <c r="E207" s="196">
        <v>3.149</v>
      </c>
      <c r="F207" s="196">
        <v>0.11799999999999999</v>
      </c>
      <c r="G207" s="196">
        <v>15.2</v>
      </c>
      <c r="H207" s="196">
        <v>212.84800000000001</v>
      </c>
      <c r="I207" s="196">
        <v>199.33699999999999</v>
      </c>
      <c r="J207" s="196">
        <v>68.001000000000005</v>
      </c>
      <c r="K207" s="196">
        <v>16.62</v>
      </c>
      <c r="L207" s="200">
        <v>207</v>
      </c>
      <c r="M207" s="200">
        <v>1</v>
      </c>
      <c r="N207" s="200">
        <v>5</v>
      </c>
    </row>
    <row r="208" spans="1:17" x14ac:dyDescent="0.25">
      <c r="A208" s="198" t="s">
        <v>108</v>
      </c>
      <c r="B208" s="198" t="s">
        <v>1098</v>
      </c>
      <c r="C208" s="198">
        <v>0</v>
      </c>
      <c r="D208" s="196">
        <v>6</v>
      </c>
      <c r="E208" s="196">
        <v>3.149</v>
      </c>
      <c r="F208" s="196">
        <v>0.246</v>
      </c>
      <c r="G208" s="196">
        <v>22.81</v>
      </c>
      <c r="H208" s="196">
        <v>132.43</v>
      </c>
      <c r="I208" s="196">
        <v>249.14599999999999</v>
      </c>
      <c r="J208" s="196">
        <v>191.38300000000001</v>
      </c>
      <c r="K208" s="196"/>
      <c r="L208" s="200">
        <v>208</v>
      </c>
      <c r="M208" s="200">
        <v>1</v>
      </c>
      <c r="N208" s="200">
        <v>5</v>
      </c>
    </row>
    <row r="209" spans="1:14" x14ac:dyDescent="0.25">
      <c r="A209" s="198" t="s">
        <v>108</v>
      </c>
      <c r="B209" s="198" t="s">
        <v>1181</v>
      </c>
      <c r="C209" s="198">
        <v>0</v>
      </c>
      <c r="D209" s="196">
        <v>61</v>
      </c>
      <c r="E209" s="196">
        <v>3.149</v>
      </c>
      <c r="F209" s="196">
        <v>0.13200000000000001</v>
      </c>
      <c r="G209" s="196">
        <v>12.819000000000001</v>
      </c>
      <c r="H209" s="196">
        <v>76.691999999999993</v>
      </c>
      <c r="I209" s="196">
        <v>23.861999999999998</v>
      </c>
      <c r="J209" s="196">
        <v>56.902000000000001</v>
      </c>
      <c r="K209" s="196">
        <v>3.524</v>
      </c>
      <c r="L209" s="200">
        <v>209</v>
      </c>
      <c r="M209" s="200">
        <v>1</v>
      </c>
      <c r="N209" s="200">
        <v>5</v>
      </c>
    </row>
    <row r="210" spans="1:14" x14ac:dyDescent="0.25">
      <c r="A210" s="198" t="s">
        <v>108</v>
      </c>
      <c r="B210" s="198" t="s">
        <v>1186</v>
      </c>
      <c r="C210" s="198">
        <v>0</v>
      </c>
      <c r="D210" s="196">
        <v>90</v>
      </c>
      <c r="E210" s="196">
        <v>3.15</v>
      </c>
      <c r="F210" s="196">
        <v>5.8000000000000003E-2</v>
      </c>
      <c r="G210" s="196">
        <v>7.17</v>
      </c>
      <c r="H210" s="196">
        <v>248.387</v>
      </c>
      <c r="I210" s="196">
        <v>0.68300000000000005</v>
      </c>
      <c r="J210" s="196">
        <v>311.72199999999998</v>
      </c>
      <c r="K210" s="196"/>
      <c r="L210" s="200">
        <v>210</v>
      </c>
      <c r="M210" s="200">
        <v>1</v>
      </c>
      <c r="N210" s="200">
        <v>5</v>
      </c>
    </row>
    <row r="211" spans="1:14" x14ac:dyDescent="0.25">
      <c r="A211" s="198" t="s">
        <v>108</v>
      </c>
      <c r="B211" s="198" t="s">
        <v>1192</v>
      </c>
      <c r="C211" s="198">
        <v>0</v>
      </c>
      <c r="D211" s="196">
        <v>70</v>
      </c>
      <c r="E211" s="196">
        <v>3.1509999999999998</v>
      </c>
      <c r="F211" s="196">
        <v>4.4999999999999998E-2</v>
      </c>
      <c r="G211" s="196">
        <v>13</v>
      </c>
      <c r="H211" s="196">
        <v>12.215</v>
      </c>
      <c r="I211" s="196">
        <v>166.898</v>
      </c>
      <c r="J211" s="196">
        <v>282.24</v>
      </c>
      <c r="K211" s="196"/>
      <c r="L211" s="200">
        <v>211</v>
      </c>
      <c r="M211" s="200">
        <v>1</v>
      </c>
      <c r="N211" s="200">
        <v>5</v>
      </c>
    </row>
    <row r="212" spans="1:14" x14ac:dyDescent="0.25">
      <c r="A212" s="198" t="s">
        <v>108</v>
      </c>
      <c r="B212" s="198" t="s">
        <v>1198</v>
      </c>
      <c r="C212" s="198">
        <v>0</v>
      </c>
      <c r="D212" s="196">
        <v>87</v>
      </c>
      <c r="E212" s="196">
        <v>3.1509999999999998</v>
      </c>
      <c r="F212" s="196">
        <v>0.26</v>
      </c>
      <c r="G212" s="196">
        <v>23.827999999999999</v>
      </c>
      <c r="H212" s="196">
        <v>115.58199999999999</v>
      </c>
      <c r="I212" s="196">
        <v>327.37</v>
      </c>
      <c r="J212" s="196">
        <v>275.76900000000001</v>
      </c>
      <c r="K212" s="196">
        <v>1.4</v>
      </c>
      <c r="L212" s="200">
        <v>212</v>
      </c>
      <c r="M212" s="200">
        <v>1</v>
      </c>
      <c r="N212" s="200">
        <v>5</v>
      </c>
    </row>
    <row r="213" spans="1:14" x14ac:dyDescent="0.25">
      <c r="A213" s="198" t="s">
        <v>108</v>
      </c>
      <c r="B213" s="198" t="s">
        <v>1203</v>
      </c>
      <c r="C213" s="198">
        <v>0</v>
      </c>
      <c r="D213" s="196">
        <v>67</v>
      </c>
      <c r="E213" s="196">
        <v>3.153</v>
      </c>
      <c r="F213" s="196">
        <v>0.158</v>
      </c>
      <c r="G213" s="196">
        <v>2.7909999999999999</v>
      </c>
      <c r="H213" s="196">
        <v>32.134</v>
      </c>
      <c r="I213" s="196">
        <v>41.698</v>
      </c>
      <c r="J213" s="196">
        <v>101.498</v>
      </c>
      <c r="K213" s="196">
        <v>1.633</v>
      </c>
      <c r="L213" s="200">
        <v>213</v>
      </c>
      <c r="M213" s="200">
        <v>1</v>
      </c>
      <c r="N213" s="200">
        <v>5</v>
      </c>
    </row>
    <row r="214" spans="1:14" x14ac:dyDescent="0.25">
      <c r="A214" s="198" t="s">
        <v>108</v>
      </c>
      <c r="B214" s="198" t="s">
        <v>1209</v>
      </c>
      <c r="C214" s="198">
        <v>1</v>
      </c>
      <c r="D214" s="196">
        <v>134</v>
      </c>
      <c r="E214" s="196">
        <v>3.1549999999999998</v>
      </c>
      <c r="F214" s="196">
        <v>0.221</v>
      </c>
      <c r="G214" s="196">
        <v>26.303000000000001</v>
      </c>
      <c r="H214" s="196">
        <v>61.47</v>
      </c>
      <c r="I214" s="196">
        <v>31.119</v>
      </c>
      <c r="J214" s="196">
        <v>87.167000000000002</v>
      </c>
      <c r="K214" s="196">
        <v>1.65</v>
      </c>
      <c r="L214" s="200">
        <v>214</v>
      </c>
      <c r="M214" s="200">
        <v>1</v>
      </c>
      <c r="N214" s="200">
        <v>5</v>
      </c>
    </row>
    <row r="215" spans="1:14" x14ac:dyDescent="0.25">
      <c r="A215" s="198" t="s">
        <v>32</v>
      </c>
      <c r="B215" s="198" t="s">
        <v>1216</v>
      </c>
      <c r="C215" s="198"/>
      <c r="D215" s="196">
        <v>4</v>
      </c>
      <c r="E215" s="196"/>
      <c r="F215" s="196">
        <v>4.2999999999999997E-2</v>
      </c>
      <c r="G215" s="196">
        <v>1.4</v>
      </c>
      <c r="H215" s="196"/>
      <c r="I215" s="196"/>
      <c r="J215" s="196"/>
      <c r="K215" s="196"/>
      <c r="L215" s="200">
        <v>215</v>
      </c>
      <c r="M215" s="200">
        <v>3</v>
      </c>
      <c r="N215" s="200">
        <v>20</v>
      </c>
    </row>
    <row r="216" spans="1:14" x14ac:dyDescent="0.25">
      <c r="A216" s="198" t="s">
        <v>108</v>
      </c>
      <c r="B216" s="198" t="s">
        <v>1219</v>
      </c>
      <c r="C216" s="198">
        <v>1</v>
      </c>
      <c r="D216" s="196">
        <v>69</v>
      </c>
      <c r="E216" s="196">
        <v>3.1549999999999998</v>
      </c>
      <c r="F216" s="196">
        <v>0.10299999999999999</v>
      </c>
      <c r="G216" s="196">
        <v>13.089</v>
      </c>
      <c r="H216" s="196">
        <v>189.54</v>
      </c>
      <c r="I216" s="196">
        <v>305.76</v>
      </c>
      <c r="J216" s="196">
        <v>348.62</v>
      </c>
      <c r="K216" s="196">
        <v>0.9</v>
      </c>
      <c r="L216" s="200">
        <v>216</v>
      </c>
      <c r="M216" s="200">
        <v>1</v>
      </c>
      <c r="N216" s="200">
        <v>5</v>
      </c>
    </row>
    <row r="217" spans="1:14" x14ac:dyDescent="0.25">
      <c r="A217" s="198" t="s">
        <v>32</v>
      </c>
      <c r="B217" s="198" t="s">
        <v>1225</v>
      </c>
      <c r="C217" s="198"/>
      <c r="D217" s="196">
        <v>8</v>
      </c>
      <c r="E217" s="196"/>
      <c r="F217" s="196"/>
      <c r="G217" s="196"/>
      <c r="H217" s="196"/>
      <c r="I217" s="196"/>
      <c r="J217" s="196"/>
      <c r="K217" s="196"/>
      <c r="L217" s="200">
        <v>217</v>
      </c>
      <c r="M217" s="200">
        <v>3</v>
      </c>
      <c r="N217" s="200">
        <v>20</v>
      </c>
    </row>
    <row r="218" spans="1:14" x14ac:dyDescent="0.25">
      <c r="A218" s="198" t="s">
        <v>108</v>
      </c>
      <c r="B218" s="198" t="s">
        <v>1227</v>
      </c>
      <c r="C218" s="198">
        <v>0</v>
      </c>
      <c r="D218" s="196">
        <v>54</v>
      </c>
      <c r="E218" s="196">
        <v>3.1560000000000001</v>
      </c>
      <c r="F218" s="196">
        <v>0.31</v>
      </c>
      <c r="G218" s="196">
        <v>21.835000000000001</v>
      </c>
      <c r="H218" s="196">
        <v>296.92200000000003</v>
      </c>
      <c r="I218" s="196">
        <v>88.856999999999999</v>
      </c>
      <c r="J218" s="196">
        <v>262.38499999999999</v>
      </c>
      <c r="K218" s="196">
        <v>1.74</v>
      </c>
      <c r="L218" s="200">
        <v>218</v>
      </c>
      <c r="M218" s="200">
        <v>1</v>
      </c>
      <c r="N218" s="200">
        <v>5</v>
      </c>
    </row>
    <row r="219" spans="1:14" x14ac:dyDescent="0.25">
      <c r="A219" s="198" t="s">
        <v>108</v>
      </c>
      <c r="B219" s="198" t="s">
        <v>1233</v>
      </c>
      <c r="C219" s="198">
        <v>0</v>
      </c>
      <c r="D219" s="196">
        <v>53</v>
      </c>
      <c r="E219" s="196">
        <v>3.1560000000000001</v>
      </c>
      <c r="F219" s="196">
        <v>7.3999999999999996E-2</v>
      </c>
      <c r="G219" s="196">
        <v>15.064</v>
      </c>
      <c r="H219" s="196">
        <v>254.25</v>
      </c>
      <c r="I219" s="196">
        <v>137.809</v>
      </c>
      <c r="J219" s="196">
        <v>144.322</v>
      </c>
      <c r="K219" s="196"/>
      <c r="L219" s="200">
        <v>219</v>
      </c>
      <c r="M219" s="200">
        <v>1</v>
      </c>
      <c r="N219" s="200">
        <v>5</v>
      </c>
    </row>
    <row r="220" spans="1:14" x14ac:dyDescent="0.25">
      <c r="A220" s="198" t="s">
        <v>108</v>
      </c>
      <c r="B220" s="198" t="s">
        <v>1238</v>
      </c>
      <c r="C220" s="198">
        <v>0</v>
      </c>
      <c r="D220" s="196">
        <v>42</v>
      </c>
      <c r="E220" s="196">
        <v>3.1579999999999999</v>
      </c>
      <c r="F220" s="196">
        <v>0.18</v>
      </c>
      <c r="G220" s="196">
        <v>3.1930000000000001</v>
      </c>
      <c r="H220" s="196">
        <v>140.13</v>
      </c>
      <c r="I220" s="196">
        <v>274.39999999999998</v>
      </c>
      <c r="J220" s="196">
        <v>114.65</v>
      </c>
      <c r="K220" s="196"/>
      <c r="L220" s="200">
        <v>220</v>
      </c>
      <c r="M220" s="200">
        <v>1</v>
      </c>
      <c r="N220" s="200">
        <v>5</v>
      </c>
    </row>
    <row r="221" spans="1:14" x14ac:dyDescent="0.25">
      <c r="A221" s="198" t="s">
        <v>108</v>
      </c>
      <c r="B221" s="198" t="s">
        <v>1245</v>
      </c>
      <c r="C221" s="198">
        <v>0</v>
      </c>
      <c r="D221" s="196">
        <v>102</v>
      </c>
      <c r="E221" s="196">
        <v>3.16</v>
      </c>
      <c r="F221" s="196">
        <v>9.1999999999999998E-2</v>
      </c>
      <c r="G221" s="196">
        <v>7.9729999999999999</v>
      </c>
      <c r="H221" s="196">
        <v>60.826000000000001</v>
      </c>
      <c r="I221" s="196">
        <v>2.5990000000000002</v>
      </c>
      <c r="J221" s="196">
        <v>132.71799999999999</v>
      </c>
      <c r="K221" s="196">
        <v>1.6759999999999999</v>
      </c>
      <c r="L221" s="200">
        <v>221</v>
      </c>
      <c r="M221" s="200">
        <v>1</v>
      </c>
      <c r="N221" s="200">
        <v>5</v>
      </c>
    </row>
    <row r="222" spans="1:14" x14ac:dyDescent="0.25">
      <c r="A222" s="198" t="s">
        <v>108</v>
      </c>
      <c r="B222" s="198" t="s">
        <v>1251</v>
      </c>
      <c r="C222" s="198">
        <v>0</v>
      </c>
      <c r="D222" s="196">
        <v>70</v>
      </c>
      <c r="E222" s="196">
        <v>3.161</v>
      </c>
      <c r="F222" s="196">
        <v>8.0000000000000002E-3</v>
      </c>
      <c r="G222" s="196">
        <v>13.337</v>
      </c>
      <c r="H222" s="196">
        <v>195.01499999999999</v>
      </c>
      <c r="I222" s="196">
        <v>44.222999999999999</v>
      </c>
      <c r="J222" s="196">
        <v>25.231000000000002</v>
      </c>
      <c r="K222" s="196">
        <v>2.09</v>
      </c>
      <c r="L222" s="200">
        <v>222</v>
      </c>
      <c r="M222" s="200">
        <v>1</v>
      </c>
      <c r="N222" s="200">
        <v>5</v>
      </c>
    </row>
    <row r="223" spans="1:14" x14ac:dyDescent="0.25">
      <c r="A223" s="198" t="s">
        <v>108</v>
      </c>
      <c r="B223" s="198" t="s">
        <v>1257</v>
      </c>
      <c r="C223" s="198">
        <v>0</v>
      </c>
      <c r="D223" s="196">
        <v>149</v>
      </c>
      <c r="E223" s="196">
        <v>3.1629999999999998</v>
      </c>
      <c r="F223" s="196">
        <v>0.185</v>
      </c>
      <c r="G223" s="196">
        <v>15.936</v>
      </c>
      <c r="H223" s="196">
        <v>338.69400000000002</v>
      </c>
      <c r="I223" s="196">
        <v>107.68300000000001</v>
      </c>
      <c r="J223" s="196">
        <v>124.997</v>
      </c>
      <c r="K223" s="196">
        <v>2.4449999999999998</v>
      </c>
      <c r="L223" s="200">
        <v>223</v>
      </c>
      <c r="M223" s="200">
        <v>1</v>
      </c>
      <c r="N223" s="200">
        <v>5</v>
      </c>
    </row>
    <row r="224" spans="1:14" x14ac:dyDescent="0.25">
      <c r="A224" s="198" t="s">
        <v>108</v>
      </c>
      <c r="B224" s="198" t="s">
        <v>1264</v>
      </c>
      <c r="C224" s="198">
        <v>0</v>
      </c>
      <c r="D224" s="196">
        <v>62</v>
      </c>
      <c r="E224" s="196">
        <v>3.1640000000000001</v>
      </c>
      <c r="F224" s="196">
        <v>0.191</v>
      </c>
      <c r="G224" s="196">
        <v>9.1539999999999999</v>
      </c>
      <c r="H224" s="196">
        <v>267.02</v>
      </c>
      <c r="I224" s="196">
        <v>326.25400000000002</v>
      </c>
      <c r="J224" s="196">
        <v>71.257000000000005</v>
      </c>
      <c r="K224" s="196"/>
      <c r="L224" s="200">
        <v>224</v>
      </c>
      <c r="M224" s="200">
        <v>1</v>
      </c>
      <c r="N224" s="200">
        <v>5</v>
      </c>
    </row>
    <row r="225" spans="1:14" x14ac:dyDescent="0.25">
      <c r="A225" s="198" t="s">
        <v>108</v>
      </c>
      <c r="B225" s="198" t="s">
        <v>1270</v>
      </c>
      <c r="C225" s="198">
        <v>0</v>
      </c>
      <c r="D225" s="196">
        <v>75</v>
      </c>
      <c r="E225" s="196">
        <v>3.169</v>
      </c>
      <c r="F225" s="196">
        <v>0.159</v>
      </c>
      <c r="G225" s="196">
        <v>11.518000000000001</v>
      </c>
      <c r="H225" s="196">
        <v>71.366</v>
      </c>
      <c r="I225" s="196">
        <v>84.233000000000004</v>
      </c>
      <c r="J225" s="196">
        <v>197.66499999999999</v>
      </c>
      <c r="K225" s="196">
        <v>1.1000000000000001</v>
      </c>
      <c r="L225" s="200">
        <v>225</v>
      </c>
      <c r="M225" s="200">
        <v>1</v>
      </c>
      <c r="N225" s="200">
        <v>5</v>
      </c>
    </row>
    <row r="226" spans="1:14" x14ac:dyDescent="0.25">
      <c r="A226" s="198" t="s">
        <v>108</v>
      </c>
      <c r="B226" s="198" t="s">
        <v>1276</v>
      </c>
      <c r="C226" s="198">
        <v>0</v>
      </c>
      <c r="D226" s="196">
        <v>57</v>
      </c>
      <c r="E226" s="196">
        <v>3.1720000000000002</v>
      </c>
      <c r="F226" s="196">
        <v>9.5000000000000001E-2</v>
      </c>
      <c r="G226" s="196">
        <v>9.2810000000000006</v>
      </c>
      <c r="H226" s="196">
        <v>194.39</v>
      </c>
      <c r="I226" s="196">
        <v>178.33500000000001</v>
      </c>
      <c r="J226" s="196">
        <v>31.094000000000001</v>
      </c>
      <c r="K226" s="196">
        <v>8.3699999999999992</v>
      </c>
      <c r="L226" s="200">
        <v>226</v>
      </c>
      <c r="M226" s="200">
        <v>1</v>
      </c>
      <c r="N226" s="200">
        <v>5</v>
      </c>
    </row>
    <row r="227" spans="1:14" x14ac:dyDescent="0.25">
      <c r="A227" s="198" t="s">
        <v>108</v>
      </c>
      <c r="B227" s="198" t="s">
        <v>1282</v>
      </c>
      <c r="C227" s="198">
        <v>0</v>
      </c>
      <c r="D227" s="196">
        <v>74</v>
      </c>
      <c r="E227" s="196">
        <v>3.1749999999999998</v>
      </c>
      <c r="F227" s="196">
        <v>0.16700000000000001</v>
      </c>
      <c r="G227" s="196">
        <v>4.5970000000000004</v>
      </c>
      <c r="H227" s="196">
        <v>329.72500000000002</v>
      </c>
      <c r="I227" s="196">
        <v>62.162999999999997</v>
      </c>
      <c r="J227" s="196">
        <v>51.526000000000003</v>
      </c>
      <c r="K227" s="196">
        <v>1.83</v>
      </c>
      <c r="L227" s="200">
        <v>227</v>
      </c>
      <c r="M227" s="200">
        <v>1</v>
      </c>
      <c r="N227" s="200">
        <v>5</v>
      </c>
    </row>
    <row r="228" spans="1:14" x14ac:dyDescent="0.25">
      <c r="A228" s="198" t="s">
        <v>108</v>
      </c>
      <c r="B228" s="198" t="s">
        <v>1288</v>
      </c>
      <c r="C228" s="198">
        <v>0</v>
      </c>
      <c r="D228" s="196">
        <v>53</v>
      </c>
      <c r="E228" s="196">
        <v>3.177</v>
      </c>
      <c r="F228" s="196">
        <v>0.16</v>
      </c>
      <c r="G228" s="196">
        <v>14.518000000000001</v>
      </c>
      <c r="H228" s="196">
        <v>133.61000000000001</v>
      </c>
      <c r="I228" s="196">
        <v>89.766000000000005</v>
      </c>
      <c r="J228" s="196">
        <v>267.56</v>
      </c>
      <c r="K228" s="196">
        <v>1.6060000000000001</v>
      </c>
      <c r="L228" s="200">
        <v>228</v>
      </c>
      <c r="M228" s="200">
        <v>1</v>
      </c>
      <c r="N228" s="200">
        <v>5</v>
      </c>
    </row>
    <row r="229" spans="1:14" x14ac:dyDescent="0.25">
      <c r="A229" s="198" t="s">
        <v>108</v>
      </c>
      <c r="B229" s="198" t="s">
        <v>1294</v>
      </c>
      <c r="C229" s="198">
        <v>0</v>
      </c>
      <c r="D229" s="196">
        <v>63</v>
      </c>
      <c r="E229" s="196">
        <v>3.181</v>
      </c>
      <c r="F229" s="196">
        <v>0.159</v>
      </c>
      <c r="G229" s="196">
        <v>11.596</v>
      </c>
      <c r="H229" s="196">
        <v>209.58799999999999</v>
      </c>
      <c r="I229" s="196">
        <v>333.476</v>
      </c>
      <c r="J229" s="196">
        <v>153.11500000000001</v>
      </c>
      <c r="K229" s="196">
        <v>4.32</v>
      </c>
      <c r="L229" s="200">
        <v>229</v>
      </c>
      <c r="M229" s="200">
        <v>1</v>
      </c>
      <c r="N229" s="200">
        <v>5</v>
      </c>
    </row>
    <row r="230" spans="1:14" x14ac:dyDescent="0.25">
      <c r="A230" s="198" t="s">
        <v>108</v>
      </c>
      <c r="B230" s="198" t="s">
        <v>1300</v>
      </c>
      <c r="C230" s="198">
        <v>0</v>
      </c>
      <c r="D230" s="196">
        <v>63</v>
      </c>
      <c r="E230" s="196">
        <v>3.1880000000000002</v>
      </c>
      <c r="F230" s="196">
        <v>0.104</v>
      </c>
      <c r="G230" s="196">
        <v>9.9290000000000003</v>
      </c>
      <c r="H230" s="196">
        <v>239.494</v>
      </c>
      <c r="I230" s="196">
        <v>101.58799999999999</v>
      </c>
      <c r="J230" s="196">
        <v>6.125</v>
      </c>
      <c r="K230" s="196">
        <v>4.3899999999999997</v>
      </c>
      <c r="L230" s="200">
        <v>230</v>
      </c>
      <c r="M230" s="200">
        <v>1</v>
      </c>
      <c r="N230" s="200">
        <v>5</v>
      </c>
    </row>
    <row r="231" spans="1:14" x14ac:dyDescent="0.25">
      <c r="A231" s="198" t="s">
        <v>108</v>
      </c>
      <c r="B231" s="198" t="s">
        <v>1306</v>
      </c>
      <c r="C231" s="198">
        <v>0</v>
      </c>
      <c r="D231" s="196">
        <v>61</v>
      </c>
      <c r="E231" s="196">
        <v>3.1880000000000002</v>
      </c>
      <c r="F231" s="196">
        <v>0.16800000000000001</v>
      </c>
      <c r="G231" s="196">
        <v>22.66</v>
      </c>
      <c r="H231" s="196">
        <v>188.17</v>
      </c>
      <c r="I231" s="196">
        <v>200.5</v>
      </c>
      <c r="J231" s="196">
        <v>165.15</v>
      </c>
      <c r="K231" s="196"/>
      <c r="L231" s="200">
        <v>231</v>
      </c>
      <c r="M231" s="200">
        <v>1</v>
      </c>
      <c r="N231" s="200">
        <v>5</v>
      </c>
    </row>
    <row r="232" spans="1:14" x14ac:dyDescent="0.25">
      <c r="A232" s="198" t="s">
        <v>108</v>
      </c>
      <c r="B232" s="198" t="s">
        <v>1311</v>
      </c>
      <c r="C232" s="198">
        <v>0</v>
      </c>
      <c r="D232" s="196">
        <v>60</v>
      </c>
      <c r="E232" s="196">
        <v>3.1890000000000001</v>
      </c>
      <c r="F232" s="196">
        <v>7.2999999999999995E-2</v>
      </c>
      <c r="G232" s="196">
        <v>17.036999999999999</v>
      </c>
      <c r="H232" s="196">
        <v>228.13800000000001</v>
      </c>
      <c r="I232" s="196">
        <v>111.07</v>
      </c>
      <c r="J232" s="196">
        <v>142.01900000000001</v>
      </c>
      <c r="K232" s="196"/>
      <c r="L232" s="200">
        <v>232</v>
      </c>
      <c r="M232" s="200">
        <v>1</v>
      </c>
      <c r="N232" s="200">
        <v>5</v>
      </c>
    </row>
    <row r="233" spans="1:14" x14ac:dyDescent="0.25">
      <c r="A233" s="198" t="s">
        <v>108</v>
      </c>
      <c r="B233" s="198" t="s">
        <v>1317</v>
      </c>
      <c r="C233" s="198">
        <v>1</v>
      </c>
      <c r="D233" s="196">
        <v>95</v>
      </c>
      <c r="E233" s="196">
        <v>3.1949999999999998</v>
      </c>
      <c r="F233" s="196">
        <v>1.7999999999999999E-2</v>
      </c>
      <c r="G233" s="196">
        <v>20.588999999999999</v>
      </c>
      <c r="H233" s="196">
        <v>349.49</v>
      </c>
      <c r="I233" s="196">
        <v>289.77</v>
      </c>
      <c r="J233" s="196">
        <v>311.58</v>
      </c>
      <c r="K233" s="196">
        <v>1.57</v>
      </c>
      <c r="L233" s="200">
        <v>233</v>
      </c>
      <c r="M233" s="200">
        <v>1</v>
      </c>
      <c r="N233" s="200">
        <v>5</v>
      </c>
    </row>
    <row r="234" spans="1:14" x14ac:dyDescent="0.25">
      <c r="A234" s="198" t="s">
        <v>32</v>
      </c>
      <c r="B234" s="198" t="s">
        <v>1324</v>
      </c>
      <c r="C234" s="198"/>
      <c r="D234" s="196">
        <v>2</v>
      </c>
      <c r="E234" s="196"/>
      <c r="F234" s="196"/>
      <c r="G234" s="196"/>
      <c r="H234" s="196"/>
      <c r="I234" s="196"/>
      <c r="J234" s="196"/>
      <c r="K234" s="196"/>
      <c r="L234" s="200">
        <v>234</v>
      </c>
      <c r="M234" s="200">
        <v>1</v>
      </c>
      <c r="N234" s="200">
        <v>20</v>
      </c>
    </row>
    <row r="235" spans="1:14" x14ac:dyDescent="0.25">
      <c r="A235" s="198" t="s">
        <v>108</v>
      </c>
      <c r="B235" s="198" t="s">
        <v>1326</v>
      </c>
      <c r="C235" s="198">
        <v>0</v>
      </c>
      <c r="D235" s="196">
        <v>94</v>
      </c>
      <c r="E235" s="196">
        <v>3.2</v>
      </c>
      <c r="F235" s="196">
        <v>7.6999999999999999E-2</v>
      </c>
      <c r="G235" s="196">
        <v>20.972000000000001</v>
      </c>
      <c r="H235" s="196">
        <v>159.72200000000001</v>
      </c>
      <c r="I235" s="196">
        <v>36.744</v>
      </c>
      <c r="J235" s="196">
        <v>125.04600000000001</v>
      </c>
      <c r="K235" s="196">
        <v>2.69</v>
      </c>
      <c r="L235" s="200">
        <v>235</v>
      </c>
      <c r="M235" s="200">
        <v>1</v>
      </c>
      <c r="N235" s="200">
        <v>5</v>
      </c>
    </row>
    <row r="236" spans="1:14" x14ac:dyDescent="0.25">
      <c r="A236" s="198" t="s">
        <v>108</v>
      </c>
      <c r="B236" s="198" t="s">
        <v>1332</v>
      </c>
      <c r="C236" s="198">
        <v>0</v>
      </c>
      <c r="D236" s="196">
        <v>56</v>
      </c>
      <c r="E236" s="196">
        <v>3.2010000000000001</v>
      </c>
      <c r="F236" s="196">
        <v>0.16900000000000001</v>
      </c>
      <c r="G236" s="196">
        <v>11.204000000000001</v>
      </c>
      <c r="H236" s="196">
        <v>330.68599999999998</v>
      </c>
      <c r="I236" s="196">
        <v>333.63799999999998</v>
      </c>
      <c r="J236" s="196">
        <v>305.36799999999999</v>
      </c>
      <c r="K236" s="196"/>
      <c r="L236" s="200">
        <v>236</v>
      </c>
      <c r="M236" s="200">
        <v>1</v>
      </c>
      <c r="N236" s="200">
        <v>5</v>
      </c>
    </row>
    <row r="237" spans="1:14" x14ac:dyDescent="0.25">
      <c r="A237" s="198" t="s">
        <v>108</v>
      </c>
      <c r="B237" s="198" t="s">
        <v>1338</v>
      </c>
      <c r="C237" s="198">
        <v>0</v>
      </c>
      <c r="D237" s="196">
        <v>55</v>
      </c>
      <c r="E237" s="196">
        <v>3.202</v>
      </c>
      <c r="F237" s="196">
        <v>0.14599999999999999</v>
      </c>
      <c r="G237" s="196">
        <v>26.077000000000002</v>
      </c>
      <c r="H237" s="196">
        <v>178.108</v>
      </c>
      <c r="I237" s="196">
        <v>264.70400000000001</v>
      </c>
      <c r="J237" s="196">
        <v>241.22900000000001</v>
      </c>
      <c r="K237" s="196">
        <v>5.76</v>
      </c>
      <c r="L237" s="200">
        <v>237</v>
      </c>
      <c r="M237" s="200">
        <v>1</v>
      </c>
      <c r="N237" s="200">
        <v>5</v>
      </c>
    </row>
    <row r="238" spans="1:14" x14ac:dyDescent="0.25">
      <c r="A238" s="198" t="s">
        <v>108</v>
      </c>
      <c r="B238" s="198" t="s">
        <v>1344</v>
      </c>
      <c r="C238" s="198">
        <v>0</v>
      </c>
      <c r="D238" s="196">
        <v>60</v>
      </c>
      <c r="E238" s="196">
        <v>3.2229999999999999</v>
      </c>
      <c r="F238" s="196">
        <v>0.09</v>
      </c>
      <c r="G238" s="196">
        <v>12.558</v>
      </c>
      <c r="H238" s="196">
        <v>142.93</v>
      </c>
      <c r="I238" s="196">
        <v>125.102</v>
      </c>
      <c r="J238" s="196">
        <v>350.73899999999998</v>
      </c>
      <c r="K238" s="196">
        <v>9.32</v>
      </c>
      <c r="L238" s="200">
        <v>238</v>
      </c>
      <c r="M238" s="200">
        <v>1</v>
      </c>
      <c r="N238" s="200">
        <v>5</v>
      </c>
    </row>
    <row r="239" spans="1:14" x14ac:dyDescent="0.25">
      <c r="A239" s="198" t="s">
        <v>108</v>
      </c>
      <c r="B239" s="198" t="s">
        <v>1350</v>
      </c>
      <c r="C239" s="198">
        <v>0</v>
      </c>
      <c r="D239" s="196">
        <v>75</v>
      </c>
      <c r="E239" s="196">
        <v>3.3820000000000001</v>
      </c>
      <c r="F239" s="196">
        <v>7.0999999999999994E-2</v>
      </c>
      <c r="G239" s="196">
        <v>4.6619999999999999</v>
      </c>
      <c r="H239" s="196">
        <v>173.92</v>
      </c>
      <c r="I239" s="196">
        <v>205.959</v>
      </c>
      <c r="J239" s="196">
        <v>171.517</v>
      </c>
      <c r="K239" s="196">
        <v>2.2599999999999998</v>
      </c>
      <c r="L239" s="200">
        <v>239</v>
      </c>
      <c r="M239" s="200">
        <v>1</v>
      </c>
      <c r="N239" s="200">
        <v>5</v>
      </c>
    </row>
    <row r="240" spans="1:14" x14ac:dyDescent="0.25">
      <c r="A240" s="198" t="s">
        <v>108</v>
      </c>
      <c r="B240" s="198" t="s">
        <v>1356</v>
      </c>
      <c r="C240" s="198">
        <v>0</v>
      </c>
      <c r="D240" s="196">
        <v>84</v>
      </c>
      <c r="E240" s="196">
        <v>3.3860000000000001</v>
      </c>
      <c r="F240" s="196">
        <v>0.11700000000000001</v>
      </c>
      <c r="G240" s="196">
        <v>4.8860000000000001</v>
      </c>
      <c r="H240" s="196">
        <v>298.52699999999999</v>
      </c>
      <c r="I240" s="196">
        <v>79.644000000000005</v>
      </c>
      <c r="J240" s="196">
        <v>177.298</v>
      </c>
      <c r="K240" s="196"/>
      <c r="L240" s="200">
        <v>240</v>
      </c>
      <c r="M240" s="200">
        <v>1</v>
      </c>
      <c r="N240" s="200">
        <v>5</v>
      </c>
    </row>
    <row r="241" spans="1:14" x14ac:dyDescent="0.25">
      <c r="A241" s="198" t="s">
        <v>108</v>
      </c>
      <c r="B241" s="198" t="s">
        <v>1362</v>
      </c>
      <c r="C241" s="198">
        <v>0</v>
      </c>
      <c r="D241" s="196">
        <v>83</v>
      </c>
      <c r="E241" s="196">
        <v>3.4119999999999999</v>
      </c>
      <c r="F241" s="196">
        <v>0.151</v>
      </c>
      <c r="G241" s="196">
        <v>20.526</v>
      </c>
      <c r="H241" s="196">
        <v>38.637</v>
      </c>
      <c r="I241" s="196">
        <v>252.03200000000001</v>
      </c>
      <c r="J241" s="196">
        <v>87.114999999999995</v>
      </c>
      <c r="K241" s="196">
        <v>2.09</v>
      </c>
      <c r="L241" s="200">
        <v>241</v>
      </c>
      <c r="M241" s="200">
        <v>1</v>
      </c>
      <c r="N241" s="200">
        <v>5</v>
      </c>
    </row>
    <row r="242" spans="1:14" x14ac:dyDescent="0.25">
      <c r="A242" s="198" t="s">
        <v>108</v>
      </c>
      <c r="B242" s="198" t="s">
        <v>1368</v>
      </c>
      <c r="C242" s="198">
        <v>0</v>
      </c>
      <c r="D242" s="196">
        <v>71</v>
      </c>
      <c r="E242" s="196">
        <v>3.4159999999999999</v>
      </c>
      <c r="F242" s="196">
        <v>3.1E-2</v>
      </c>
      <c r="G242" s="196">
        <v>6.6870000000000003</v>
      </c>
      <c r="H242" s="196">
        <v>236.02</v>
      </c>
      <c r="I242" s="196">
        <v>242.661</v>
      </c>
      <c r="J242" s="196">
        <v>220.02199999999999</v>
      </c>
      <c r="K242" s="196">
        <v>9.9600000000000009</v>
      </c>
      <c r="L242" s="200">
        <v>242</v>
      </c>
      <c r="M242" s="200">
        <v>1</v>
      </c>
      <c r="N242" s="200">
        <v>5</v>
      </c>
    </row>
    <row r="243" spans="1:14" x14ac:dyDescent="0.25">
      <c r="A243" s="198" t="s">
        <v>108</v>
      </c>
      <c r="B243" s="198" t="s">
        <v>1374</v>
      </c>
      <c r="C243" s="198">
        <v>0</v>
      </c>
      <c r="D243" s="196">
        <v>92</v>
      </c>
      <c r="E243" s="196">
        <v>3.4180000000000001</v>
      </c>
      <c r="F243" s="196">
        <v>0.16300000000000001</v>
      </c>
      <c r="G243" s="196">
        <v>2.1160000000000001</v>
      </c>
      <c r="H243" s="196">
        <v>254.07</v>
      </c>
      <c r="I243" s="196">
        <v>204.535</v>
      </c>
      <c r="J243" s="196">
        <v>299.26799999999997</v>
      </c>
      <c r="K243" s="196">
        <v>0.79</v>
      </c>
      <c r="L243" s="200">
        <v>243</v>
      </c>
      <c r="M243" s="200">
        <v>1</v>
      </c>
      <c r="N243" s="200">
        <v>5</v>
      </c>
    </row>
    <row r="244" spans="1:14" x14ac:dyDescent="0.25">
      <c r="A244" s="198" t="s">
        <v>108</v>
      </c>
      <c r="B244" s="198" t="s">
        <v>1381</v>
      </c>
      <c r="C244" s="198">
        <v>0</v>
      </c>
      <c r="D244" s="196">
        <v>47</v>
      </c>
      <c r="E244" s="196">
        <v>3.4220000000000002</v>
      </c>
      <c r="F244" s="196">
        <v>0.13900000000000001</v>
      </c>
      <c r="G244" s="196">
        <v>2.0790000000000002</v>
      </c>
      <c r="H244" s="196">
        <v>311.26299999999998</v>
      </c>
      <c r="I244" s="196">
        <v>28.048999999999999</v>
      </c>
      <c r="J244" s="196">
        <v>78.040000000000006</v>
      </c>
      <c r="K244" s="196"/>
      <c r="L244" s="200">
        <v>244</v>
      </c>
      <c r="M244" s="200">
        <v>1</v>
      </c>
      <c r="N244" s="200">
        <v>5</v>
      </c>
    </row>
    <row r="245" spans="1:14" x14ac:dyDescent="0.25">
      <c r="A245" s="198" t="s">
        <v>108</v>
      </c>
      <c r="B245" s="198" t="s">
        <v>1387</v>
      </c>
      <c r="C245" s="198">
        <v>0</v>
      </c>
      <c r="D245" s="196">
        <v>132</v>
      </c>
      <c r="E245" s="196">
        <v>3.4279999999999999</v>
      </c>
      <c r="F245" s="196">
        <v>0.111</v>
      </c>
      <c r="G245" s="196">
        <v>3.5630000000000002</v>
      </c>
      <c r="H245" s="196">
        <v>102.37</v>
      </c>
      <c r="I245" s="196">
        <v>155.63</v>
      </c>
      <c r="J245" s="196">
        <v>168.06</v>
      </c>
      <c r="K245" s="196">
        <v>1.55</v>
      </c>
      <c r="L245" s="200">
        <v>245</v>
      </c>
      <c r="M245" s="200">
        <v>1</v>
      </c>
      <c r="N245" s="200">
        <v>5</v>
      </c>
    </row>
    <row r="246" spans="1:14" x14ac:dyDescent="0.25">
      <c r="A246" s="198" t="s">
        <v>108</v>
      </c>
      <c r="B246" s="198" t="s">
        <v>1394</v>
      </c>
      <c r="C246" s="198">
        <v>0</v>
      </c>
      <c r="D246" s="196">
        <v>47</v>
      </c>
      <c r="E246" s="196">
        <v>3.444</v>
      </c>
      <c r="F246" s="196">
        <v>0.115</v>
      </c>
      <c r="G246" s="196">
        <v>6.4160000000000004</v>
      </c>
      <c r="H246" s="196">
        <v>180.99600000000001</v>
      </c>
      <c r="I246" s="196">
        <v>165.393</v>
      </c>
      <c r="J246" s="196">
        <v>110.63800000000001</v>
      </c>
      <c r="K246" s="196"/>
      <c r="L246" s="200">
        <v>246</v>
      </c>
      <c r="M246" s="200">
        <v>1</v>
      </c>
      <c r="N246" s="200">
        <v>5</v>
      </c>
    </row>
    <row r="247" spans="1:14" x14ac:dyDescent="0.25">
      <c r="A247" s="198" t="s">
        <v>108</v>
      </c>
      <c r="B247" s="198" t="s">
        <v>1400</v>
      </c>
      <c r="C247" s="198">
        <v>1</v>
      </c>
      <c r="D247" s="196">
        <v>95</v>
      </c>
      <c r="E247" s="196">
        <v>3.448</v>
      </c>
      <c r="F247" s="196">
        <v>0.13300000000000001</v>
      </c>
      <c r="G247" s="196">
        <v>7.5979999999999999</v>
      </c>
      <c r="H247" s="196">
        <v>298.18</v>
      </c>
      <c r="I247" s="196">
        <v>73.126999999999995</v>
      </c>
      <c r="J247" s="196">
        <v>157.08000000000001</v>
      </c>
      <c r="K247" s="196">
        <v>1.8</v>
      </c>
      <c r="L247" s="200">
        <v>247</v>
      </c>
      <c r="M247" s="200">
        <v>1</v>
      </c>
      <c r="N247" s="200">
        <v>5</v>
      </c>
    </row>
    <row r="248" spans="1:14" x14ac:dyDescent="0.25">
      <c r="A248" s="198" t="s">
        <v>32</v>
      </c>
      <c r="B248" s="198" t="s">
        <v>1406</v>
      </c>
      <c r="C248" s="198"/>
      <c r="D248" s="196">
        <v>7</v>
      </c>
      <c r="E248" s="196"/>
      <c r="F248" s="196">
        <v>1E-3</v>
      </c>
      <c r="G248" s="196"/>
      <c r="H248" s="196"/>
      <c r="I248" s="196"/>
      <c r="J248" s="196"/>
      <c r="K248" s="196"/>
      <c r="L248" s="200">
        <v>248</v>
      </c>
      <c r="M248" s="200">
        <v>3</v>
      </c>
      <c r="N248" s="200">
        <v>20</v>
      </c>
    </row>
    <row r="249" spans="1:14" x14ac:dyDescent="0.25">
      <c r="A249" s="198" t="s">
        <v>108</v>
      </c>
      <c r="B249" s="198" t="s">
        <v>1408</v>
      </c>
      <c r="C249" s="198">
        <v>2</v>
      </c>
      <c r="D249" s="196">
        <v>136</v>
      </c>
      <c r="E249" s="196">
        <v>3.48</v>
      </c>
      <c r="F249" s="196">
        <v>0.08</v>
      </c>
      <c r="G249" s="196">
        <v>10.856</v>
      </c>
      <c r="H249" s="196">
        <v>266.048</v>
      </c>
      <c r="I249" s="196">
        <v>73.33</v>
      </c>
      <c r="J249" s="196">
        <v>53.356000000000002</v>
      </c>
      <c r="K249" s="196">
        <v>1.3779999999999999</v>
      </c>
      <c r="L249" s="200">
        <v>249</v>
      </c>
      <c r="M249" s="200">
        <v>1</v>
      </c>
      <c r="N249" s="200">
        <v>5</v>
      </c>
    </row>
    <row r="250" spans="1:14" x14ac:dyDescent="0.25">
      <c r="A250" s="198" t="s">
        <v>32</v>
      </c>
      <c r="B250" s="198" t="s">
        <v>1410</v>
      </c>
      <c r="C250" s="198"/>
      <c r="D250" s="196">
        <v>3</v>
      </c>
      <c r="E250" s="196"/>
      <c r="F250" s="196"/>
      <c r="G250" s="196"/>
      <c r="H250" s="196"/>
      <c r="I250" s="196"/>
      <c r="J250" s="196"/>
      <c r="K250" s="196"/>
      <c r="L250" s="200">
        <v>250</v>
      </c>
      <c r="M250" s="200">
        <v>1</v>
      </c>
      <c r="N250" s="200">
        <v>20</v>
      </c>
    </row>
    <row r="251" spans="1:14" x14ac:dyDescent="0.25">
      <c r="A251" s="198" t="s">
        <v>32</v>
      </c>
      <c r="B251" s="198" t="s">
        <v>1411</v>
      </c>
      <c r="C251" s="198"/>
      <c r="D251" s="196">
        <v>5</v>
      </c>
      <c r="E251" s="196"/>
      <c r="F251" s="196"/>
      <c r="G251" s="196"/>
      <c r="H251" s="196"/>
      <c r="I251" s="196"/>
      <c r="J251" s="196"/>
      <c r="K251" s="196"/>
      <c r="L251" s="200">
        <v>251</v>
      </c>
      <c r="M251" s="200">
        <v>1</v>
      </c>
      <c r="N251" s="200">
        <v>20</v>
      </c>
    </row>
    <row r="252" spans="1:14" x14ac:dyDescent="0.25">
      <c r="A252" s="198" t="s">
        <v>108</v>
      </c>
      <c r="B252" s="198" t="s">
        <v>1419</v>
      </c>
      <c r="C252" s="198">
        <v>0</v>
      </c>
      <c r="D252" s="196">
        <v>127</v>
      </c>
      <c r="E252" s="196">
        <v>3.4910000000000001</v>
      </c>
      <c r="F252" s="196">
        <v>6.6000000000000003E-2</v>
      </c>
      <c r="G252" s="196">
        <v>10.000999999999999</v>
      </c>
      <c r="H252" s="196">
        <v>306.77</v>
      </c>
      <c r="I252" s="196">
        <v>172.61</v>
      </c>
      <c r="J252" s="196">
        <v>265.91000000000003</v>
      </c>
      <c r="K252" s="196">
        <v>1.34</v>
      </c>
      <c r="L252" s="200">
        <v>252</v>
      </c>
      <c r="M252" s="200">
        <v>1</v>
      </c>
      <c r="N252" s="200">
        <v>5</v>
      </c>
    </row>
    <row r="253" spans="1:14" x14ac:dyDescent="0.25">
      <c r="A253" s="198" t="s">
        <v>108</v>
      </c>
      <c r="B253" s="198" t="s">
        <v>1425</v>
      </c>
      <c r="C253" s="198">
        <v>0</v>
      </c>
      <c r="D253" s="196">
        <v>77</v>
      </c>
      <c r="E253" s="196">
        <v>3.4980000000000002</v>
      </c>
      <c r="F253" s="196">
        <v>8.5999999999999993E-2</v>
      </c>
      <c r="G253" s="196">
        <v>19.425000000000001</v>
      </c>
      <c r="H253" s="196">
        <v>295.86200000000002</v>
      </c>
      <c r="I253" s="196">
        <v>59.238999999999997</v>
      </c>
      <c r="J253" s="196">
        <v>302.39999999999998</v>
      </c>
      <c r="K253" s="196">
        <v>13.36</v>
      </c>
      <c r="L253" s="200">
        <v>253</v>
      </c>
      <c r="M253" s="200">
        <v>1</v>
      </c>
      <c r="N253" s="200">
        <v>5</v>
      </c>
    </row>
    <row r="254" spans="1:14" x14ac:dyDescent="0.25">
      <c r="A254" s="198" t="s">
        <v>108</v>
      </c>
      <c r="B254" s="198" t="s">
        <v>1431</v>
      </c>
      <c r="C254" s="198">
        <v>0</v>
      </c>
      <c r="D254" s="196">
        <v>58</v>
      </c>
      <c r="E254" s="196">
        <v>3.5430000000000001</v>
      </c>
      <c r="F254" s="196">
        <v>9.0999999999999998E-2</v>
      </c>
      <c r="G254" s="196">
        <v>18.797000000000001</v>
      </c>
      <c r="H254" s="196">
        <v>232.64</v>
      </c>
      <c r="I254" s="196">
        <v>146.35</v>
      </c>
      <c r="J254" s="196">
        <v>180.34</v>
      </c>
      <c r="K254" s="196"/>
      <c r="L254" s="200">
        <v>254</v>
      </c>
      <c r="M254" s="200">
        <v>1</v>
      </c>
      <c r="N254" s="200">
        <v>5</v>
      </c>
    </row>
    <row r="255" spans="1:14" x14ac:dyDescent="0.25">
      <c r="A255" s="198" t="s">
        <v>108</v>
      </c>
      <c r="B255" s="198" t="s">
        <v>1437</v>
      </c>
      <c r="C255" s="198">
        <v>0</v>
      </c>
      <c r="D255" s="196">
        <v>50</v>
      </c>
      <c r="E255" s="196">
        <v>3.633</v>
      </c>
      <c r="F255" s="196">
        <v>8.4000000000000005E-2</v>
      </c>
      <c r="G255" s="196">
        <v>4.4169999999999998</v>
      </c>
      <c r="H255" s="196">
        <v>246.50299999999999</v>
      </c>
      <c r="I255" s="196">
        <v>116.68300000000001</v>
      </c>
      <c r="J255" s="196">
        <v>200.06</v>
      </c>
      <c r="K255" s="196"/>
      <c r="L255" s="200">
        <v>255</v>
      </c>
      <c r="M255" s="200">
        <v>1</v>
      </c>
      <c r="N255" s="200">
        <v>5</v>
      </c>
    </row>
    <row r="256" spans="1:14" x14ac:dyDescent="0.25">
      <c r="A256" s="198" t="s">
        <v>108</v>
      </c>
      <c r="B256" s="198" t="s">
        <v>1443</v>
      </c>
      <c r="C256" s="198">
        <v>0</v>
      </c>
      <c r="D256" s="196">
        <v>87</v>
      </c>
      <c r="E256" s="196">
        <v>3.895</v>
      </c>
      <c r="F256" s="196">
        <v>2.1999999999999999E-2</v>
      </c>
      <c r="G256" s="196">
        <v>4.641</v>
      </c>
      <c r="H256" s="196">
        <v>148.31</v>
      </c>
      <c r="I256" s="196">
        <v>130.179</v>
      </c>
      <c r="J256" s="196">
        <v>110.236</v>
      </c>
      <c r="K256" s="196"/>
      <c r="L256" s="200">
        <v>256</v>
      </c>
      <c r="M256" s="200">
        <v>1</v>
      </c>
      <c r="N256" s="200">
        <v>5</v>
      </c>
    </row>
    <row r="257" spans="1:17" x14ac:dyDescent="0.25">
      <c r="A257" s="198" t="s">
        <v>108</v>
      </c>
      <c r="B257" s="198" t="s">
        <v>1449</v>
      </c>
      <c r="C257" s="198">
        <v>0</v>
      </c>
      <c r="D257" s="196">
        <v>53</v>
      </c>
      <c r="E257" s="196">
        <v>3.9020000000000001</v>
      </c>
      <c r="F257" s="196">
        <v>0.1</v>
      </c>
      <c r="G257" s="196">
        <v>2.7589999999999999</v>
      </c>
      <c r="H257" s="196">
        <v>19.46</v>
      </c>
      <c r="I257" s="196">
        <v>134.71</v>
      </c>
      <c r="J257" s="196">
        <v>352.88</v>
      </c>
      <c r="K257" s="196"/>
      <c r="L257" s="200">
        <v>257</v>
      </c>
      <c r="M257" s="200">
        <v>1</v>
      </c>
      <c r="N257" s="200">
        <v>5</v>
      </c>
    </row>
    <row r="258" spans="1:17" x14ac:dyDescent="0.25">
      <c r="A258" s="198" t="s">
        <v>108</v>
      </c>
      <c r="B258" s="198" t="s">
        <v>1455</v>
      </c>
      <c r="C258" s="198">
        <v>0</v>
      </c>
      <c r="D258" s="196">
        <v>53</v>
      </c>
      <c r="E258" s="196">
        <v>3.9470000000000001</v>
      </c>
      <c r="F258" s="196">
        <v>0.188</v>
      </c>
      <c r="G258" s="196">
        <v>2.2589999999999999</v>
      </c>
      <c r="H258" s="196">
        <v>177.73</v>
      </c>
      <c r="I258" s="196">
        <v>265.45999999999998</v>
      </c>
      <c r="J258" s="196">
        <v>324.14</v>
      </c>
      <c r="K258" s="196"/>
      <c r="L258" s="200">
        <v>258</v>
      </c>
      <c r="M258" s="200">
        <v>1</v>
      </c>
      <c r="N258" s="200">
        <v>5</v>
      </c>
    </row>
    <row r="259" spans="1:17" x14ac:dyDescent="0.25">
      <c r="A259" s="198" t="s">
        <v>108</v>
      </c>
      <c r="B259" s="198" t="s">
        <v>1461</v>
      </c>
      <c r="C259" s="198">
        <v>0</v>
      </c>
      <c r="D259" s="196">
        <v>71</v>
      </c>
      <c r="E259" s="196">
        <v>3.96</v>
      </c>
      <c r="F259" s="196">
        <v>0.214</v>
      </c>
      <c r="G259" s="196">
        <v>12.625999999999999</v>
      </c>
      <c r="H259" s="196">
        <v>68.364000000000004</v>
      </c>
      <c r="I259" s="196">
        <v>18.873999999999999</v>
      </c>
      <c r="J259" s="196">
        <v>329.19499999999999</v>
      </c>
      <c r="K259" s="196"/>
      <c r="L259" s="200">
        <v>259</v>
      </c>
      <c r="M259" s="200">
        <v>1</v>
      </c>
      <c r="N259" s="200">
        <v>5</v>
      </c>
    </row>
    <row r="260" spans="1:17" x14ac:dyDescent="0.25">
      <c r="A260" s="198" t="s">
        <v>108</v>
      </c>
      <c r="B260" s="198" t="s">
        <v>1467</v>
      </c>
      <c r="C260" s="198">
        <v>0</v>
      </c>
      <c r="D260" s="196">
        <v>85</v>
      </c>
      <c r="E260" s="196">
        <v>3.9780000000000002</v>
      </c>
      <c r="F260" s="196">
        <v>0.14000000000000001</v>
      </c>
      <c r="G260" s="196">
        <v>7.8250000000000002</v>
      </c>
      <c r="H260" s="196">
        <v>38.616999999999997</v>
      </c>
      <c r="I260" s="196">
        <v>228.16</v>
      </c>
      <c r="J260" s="196">
        <v>51.69</v>
      </c>
      <c r="K260" s="196"/>
      <c r="L260" s="200">
        <v>260</v>
      </c>
      <c r="M260" s="200">
        <v>1</v>
      </c>
      <c r="N260" s="200">
        <v>5</v>
      </c>
    </row>
    <row r="261" spans="1:17" x14ac:dyDescent="0.25">
      <c r="A261" s="198" t="s">
        <v>108</v>
      </c>
      <c r="B261" s="198" t="s">
        <v>1473</v>
      </c>
      <c r="C261" s="198">
        <v>0</v>
      </c>
      <c r="D261" s="196">
        <v>85</v>
      </c>
      <c r="E261" s="196">
        <v>3.9860000000000002</v>
      </c>
      <c r="F261" s="196">
        <v>0.16600000000000001</v>
      </c>
      <c r="G261" s="196">
        <v>6.1769999999999996</v>
      </c>
      <c r="H261" s="196">
        <v>271.47000000000003</v>
      </c>
      <c r="I261" s="196">
        <v>175.48</v>
      </c>
      <c r="J261" s="196">
        <v>134.91999999999999</v>
      </c>
      <c r="K261" s="196"/>
      <c r="L261" s="200">
        <v>261</v>
      </c>
      <c r="M261" s="200">
        <v>1</v>
      </c>
      <c r="N261" s="200">
        <v>5</v>
      </c>
    </row>
    <row r="262" spans="1:17" x14ac:dyDescent="0.25">
      <c r="A262" s="198" t="s">
        <v>108</v>
      </c>
      <c r="B262" s="198" t="s">
        <v>1479</v>
      </c>
      <c r="C262" s="198">
        <v>0</v>
      </c>
      <c r="D262" s="196">
        <v>63</v>
      </c>
      <c r="E262" s="196">
        <v>4.3490000000000002</v>
      </c>
      <c r="F262" s="196">
        <v>2.5999999999999999E-2</v>
      </c>
      <c r="G262" s="196">
        <v>2.3239999999999998</v>
      </c>
      <c r="H262" s="196">
        <v>42.368000000000002</v>
      </c>
      <c r="I262" s="196">
        <v>72.468000000000004</v>
      </c>
      <c r="J262" s="196">
        <v>62.759</v>
      </c>
      <c r="K262" s="196"/>
      <c r="L262" s="200">
        <v>262</v>
      </c>
      <c r="M262" s="200">
        <v>1</v>
      </c>
      <c r="N262" s="200">
        <v>5</v>
      </c>
    </row>
    <row r="263" spans="1:17" x14ac:dyDescent="0.25">
      <c r="A263" s="198" t="s">
        <v>1485</v>
      </c>
      <c r="B263" s="198" t="s">
        <v>1486</v>
      </c>
      <c r="C263" s="198">
        <v>0</v>
      </c>
      <c r="D263" s="196">
        <v>59</v>
      </c>
      <c r="E263" s="196">
        <v>5.1280000000000001</v>
      </c>
      <c r="F263" s="196">
        <v>4.3999999999999997E-2</v>
      </c>
      <c r="G263" s="196">
        <v>26.914000000000001</v>
      </c>
      <c r="H263" s="196">
        <v>359.19</v>
      </c>
      <c r="I263" s="196">
        <v>283.70999999999998</v>
      </c>
      <c r="J263" s="196">
        <v>229.96</v>
      </c>
      <c r="K263" s="196"/>
      <c r="L263" s="200">
        <v>263</v>
      </c>
      <c r="M263" s="200">
        <v>1</v>
      </c>
      <c r="N263" s="200">
        <v>14</v>
      </c>
    </row>
    <row r="264" spans="1:17" x14ac:dyDescent="0.25">
      <c r="A264" s="198" t="s">
        <v>1485</v>
      </c>
      <c r="B264" s="198" t="s">
        <v>1492</v>
      </c>
      <c r="C264" s="198">
        <v>0</v>
      </c>
      <c r="D264" s="196">
        <v>54</v>
      </c>
      <c r="E264" s="196">
        <v>5.13</v>
      </c>
      <c r="F264" s="196">
        <v>5.1999999999999998E-2</v>
      </c>
      <c r="G264" s="196">
        <v>28.512</v>
      </c>
      <c r="H264" s="196">
        <v>187.27</v>
      </c>
      <c r="I264" s="196">
        <v>221.38</v>
      </c>
      <c r="J264" s="196">
        <v>256.95</v>
      </c>
      <c r="K264" s="196"/>
      <c r="L264" s="200">
        <v>264</v>
      </c>
      <c r="M264" s="200">
        <v>1</v>
      </c>
      <c r="N264" s="200">
        <v>14</v>
      </c>
    </row>
    <row r="265" spans="1:17" x14ac:dyDescent="0.25">
      <c r="A265" s="198" t="s">
        <v>1485</v>
      </c>
      <c r="B265" s="198" t="s">
        <v>1498</v>
      </c>
      <c r="C265" s="198">
        <v>0</v>
      </c>
      <c r="D265" s="196">
        <v>63</v>
      </c>
      <c r="E265" s="196">
        <v>5.1379999999999999</v>
      </c>
      <c r="F265" s="196">
        <v>6.9000000000000006E-2</v>
      </c>
      <c r="G265" s="196">
        <v>24.654</v>
      </c>
      <c r="H265" s="196">
        <v>131.49</v>
      </c>
      <c r="I265" s="196">
        <v>179.66</v>
      </c>
      <c r="J265" s="196">
        <v>236.39</v>
      </c>
      <c r="K265" s="196"/>
      <c r="L265" s="200">
        <v>265</v>
      </c>
      <c r="M265" s="200">
        <v>1</v>
      </c>
      <c r="N265" s="200">
        <v>14</v>
      </c>
    </row>
    <row r="266" spans="1:17" x14ac:dyDescent="0.25">
      <c r="A266" s="198" t="s">
        <v>1485</v>
      </c>
      <c r="B266" s="198" t="s">
        <v>1504</v>
      </c>
      <c r="C266" s="198">
        <v>0</v>
      </c>
      <c r="D266" s="196">
        <v>55</v>
      </c>
      <c r="E266" s="196">
        <v>5.17</v>
      </c>
      <c r="F266" s="196">
        <v>0.11799999999999999</v>
      </c>
      <c r="G266" s="196">
        <v>4.5209999999999999</v>
      </c>
      <c r="H266" s="196">
        <v>342.74</v>
      </c>
      <c r="I266" s="196">
        <v>350.78</v>
      </c>
      <c r="J266" s="196">
        <v>308.33</v>
      </c>
      <c r="K266" s="196"/>
      <c r="L266" s="200">
        <v>266</v>
      </c>
      <c r="M266" s="200">
        <v>1</v>
      </c>
      <c r="N266" s="200">
        <v>14</v>
      </c>
    </row>
    <row r="267" spans="1:17" x14ac:dyDescent="0.25">
      <c r="A267" s="198" t="s">
        <v>1485</v>
      </c>
      <c r="B267" s="198" t="s">
        <v>1510</v>
      </c>
      <c r="C267" s="198">
        <v>1</v>
      </c>
      <c r="D267" s="196">
        <v>11</v>
      </c>
      <c r="E267" s="196">
        <v>5.18</v>
      </c>
      <c r="F267" s="196">
        <v>9.7000000000000003E-2</v>
      </c>
      <c r="G267" s="196">
        <v>12.981</v>
      </c>
      <c r="H267" s="196">
        <v>4.7720000000000002</v>
      </c>
      <c r="I267" s="196">
        <v>50.319000000000003</v>
      </c>
      <c r="J267" s="196">
        <v>44.314</v>
      </c>
      <c r="K267" s="196">
        <v>0.85</v>
      </c>
      <c r="L267" s="200">
        <v>267</v>
      </c>
      <c r="M267" s="200">
        <v>1</v>
      </c>
      <c r="N267" s="200">
        <v>14</v>
      </c>
    </row>
    <row r="268" spans="1:17" x14ac:dyDescent="0.25">
      <c r="A268" s="198" t="s">
        <v>32</v>
      </c>
      <c r="B268" s="198" t="s">
        <v>1516</v>
      </c>
      <c r="C268" s="198"/>
      <c r="D268" s="196">
        <v>3</v>
      </c>
      <c r="E268" s="196"/>
      <c r="F268" s="196"/>
      <c r="G268" s="196"/>
      <c r="H268" s="196"/>
      <c r="I268" s="196"/>
      <c r="J268" s="196"/>
      <c r="K268" s="196"/>
      <c r="L268" s="200">
        <v>268</v>
      </c>
      <c r="M268" s="200">
        <v>3</v>
      </c>
      <c r="N268" s="200">
        <v>21</v>
      </c>
    </row>
    <row r="269" spans="1:17" x14ac:dyDescent="0.25">
      <c r="A269" s="198" t="s">
        <v>1485</v>
      </c>
      <c r="B269" s="198" t="s">
        <v>1518</v>
      </c>
      <c r="C269" s="198">
        <v>0</v>
      </c>
      <c r="D269" s="196">
        <v>55</v>
      </c>
      <c r="E269" s="196">
        <v>5.1820000000000004</v>
      </c>
      <c r="F269" s="196">
        <v>0.122</v>
      </c>
      <c r="G269" s="196">
        <v>8.9149999999999991</v>
      </c>
      <c r="H269" s="196">
        <v>335.46</v>
      </c>
      <c r="I269" s="196">
        <v>301.56</v>
      </c>
      <c r="J269" s="196">
        <v>257.83999999999997</v>
      </c>
      <c r="K269" s="196"/>
      <c r="L269" s="200">
        <v>269</v>
      </c>
      <c r="M269" s="200">
        <v>1</v>
      </c>
      <c r="N269" s="200">
        <v>14</v>
      </c>
    </row>
    <row r="270" spans="1:17" x14ac:dyDescent="0.25">
      <c r="A270" s="198" t="s">
        <v>1485</v>
      </c>
      <c r="B270" s="198" t="s">
        <v>1524</v>
      </c>
      <c r="C270" s="198">
        <v>0</v>
      </c>
      <c r="D270" s="196">
        <v>57</v>
      </c>
      <c r="E270" s="196">
        <v>5.1820000000000004</v>
      </c>
      <c r="F270" s="196">
        <v>6.7000000000000004E-2</v>
      </c>
      <c r="G270" s="196">
        <v>16.626999999999999</v>
      </c>
      <c r="H270" s="196">
        <v>291.8</v>
      </c>
      <c r="I270" s="196">
        <v>267.99</v>
      </c>
      <c r="J270" s="196">
        <v>313.95</v>
      </c>
      <c r="K270" s="196"/>
      <c r="L270" s="200">
        <v>270</v>
      </c>
      <c r="M270" s="200">
        <v>1</v>
      </c>
      <c r="N270" s="200">
        <v>14</v>
      </c>
    </row>
    <row r="271" spans="1:17" x14ac:dyDescent="0.25">
      <c r="A271" s="198" t="s">
        <v>1485</v>
      </c>
      <c r="B271" s="198" t="s">
        <v>1529</v>
      </c>
      <c r="C271" s="198">
        <v>0</v>
      </c>
      <c r="D271" s="196">
        <v>59</v>
      </c>
      <c r="E271" s="196">
        <v>5.1980000000000004</v>
      </c>
      <c r="F271" s="196">
        <v>4.3999999999999997E-2</v>
      </c>
      <c r="G271" s="196">
        <v>20.484999999999999</v>
      </c>
      <c r="H271" s="196">
        <v>130.93</v>
      </c>
      <c r="I271" s="196">
        <v>315.8</v>
      </c>
      <c r="J271" s="196">
        <v>234.43</v>
      </c>
      <c r="K271" s="196"/>
      <c r="L271" s="200">
        <v>271</v>
      </c>
      <c r="M271" s="200">
        <v>1</v>
      </c>
      <c r="N271" s="200">
        <v>14</v>
      </c>
    </row>
    <row r="272" spans="1:17" x14ac:dyDescent="0.25">
      <c r="A272" s="197" t="s">
        <v>1535</v>
      </c>
      <c r="B272" s="198" t="s">
        <v>1536</v>
      </c>
      <c r="C272" s="198">
        <v>95</v>
      </c>
      <c r="D272" s="196">
        <v>69911</v>
      </c>
      <c r="E272" s="196">
        <v>5.2039999999999997</v>
      </c>
      <c r="F272" s="196">
        <v>4.9000000000000002E-2</v>
      </c>
      <c r="G272" s="196">
        <v>1.3029999999999999</v>
      </c>
      <c r="H272" s="196">
        <v>273.86700000000002</v>
      </c>
      <c r="I272" s="196">
        <v>100.464</v>
      </c>
      <c r="J272" s="196">
        <v>20.02</v>
      </c>
      <c r="K272" s="196">
        <v>1.3260000000000001</v>
      </c>
      <c r="L272" s="200">
        <v>272</v>
      </c>
      <c r="M272" s="200">
        <v>1</v>
      </c>
      <c r="N272" s="200">
        <v>1</v>
      </c>
      <c r="O272" s="194" t="s">
        <v>1536</v>
      </c>
      <c r="P272" s="194" t="s">
        <v>9596</v>
      </c>
      <c r="Q272" s="200" t="s">
        <v>8056</v>
      </c>
    </row>
    <row r="273" spans="1:14" x14ac:dyDescent="0.25">
      <c r="A273" s="198" t="s">
        <v>32</v>
      </c>
      <c r="B273" s="198" t="s">
        <v>171</v>
      </c>
      <c r="C273" s="198"/>
      <c r="D273" s="196">
        <v>22</v>
      </c>
      <c r="E273" s="196"/>
      <c r="F273" s="196">
        <v>0</v>
      </c>
      <c r="G273" s="196"/>
      <c r="H273" s="196"/>
      <c r="I273" s="196"/>
      <c r="J273" s="196"/>
      <c r="K273" s="196">
        <v>1.5</v>
      </c>
      <c r="L273" s="200">
        <v>273</v>
      </c>
      <c r="M273" s="200">
        <v>1</v>
      </c>
      <c r="N273" s="200">
        <v>22</v>
      </c>
    </row>
    <row r="274" spans="1:14" x14ac:dyDescent="0.25">
      <c r="A274" s="198" t="s">
        <v>32</v>
      </c>
      <c r="B274" s="198" t="s">
        <v>1545</v>
      </c>
      <c r="C274" s="198"/>
      <c r="D274" s="196">
        <v>8</v>
      </c>
      <c r="E274" s="196"/>
      <c r="F274" s="196">
        <v>2E-3</v>
      </c>
      <c r="G274" s="196"/>
      <c r="H274" s="196"/>
      <c r="I274" s="196"/>
      <c r="J274" s="196"/>
      <c r="K274" s="196"/>
      <c r="L274" s="200">
        <v>274</v>
      </c>
      <c r="M274" s="200">
        <v>1</v>
      </c>
      <c r="N274" s="200">
        <v>22</v>
      </c>
    </row>
    <row r="275" spans="1:14" x14ac:dyDescent="0.25">
      <c r="A275" s="198" t="s">
        <v>32</v>
      </c>
      <c r="B275" s="198" t="s">
        <v>1547</v>
      </c>
      <c r="C275" s="198"/>
      <c r="D275" s="196">
        <v>84</v>
      </c>
      <c r="E275" s="196"/>
      <c r="F275" s="196">
        <v>3.0000000000000001E-3</v>
      </c>
      <c r="G275" s="196"/>
      <c r="H275" s="196"/>
      <c r="I275" s="196"/>
      <c r="J275" s="196"/>
      <c r="K275" s="196">
        <v>0.85699999999999998</v>
      </c>
      <c r="L275" s="200">
        <v>275</v>
      </c>
      <c r="M275" s="200">
        <v>1</v>
      </c>
      <c r="N275" s="200">
        <v>22</v>
      </c>
    </row>
    <row r="276" spans="1:14" x14ac:dyDescent="0.25">
      <c r="A276" s="198" t="s">
        <v>32</v>
      </c>
      <c r="B276" s="198" t="s">
        <v>1549</v>
      </c>
      <c r="C276" s="198"/>
      <c r="D276" s="196">
        <v>49</v>
      </c>
      <c r="E276" s="196"/>
      <c r="F276" s="196">
        <v>1.7999999999999999E-2</v>
      </c>
      <c r="G276" s="196"/>
      <c r="H276" s="196"/>
      <c r="I276" s="196"/>
      <c r="J276" s="196"/>
      <c r="K276" s="196"/>
      <c r="L276" s="200">
        <v>276</v>
      </c>
      <c r="M276" s="200">
        <v>1</v>
      </c>
      <c r="N276" s="200">
        <v>22</v>
      </c>
    </row>
    <row r="277" spans="1:14" x14ac:dyDescent="0.25">
      <c r="A277" s="198" t="s">
        <v>32</v>
      </c>
      <c r="B277" s="198" t="s">
        <v>403</v>
      </c>
      <c r="C277" s="198"/>
      <c r="D277" s="196">
        <v>1822</v>
      </c>
      <c r="E277" s="196"/>
      <c r="F277" s="196">
        <v>4.0000000000000001E-3</v>
      </c>
      <c r="G277" s="196">
        <v>2.2130000000000001</v>
      </c>
      <c r="H277" s="196"/>
      <c r="I277" s="196"/>
      <c r="J277" s="196"/>
      <c r="K277" s="196">
        <v>3.528</v>
      </c>
      <c r="L277" s="200">
        <v>277</v>
      </c>
      <c r="M277" s="200">
        <v>1</v>
      </c>
      <c r="N277" s="200">
        <v>3</v>
      </c>
    </row>
    <row r="278" spans="1:14" x14ac:dyDescent="0.25">
      <c r="A278" s="198" t="s">
        <v>32</v>
      </c>
      <c r="B278" s="198" t="s">
        <v>990</v>
      </c>
      <c r="C278" s="198"/>
      <c r="D278" s="196">
        <v>1561</v>
      </c>
      <c r="E278" s="196"/>
      <c r="F278" s="196">
        <v>8.9999999999999993E-3</v>
      </c>
      <c r="G278" s="196">
        <v>1.7909999999999999</v>
      </c>
      <c r="H278" s="196"/>
      <c r="I278" s="196"/>
      <c r="J278" s="196"/>
      <c r="K278" s="196">
        <v>3.0129999999999999</v>
      </c>
      <c r="L278" s="200">
        <v>278</v>
      </c>
      <c r="M278" s="200">
        <v>1</v>
      </c>
      <c r="N278" s="200">
        <v>3</v>
      </c>
    </row>
    <row r="279" spans="1:14" x14ac:dyDescent="0.25">
      <c r="A279" s="198" t="s">
        <v>32</v>
      </c>
      <c r="B279" s="198" t="s">
        <v>1557</v>
      </c>
      <c r="C279" s="198"/>
      <c r="D279" s="196">
        <v>2634</v>
      </c>
      <c r="E279" s="196"/>
      <c r="F279" s="196">
        <v>1E-3</v>
      </c>
      <c r="G279" s="196">
        <v>2.214</v>
      </c>
      <c r="H279" s="196"/>
      <c r="I279" s="196"/>
      <c r="J279" s="196"/>
      <c r="K279" s="196">
        <v>1.9359999999999999</v>
      </c>
      <c r="L279" s="200">
        <v>279</v>
      </c>
      <c r="M279" s="200">
        <v>1</v>
      </c>
      <c r="N279" s="200">
        <v>3</v>
      </c>
    </row>
    <row r="280" spans="1:14" x14ac:dyDescent="0.25">
      <c r="A280" s="198" t="s">
        <v>32</v>
      </c>
      <c r="B280" s="198" t="s">
        <v>1561</v>
      </c>
      <c r="C280" s="198"/>
      <c r="D280" s="196">
        <v>2410</v>
      </c>
      <c r="E280" s="196"/>
      <c r="F280" s="196">
        <v>7.0000000000000001E-3</v>
      </c>
      <c r="G280" s="196">
        <v>2.0169999999999999</v>
      </c>
      <c r="H280" s="196"/>
      <c r="I280" s="196"/>
      <c r="J280" s="196"/>
      <c r="K280" s="196">
        <v>1.8340000000000001</v>
      </c>
      <c r="L280" s="200">
        <v>280</v>
      </c>
      <c r="M280" s="200">
        <v>1</v>
      </c>
      <c r="N280" s="200">
        <v>3</v>
      </c>
    </row>
    <row r="281" spans="1:14" x14ac:dyDescent="0.25">
      <c r="A281" s="198" t="s">
        <v>32</v>
      </c>
      <c r="B281" s="198" t="s">
        <v>1565</v>
      </c>
      <c r="C281" s="198"/>
      <c r="D281" s="196">
        <v>5</v>
      </c>
      <c r="E281" s="196"/>
      <c r="F281" s="196">
        <v>0.252</v>
      </c>
      <c r="G281" s="196">
        <v>45.280999999999999</v>
      </c>
      <c r="H281" s="196"/>
      <c r="I281" s="196"/>
      <c r="J281" s="196"/>
      <c r="K281" s="196"/>
      <c r="L281" s="200">
        <v>281</v>
      </c>
      <c r="M281" s="200">
        <v>1</v>
      </c>
      <c r="N281" s="200">
        <v>22</v>
      </c>
    </row>
    <row r="282" spans="1:14" x14ac:dyDescent="0.25">
      <c r="A282" s="198" t="s">
        <v>32</v>
      </c>
      <c r="B282" s="198" t="s">
        <v>1568</v>
      </c>
      <c r="C282" s="198"/>
      <c r="D282" s="196">
        <v>11</v>
      </c>
      <c r="E282" s="196"/>
      <c r="F282" s="196">
        <v>0.16500000000000001</v>
      </c>
      <c r="G282" s="196">
        <v>27.635999999999999</v>
      </c>
      <c r="H282" s="196"/>
      <c r="I282" s="196"/>
      <c r="J282" s="196"/>
      <c r="K282" s="196"/>
      <c r="L282" s="200">
        <v>282</v>
      </c>
      <c r="M282" s="200">
        <v>1</v>
      </c>
      <c r="N282" s="200">
        <v>22</v>
      </c>
    </row>
    <row r="283" spans="1:14" x14ac:dyDescent="0.25">
      <c r="A283" s="198" t="s">
        <v>32</v>
      </c>
      <c r="B283" s="198" t="s">
        <v>1576</v>
      </c>
      <c r="C283" s="198"/>
      <c r="D283" s="196">
        <v>70</v>
      </c>
      <c r="E283" s="196"/>
      <c r="F283" s="196">
        <v>0.154</v>
      </c>
      <c r="G283" s="196">
        <v>29.908999999999999</v>
      </c>
      <c r="H283" s="196"/>
      <c r="I283" s="196"/>
      <c r="J283" s="196"/>
      <c r="K283" s="196">
        <v>1.63</v>
      </c>
      <c r="L283" s="200">
        <v>283</v>
      </c>
      <c r="M283" s="200">
        <v>1</v>
      </c>
      <c r="N283" s="200">
        <v>22</v>
      </c>
    </row>
    <row r="284" spans="1:14" x14ac:dyDescent="0.25">
      <c r="A284" s="198" t="s">
        <v>32</v>
      </c>
      <c r="B284" s="198" t="s">
        <v>1571</v>
      </c>
      <c r="C284" s="198"/>
      <c r="D284" s="196">
        <v>2</v>
      </c>
      <c r="E284" s="196"/>
      <c r="F284" s="196">
        <v>0.11600000000000001</v>
      </c>
      <c r="G284" s="196">
        <v>29.1</v>
      </c>
      <c r="H284" s="196"/>
      <c r="I284" s="196"/>
      <c r="J284" s="196"/>
      <c r="K284" s="196"/>
      <c r="L284" s="200">
        <v>284</v>
      </c>
      <c r="M284" s="200">
        <v>1</v>
      </c>
      <c r="N284" s="200">
        <v>22</v>
      </c>
    </row>
    <row r="285" spans="1:14" x14ac:dyDescent="0.25">
      <c r="A285" s="198" t="s">
        <v>32</v>
      </c>
      <c r="B285" s="198" t="s">
        <v>1575</v>
      </c>
      <c r="C285" s="198"/>
      <c r="D285" s="196">
        <v>2</v>
      </c>
      <c r="E285" s="196"/>
      <c r="F285" s="196">
        <v>0.11799999999999999</v>
      </c>
      <c r="G285" s="196">
        <v>29.404</v>
      </c>
      <c r="H285" s="196"/>
      <c r="I285" s="196"/>
      <c r="J285" s="196"/>
      <c r="K285" s="196"/>
      <c r="L285" s="200">
        <v>285</v>
      </c>
      <c r="M285" s="200">
        <v>3</v>
      </c>
      <c r="N285" s="200">
        <v>22</v>
      </c>
    </row>
    <row r="286" spans="1:14" x14ac:dyDescent="0.25">
      <c r="A286" s="198" t="s">
        <v>32</v>
      </c>
      <c r="B286" s="198" t="s">
        <v>1580</v>
      </c>
      <c r="C286" s="198"/>
      <c r="D286" s="196">
        <v>2</v>
      </c>
      <c r="E286" s="196"/>
      <c r="F286" s="196">
        <v>0.17899999999999999</v>
      </c>
      <c r="G286" s="196">
        <v>29</v>
      </c>
      <c r="H286" s="196"/>
      <c r="I286" s="196"/>
      <c r="J286" s="196"/>
      <c r="K286" s="196"/>
      <c r="L286" s="200">
        <v>286</v>
      </c>
      <c r="M286" s="200">
        <v>1</v>
      </c>
      <c r="N286" s="200">
        <v>22</v>
      </c>
    </row>
    <row r="287" spans="1:14" x14ac:dyDescent="0.25">
      <c r="A287" s="198" t="s">
        <v>32</v>
      </c>
      <c r="B287" s="198" t="s">
        <v>1583</v>
      </c>
      <c r="C287" s="198"/>
      <c r="D287" s="196">
        <v>21</v>
      </c>
      <c r="E287" s="196"/>
      <c r="F287" s="196">
        <v>0.14799999999999999</v>
      </c>
      <c r="G287" s="196">
        <v>26.292999999999999</v>
      </c>
      <c r="H287" s="196"/>
      <c r="I287" s="196"/>
      <c r="J287" s="196"/>
      <c r="K287" s="196"/>
      <c r="L287" s="200">
        <v>287</v>
      </c>
      <c r="M287" s="200">
        <v>1</v>
      </c>
      <c r="N287" s="200">
        <v>22</v>
      </c>
    </row>
    <row r="288" spans="1:14" x14ac:dyDescent="0.25">
      <c r="A288" s="198" t="s">
        <v>32</v>
      </c>
      <c r="B288" s="198" t="s">
        <v>1587</v>
      </c>
      <c r="C288" s="198"/>
      <c r="D288" s="196">
        <v>40</v>
      </c>
      <c r="E288" s="196"/>
      <c r="F288" s="196">
        <v>0.19600000000000001</v>
      </c>
      <c r="G288" s="196">
        <v>30.516999999999999</v>
      </c>
      <c r="H288" s="196"/>
      <c r="I288" s="196"/>
      <c r="J288" s="196"/>
      <c r="K288" s="196"/>
      <c r="L288" s="200">
        <v>288</v>
      </c>
      <c r="M288" s="200">
        <v>1</v>
      </c>
      <c r="N288" s="200">
        <v>22</v>
      </c>
    </row>
    <row r="289" spans="1:14" x14ac:dyDescent="0.25">
      <c r="A289" s="198" t="s">
        <v>32</v>
      </c>
      <c r="B289" s="198" t="s">
        <v>1591</v>
      </c>
      <c r="C289" s="198"/>
      <c r="D289" s="196">
        <v>2</v>
      </c>
      <c r="E289" s="196"/>
      <c r="F289" s="196">
        <v>0.17599999999999999</v>
      </c>
      <c r="G289" s="196">
        <v>28.658999999999999</v>
      </c>
      <c r="H289" s="196"/>
      <c r="I289" s="196"/>
      <c r="J289" s="196"/>
      <c r="K289" s="196"/>
      <c r="L289" s="200">
        <v>289</v>
      </c>
      <c r="M289" s="200">
        <v>3</v>
      </c>
      <c r="N289" s="200">
        <v>22</v>
      </c>
    </row>
    <row r="290" spans="1:14" x14ac:dyDescent="0.25">
      <c r="A290" s="198" t="s">
        <v>32</v>
      </c>
      <c r="B290" s="198" t="s">
        <v>1594</v>
      </c>
      <c r="C290" s="198"/>
      <c r="D290" s="196">
        <v>2</v>
      </c>
      <c r="E290" s="196"/>
      <c r="F290" s="196">
        <v>0.21099999999999999</v>
      </c>
      <c r="G290" s="196">
        <v>28.23</v>
      </c>
      <c r="H290" s="196"/>
      <c r="I290" s="196"/>
      <c r="J290" s="196"/>
      <c r="K290" s="196"/>
      <c r="L290" s="200">
        <v>290</v>
      </c>
      <c r="M290" s="200">
        <v>1</v>
      </c>
      <c r="N290" s="200">
        <v>22</v>
      </c>
    </row>
    <row r="291" spans="1:14" x14ac:dyDescent="0.25">
      <c r="A291" s="198" t="s">
        <v>32</v>
      </c>
      <c r="B291" s="198" t="s">
        <v>7547</v>
      </c>
      <c r="C291" s="198"/>
      <c r="D291" s="196">
        <v>1</v>
      </c>
      <c r="E291" s="196"/>
      <c r="F291" s="196">
        <v>0.17699999999999999</v>
      </c>
      <c r="G291" s="196">
        <v>50.2</v>
      </c>
      <c r="H291" s="196"/>
      <c r="I291" s="196"/>
      <c r="J291" s="196"/>
      <c r="K291" s="196"/>
      <c r="L291" s="200">
        <v>291</v>
      </c>
      <c r="M291" s="200">
        <v>3</v>
      </c>
      <c r="N291" s="200">
        <v>22</v>
      </c>
    </row>
    <row r="292" spans="1:14" x14ac:dyDescent="0.25">
      <c r="A292" s="198" t="s">
        <v>32</v>
      </c>
      <c r="B292" s="198" t="s">
        <v>1597</v>
      </c>
      <c r="C292" s="198"/>
      <c r="D292" s="196">
        <v>2</v>
      </c>
      <c r="E292" s="196"/>
      <c r="F292" s="196">
        <v>0.41599999999999998</v>
      </c>
      <c r="G292" s="196">
        <v>54</v>
      </c>
      <c r="H292" s="196"/>
      <c r="I292" s="196"/>
      <c r="J292" s="196"/>
      <c r="K292" s="196"/>
      <c r="L292" s="200">
        <v>292</v>
      </c>
      <c r="M292" s="200">
        <v>1</v>
      </c>
      <c r="N292" s="200">
        <v>22</v>
      </c>
    </row>
    <row r="293" spans="1:14" x14ac:dyDescent="0.25">
      <c r="A293" s="198" t="s">
        <v>32</v>
      </c>
      <c r="B293" s="198" t="s">
        <v>7509</v>
      </c>
      <c r="C293" s="198"/>
      <c r="D293" s="196">
        <v>0.5</v>
      </c>
      <c r="E293" s="196"/>
      <c r="F293" s="196">
        <v>0.20200000000000001</v>
      </c>
      <c r="G293" s="196">
        <v>32.033000000000001</v>
      </c>
      <c r="H293" s="196"/>
      <c r="I293" s="196"/>
      <c r="J293" s="196"/>
      <c r="K293" s="196"/>
      <c r="L293" s="200">
        <v>293</v>
      </c>
      <c r="M293" s="200">
        <v>1</v>
      </c>
      <c r="N293" s="200">
        <v>22</v>
      </c>
    </row>
    <row r="294" spans="1:14" x14ac:dyDescent="0.25">
      <c r="A294" s="198" t="s">
        <v>32</v>
      </c>
      <c r="B294" s="198" t="s">
        <v>7513</v>
      </c>
      <c r="C294" s="198"/>
      <c r="D294" s="196">
        <v>1</v>
      </c>
      <c r="E294" s="196"/>
      <c r="F294" s="196">
        <v>0.14399999999999999</v>
      </c>
      <c r="G294" s="196">
        <v>145.69999999999999</v>
      </c>
      <c r="H294" s="196"/>
      <c r="I294" s="196"/>
      <c r="J294" s="196"/>
      <c r="K294" s="196"/>
      <c r="L294" s="200">
        <v>294</v>
      </c>
      <c r="M294" s="200">
        <v>1</v>
      </c>
      <c r="N294" s="200">
        <v>22</v>
      </c>
    </row>
    <row r="295" spans="1:14" x14ac:dyDescent="0.25">
      <c r="A295" s="198" t="s">
        <v>32</v>
      </c>
      <c r="B295" s="198" t="s">
        <v>7549</v>
      </c>
      <c r="C295" s="198"/>
      <c r="D295" s="196">
        <v>1</v>
      </c>
      <c r="E295" s="196"/>
      <c r="F295" s="196">
        <v>5.0999999999999997E-2</v>
      </c>
      <c r="G295" s="196">
        <v>143.5</v>
      </c>
      <c r="H295" s="196"/>
      <c r="I295" s="196"/>
      <c r="J295" s="196"/>
      <c r="K295" s="196"/>
      <c r="L295" s="200">
        <v>295</v>
      </c>
      <c r="M295" s="200">
        <v>3</v>
      </c>
      <c r="N295" s="200">
        <v>22</v>
      </c>
    </row>
    <row r="296" spans="1:14" x14ac:dyDescent="0.25">
      <c r="A296" s="198" t="s">
        <v>32</v>
      </c>
      <c r="B296" s="198" t="s">
        <v>7555</v>
      </c>
      <c r="C296" s="198"/>
      <c r="D296" s="196">
        <v>0.5</v>
      </c>
      <c r="E296" s="196"/>
      <c r="F296" s="196">
        <v>0.307</v>
      </c>
      <c r="G296" s="196"/>
      <c r="H296" s="196"/>
      <c r="I296" s="196"/>
      <c r="J296" s="196"/>
      <c r="K296" s="196"/>
      <c r="L296" s="200">
        <v>296</v>
      </c>
      <c r="M296" s="200">
        <v>3</v>
      </c>
      <c r="N296" s="200">
        <v>22</v>
      </c>
    </row>
    <row r="297" spans="1:14" x14ac:dyDescent="0.25">
      <c r="A297" s="198" t="s">
        <v>32</v>
      </c>
      <c r="B297" s="198" t="s">
        <v>7559</v>
      </c>
      <c r="C297" s="198"/>
      <c r="D297" s="196">
        <v>1</v>
      </c>
      <c r="E297" s="196"/>
      <c r="F297" s="196">
        <v>0.33300000000000002</v>
      </c>
      <c r="G297" s="196">
        <v>151.16300000000001</v>
      </c>
      <c r="H297" s="196"/>
      <c r="I297" s="196"/>
      <c r="J297" s="196"/>
      <c r="K297" s="196"/>
      <c r="L297" s="200">
        <v>297</v>
      </c>
      <c r="M297" s="200">
        <v>3</v>
      </c>
      <c r="N297" s="200">
        <v>22</v>
      </c>
    </row>
    <row r="298" spans="1:14" x14ac:dyDescent="0.25">
      <c r="A298" s="198" t="s">
        <v>32</v>
      </c>
      <c r="B298" s="198" t="s">
        <v>7578</v>
      </c>
      <c r="C298" s="198"/>
      <c r="D298" s="196">
        <v>0.5</v>
      </c>
      <c r="E298" s="196"/>
      <c r="F298" s="196">
        <v>0.21299999999999999</v>
      </c>
      <c r="G298" s="196">
        <v>145.732</v>
      </c>
      <c r="H298" s="196"/>
      <c r="I298" s="196"/>
      <c r="J298" s="196"/>
      <c r="K298" s="196"/>
      <c r="L298" s="200">
        <v>298</v>
      </c>
      <c r="M298" s="200">
        <v>3</v>
      </c>
      <c r="N298" s="200">
        <v>22</v>
      </c>
    </row>
    <row r="299" spans="1:14" x14ac:dyDescent="0.25">
      <c r="A299" s="198" t="s">
        <v>32</v>
      </c>
      <c r="B299" s="198" t="s">
        <v>7575</v>
      </c>
      <c r="C299" s="198"/>
      <c r="D299" s="196">
        <v>1</v>
      </c>
      <c r="E299" s="196"/>
      <c r="F299" s="196">
        <v>0.27800000000000002</v>
      </c>
      <c r="G299" s="196">
        <v>149.20400000000001</v>
      </c>
      <c r="H299" s="196"/>
      <c r="I299" s="196"/>
      <c r="J299" s="196"/>
      <c r="K299" s="196"/>
      <c r="L299" s="200">
        <v>299</v>
      </c>
      <c r="M299" s="200">
        <v>3</v>
      </c>
      <c r="N299" s="200">
        <v>22</v>
      </c>
    </row>
    <row r="300" spans="1:14" x14ac:dyDescent="0.25">
      <c r="A300" s="198" t="s">
        <v>32</v>
      </c>
      <c r="B300" s="198" t="s">
        <v>7573</v>
      </c>
      <c r="C300" s="198"/>
      <c r="D300" s="196">
        <v>1</v>
      </c>
      <c r="E300" s="196"/>
      <c r="F300" s="196">
        <v>0.215</v>
      </c>
      <c r="G300" s="196"/>
      <c r="H300" s="196"/>
      <c r="I300" s="196"/>
      <c r="J300" s="196"/>
      <c r="K300" s="196"/>
      <c r="L300" s="200">
        <v>300</v>
      </c>
      <c r="M300" s="200">
        <v>3</v>
      </c>
      <c r="N300" s="200">
        <v>22</v>
      </c>
    </row>
    <row r="301" spans="1:14" x14ac:dyDescent="0.25">
      <c r="A301" s="198" t="s">
        <v>32</v>
      </c>
      <c r="B301" s="198" t="s">
        <v>7557</v>
      </c>
      <c r="C301" s="198"/>
      <c r="D301" s="196">
        <v>0.5</v>
      </c>
      <c r="E301" s="196"/>
      <c r="F301" s="196">
        <v>0.14099999999999999</v>
      </c>
      <c r="G301" s="196"/>
      <c r="H301" s="196"/>
      <c r="I301" s="196"/>
      <c r="J301" s="196"/>
      <c r="K301" s="196"/>
      <c r="L301" s="200">
        <v>301</v>
      </c>
      <c r="M301" s="200">
        <v>3</v>
      </c>
      <c r="N301" s="200">
        <v>22</v>
      </c>
    </row>
    <row r="302" spans="1:14" x14ac:dyDescent="0.25">
      <c r="A302" s="198" t="s">
        <v>32</v>
      </c>
      <c r="B302" s="198" t="s">
        <v>1622</v>
      </c>
      <c r="C302" s="198"/>
      <c r="D302" s="196">
        <v>2</v>
      </c>
      <c r="E302" s="196"/>
      <c r="F302" s="196">
        <v>0.19800000000000001</v>
      </c>
      <c r="G302" s="196">
        <v>146.76</v>
      </c>
      <c r="H302" s="196"/>
      <c r="I302" s="196"/>
      <c r="J302" s="196"/>
      <c r="K302" s="196"/>
      <c r="L302" s="200">
        <v>302</v>
      </c>
      <c r="M302" s="200">
        <v>1</v>
      </c>
      <c r="N302" s="200">
        <v>22</v>
      </c>
    </row>
    <row r="303" spans="1:14" x14ac:dyDescent="0.25">
      <c r="A303" s="198" t="s">
        <v>32</v>
      </c>
      <c r="B303" s="198" t="s">
        <v>7567</v>
      </c>
      <c r="C303" s="198"/>
      <c r="D303" s="196">
        <v>0.5</v>
      </c>
      <c r="E303" s="196"/>
      <c r="F303" s="196">
        <v>0.246</v>
      </c>
      <c r="G303" s="196">
        <v>149.75299999999999</v>
      </c>
      <c r="H303" s="196"/>
      <c r="I303" s="196"/>
      <c r="J303" s="196"/>
      <c r="K303" s="196"/>
      <c r="L303" s="200">
        <v>303</v>
      </c>
      <c r="M303" s="200">
        <v>3</v>
      </c>
      <c r="N303" s="200">
        <v>22</v>
      </c>
    </row>
    <row r="304" spans="1:14" x14ac:dyDescent="0.25">
      <c r="A304" s="198" t="s">
        <v>32</v>
      </c>
      <c r="B304" s="198" t="s">
        <v>7566</v>
      </c>
      <c r="C304" s="198"/>
      <c r="D304" s="196">
        <v>1</v>
      </c>
      <c r="E304" s="196"/>
      <c r="F304" s="196">
        <v>0.14799999999999999</v>
      </c>
      <c r="G304" s="196"/>
      <c r="H304" s="196"/>
      <c r="I304" s="196"/>
      <c r="J304" s="196"/>
      <c r="K304" s="196"/>
      <c r="L304" s="200">
        <v>304</v>
      </c>
      <c r="M304" s="200">
        <v>3</v>
      </c>
      <c r="N304" s="200">
        <v>22</v>
      </c>
    </row>
    <row r="305" spans="1:14" x14ac:dyDescent="0.25">
      <c r="A305" s="198" t="s">
        <v>32</v>
      </c>
      <c r="B305" s="198" t="s">
        <v>1600</v>
      </c>
      <c r="C305" s="198"/>
      <c r="D305" s="196">
        <v>2</v>
      </c>
      <c r="E305" s="196"/>
      <c r="F305" s="196">
        <v>0.23200000000000001</v>
      </c>
      <c r="G305" s="196">
        <v>148.9</v>
      </c>
      <c r="H305" s="196"/>
      <c r="I305" s="196"/>
      <c r="J305" s="196"/>
      <c r="K305" s="196"/>
      <c r="L305" s="200">
        <v>305</v>
      </c>
      <c r="M305" s="200">
        <v>1</v>
      </c>
      <c r="N305" s="200">
        <v>22</v>
      </c>
    </row>
    <row r="306" spans="1:14" x14ac:dyDescent="0.25">
      <c r="A306" s="198" t="s">
        <v>32</v>
      </c>
      <c r="B306" s="198" t="s">
        <v>1612</v>
      </c>
      <c r="C306" s="198"/>
      <c r="D306" s="196">
        <v>2</v>
      </c>
      <c r="E306" s="196"/>
      <c r="F306" s="196">
        <v>0.22900000000000001</v>
      </c>
      <c r="G306" s="196">
        <v>148.5</v>
      </c>
      <c r="H306" s="196"/>
      <c r="I306" s="196"/>
      <c r="J306" s="196"/>
      <c r="K306" s="196"/>
      <c r="L306" s="200">
        <v>306</v>
      </c>
      <c r="M306" s="200">
        <v>1</v>
      </c>
      <c r="N306" s="200">
        <v>22</v>
      </c>
    </row>
    <row r="307" spans="1:14" x14ac:dyDescent="0.25">
      <c r="A307" s="198" t="s">
        <v>32</v>
      </c>
      <c r="B307" s="198" t="s">
        <v>1615</v>
      </c>
      <c r="C307" s="198"/>
      <c r="D307" s="196">
        <v>15</v>
      </c>
      <c r="E307" s="196"/>
      <c r="F307" s="196">
        <v>0.17499999999999999</v>
      </c>
      <c r="G307" s="196">
        <v>148.67500000000001</v>
      </c>
      <c r="H307" s="196"/>
      <c r="I307" s="196"/>
      <c r="J307" s="196"/>
      <c r="K307" s="196">
        <v>1.3</v>
      </c>
      <c r="L307" s="200">
        <v>307</v>
      </c>
      <c r="M307" s="200">
        <v>1</v>
      </c>
      <c r="N307" s="200">
        <v>22</v>
      </c>
    </row>
    <row r="308" spans="1:14" x14ac:dyDescent="0.25">
      <c r="A308" s="198" t="s">
        <v>32</v>
      </c>
      <c r="B308" s="198" t="s">
        <v>7519</v>
      </c>
      <c r="C308" s="198"/>
      <c r="D308" s="196">
        <v>1</v>
      </c>
      <c r="E308" s="196"/>
      <c r="F308" s="196">
        <v>0.22700000000000001</v>
      </c>
      <c r="G308" s="196">
        <v>149</v>
      </c>
      <c r="H308" s="196"/>
      <c r="I308" s="196"/>
      <c r="J308" s="196"/>
      <c r="K308" s="196"/>
      <c r="L308" s="200">
        <v>308</v>
      </c>
      <c r="M308" s="200">
        <v>1</v>
      </c>
      <c r="N308" s="200">
        <v>22</v>
      </c>
    </row>
    <row r="309" spans="1:14" x14ac:dyDescent="0.25">
      <c r="A309" s="198" t="s">
        <v>32</v>
      </c>
      <c r="B309" s="198" t="s">
        <v>7562</v>
      </c>
      <c r="C309" s="198"/>
      <c r="D309" s="196">
        <v>0.5</v>
      </c>
      <c r="E309" s="196"/>
      <c r="F309" s="196">
        <v>0.34100000000000003</v>
      </c>
      <c r="G309" s="196">
        <v>150.114</v>
      </c>
      <c r="H309" s="196"/>
      <c r="I309" s="196"/>
      <c r="J309" s="196"/>
      <c r="K309" s="196"/>
      <c r="L309" s="200">
        <v>309</v>
      </c>
      <c r="M309" s="200">
        <v>3</v>
      </c>
      <c r="N309" s="200">
        <v>22</v>
      </c>
    </row>
    <row r="310" spans="1:14" x14ac:dyDescent="0.25">
      <c r="A310" s="198" t="s">
        <v>32</v>
      </c>
      <c r="B310" s="198" t="s">
        <v>1609</v>
      </c>
      <c r="C310" s="198"/>
      <c r="D310" s="196">
        <v>4</v>
      </c>
      <c r="E310" s="196"/>
      <c r="F310" s="196">
        <v>0.23</v>
      </c>
      <c r="G310" s="196">
        <v>149</v>
      </c>
      <c r="H310" s="196"/>
      <c r="I310" s="196"/>
      <c r="J310" s="196"/>
      <c r="K310" s="196"/>
      <c r="L310" s="200">
        <v>310</v>
      </c>
      <c r="M310" s="200">
        <v>1</v>
      </c>
      <c r="N310" s="200">
        <v>22</v>
      </c>
    </row>
    <row r="311" spans="1:14" x14ac:dyDescent="0.25">
      <c r="A311" s="198" t="s">
        <v>32</v>
      </c>
      <c r="B311" s="198" t="s">
        <v>7524</v>
      </c>
      <c r="C311" s="198"/>
      <c r="D311" s="196">
        <v>1</v>
      </c>
      <c r="E311" s="196"/>
      <c r="F311" s="196">
        <v>0.221</v>
      </c>
      <c r="G311" s="196">
        <v>151</v>
      </c>
      <c r="H311" s="196"/>
      <c r="I311" s="196"/>
      <c r="J311" s="196"/>
      <c r="K311" s="196"/>
      <c r="L311" s="200">
        <v>311</v>
      </c>
      <c r="M311" s="200">
        <v>1</v>
      </c>
      <c r="N311" s="200">
        <v>22</v>
      </c>
    </row>
    <row r="312" spans="1:14" x14ac:dyDescent="0.25">
      <c r="A312" s="198" t="s">
        <v>32</v>
      </c>
      <c r="B312" s="198" t="s">
        <v>7521</v>
      </c>
      <c r="C312" s="198"/>
      <c r="D312" s="196">
        <v>1</v>
      </c>
      <c r="E312" s="196"/>
      <c r="F312" s="196">
        <v>0.48399999999999999</v>
      </c>
      <c r="G312" s="196">
        <v>148.48699999999999</v>
      </c>
      <c r="H312" s="196"/>
      <c r="I312" s="196"/>
      <c r="J312" s="196"/>
      <c r="K312" s="196"/>
      <c r="L312" s="200">
        <v>312</v>
      </c>
      <c r="M312" s="200">
        <v>1</v>
      </c>
      <c r="N312" s="200">
        <v>22</v>
      </c>
    </row>
    <row r="313" spans="1:14" x14ac:dyDescent="0.25">
      <c r="A313" s="198" t="s">
        <v>32</v>
      </c>
      <c r="B313" s="198" t="s">
        <v>7516</v>
      </c>
      <c r="C313" s="198"/>
      <c r="D313" s="196">
        <v>1</v>
      </c>
      <c r="E313" s="196"/>
      <c r="F313" s="196">
        <v>0.253</v>
      </c>
      <c r="G313" s="196">
        <v>146</v>
      </c>
      <c r="H313" s="196"/>
      <c r="I313" s="196"/>
      <c r="J313" s="196"/>
      <c r="K313" s="196"/>
      <c r="L313" s="200">
        <v>313</v>
      </c>
      <c r="M313" s="200">
        <v>1</v>
      </c>
      <c r="N313" s="200">
        <v>22</v>
      </c>
    </row>
    <row r="314" spans="1:14" x14ac:dyDescent="0.25">
      <c r="A314" s="198" t="s">
        <v>32</v>
      </c>
      <c r="B314" s="198" t="s">
        <v>1603</v>
      </c>
      <c r="C314" s="198"/>
      <c r="D314" s="196">
        <v>2</v>
      </c>
      <c r="E314" s="196"/>
      <c r="F314" s="196">
        <v>0.16</v>
      </c>
      <c r="G314" s="196">
        <v>148.298</v>
      </c>
      <c r="H314" s="196"/>
      <c r="I314" s="196"/>
      <c r="J314" s="196"/>
      <c r="K314" s="196"/>
      <c r="L314" s="200">
        <v>314</v>
      </c>
      <c r="M314" s="200">
        <v>1</v>
      </c>
      <c r="N314" s="200">
        <v>22</v>
      </c>
    </row>
    <row r="315" spans="1:14" x14ac:dyDescent="0.25">
      <c r="A315" s="198" t="s">
        <v>32</v>
      </c>
      <c r="B315" s="198" t="s">
        <v>1606</v>
      </c>
      <c r="C315" s="198"/>
      <c r="D315" s="196">
        <v>2</v>
      </c>
      <c r="E315" s="196"/>
      <c r="F315" s="196">
        <v>0.156</v>
      </c>
      <c r="G315" s="196">
        <v>154.80000000000001</v>
      </c>
      <c r="H315" s="196"/>
      <c r="I315" s="196"/>
      <c r="J315" s="196"/>
      <c r="K315" s="196"/>
      <c r="L315" s="200">
        <v>315</v>
      </c>
      <c r="M315" s="200">
        <v>1</v>
      </c>
      <c r="N315" s="200">
        <v>22</v>
      </c>
    </row>
    <row r="316" spans="1:14" x14ac:dyDescent="0.25">
      <c r="A316" s="198" t="s">
        <v>32</v>
      </c>
      <c r="B316" s="198" t="s">
        <v>1619</v>
      </c>
      <c r="C316" s="198"/>
      <c r="D316" s="196">
        <v>3</v>
      </c>
      <c r="E316" s="196"/>
      <c r="F316" s="196">
        <v>0.32900000000000001</v>
      </c>
      <c r="G316" s="196">
        <v>149.42500000000001</v>
      </c>
      <c r="H316" s="196"/>
      <c r="I316" s="196"/>
      <c r="J316" s="196"/>
      <c r="K316" s="196"/>
      <c r="L316" s="200">
        <v>316</v>
      </c>
      <c r="M316" s="200">
        <v>1</v>
      </c>
      <c r="N316" s="200">
        <v>22</v>
      </c>
    </row>
    <row r="317" spans="1:14" x14ac:dyDescent="0.25">
      <c r="A317" s="198" t="s">
        <v>32</v>
      </c>
      <c r="B317" s="198" t="s">
        <v>1625</v>
      </c>
      <c r="C317" s="198"/>
      <c r="D317" s="196">
        <v>2</v>
      </c>
      <c r="E317" s="196"/>
      <c r="F317" s="196">
        <v>0.22900000000000001</v>
      </c>
      <c r="G317" s="196">
        <v>152.69999999999999</v>
      </c>
      <c r="H317" s="196"/>
      <c r="I317" s="196"/>
      <c r="J317" s="196"/>
      <c r="K317" s="196"/>
      <c r="L317" s="200">
        <v>317</v>
      </c>
      <c r="M317" s="200">
        <v>3</v>
      </c>
      <c r="N317" s="200">
        <v>22</v>
      </c>
    </row>
    <row r="318" spans="1:14" x14ac:dyDescent="0.25">
      <c r="A318" s="198" t="s">
        <v>32</v>
      </c>
      <c r="B318" s="198" t="s">
        <v>7552</v>
      </c>
      <c r="C318" s="198"/>
      <c r="D318" s="196">
        <v>1</v>
      </c>
      <c r="E318" s="196"/>
      <c r="F318" s="196">
        <v>0.35599999999999998</v>
      </c>
      <c r="G318" s="196">
        <v>150.10400000000001</v>
      </c>
      <c r="H318" s="196"/>
      <c r="I318" s="196"/>
      <c r="J318" s="196"/>
      <c r="K318" s="196"/>
      <c r="L318" s="200">
        <v>318</v>
      </c>
      <c r="M318" s="200">
        <v>3</v>
      </c>
      <c r="N318" s="200">
        <v>22</v>
      </c>
    </row>
    <row r="319" spans="1:14" x14ac:dyDescent="0.25">
      <c r="A319" s="198" t="s">
        <v>32</v>
      </c>
      <c r="B319" s="198" t="s">
        <v>7571</v>
      </c>
      <c r="C319" s="198"/>
      <c r="D319" s="196">
        <v>0.6</v>
      </c>
      <c r="E319" s="196"/>
      <c r="F319" s="196">
        <v>0.36599999999999999</v>
      </c>
      <c r="G319" s="196">
        <v>154.69</v>
      </c>
      <c r="H319" s="196"/>
      <c r="I319" s="196"/>
      <c r="J319" s="196"/>
      <c r="K319" s="196">
        <v>2.6</v>
      </c>
      <c r="L319" s="200">
        <v>319</v>
      </c>
      <c r="M319" s="200">
        <v>3</v>
      </c>
      <c r="N319" s="200">
        <v>22</v>
      </c>
    </row>
    <row r="320" spans="1:14" x14ac:dyDescent="0.25">
      <c r="A320" s="198" t="s">
        <v>32</v>
      </c>
      <c r="B320" s="198" t="s">
        <v>7596</v>
      </c>
      <c r="C320" s="198"/>
      <c r="D320" s="196">
        <v>1</v>
      </c>
      <c r="E320" s="196"/>
      <c r="F320" s="196">
        <v>0.497</v>
      </c>
      <c r="G320" s="196">
        <v>149.40100000000001</v>
      </c>
      <c r="H320" s="196"/>
      <c r="I320" s="196"/>
      <c r="J320" s="196"/>
      <c r="K320" s="196"/>
      <c r="L320" s="200">
        <v>320</v>
      </c>
      <c r="M320" s="200">
        <v>3</v>
      </c>
      <c r="N320" s="200">
        <v>22</v>
      </c>
    </row>
    <row r="321" spans="1:14" x14ac:dyDescent="0.25">
      <c r="A321" s="198" t="s">
        <v>32</v>
      </c>
      <c r="B321" s="198" t="s">
        <v>7581</v>
      </c>
      <c r="C321" s="198"/>
      <c r="D321" s="196">
        <v>1</v>
      </c>
      <c r="E321" s="196"/>
      <c r="F321" s="196">
        <v>0.23599999999999999</v>
      </c>
      <c r="G321" s="196">
        <v>164.066</v>
      </c>
      <c r="H321" s="196"/>
      <c r="I321" s="196"/>
      <c r="J321" s="196"/>
      <c r="K321" s="196"/>
      <c r="L321" s="200">
        <v>321</v>
      </c>
      <c r="M321" s="200">
        <v>3</v>
      </c>
      <c r="N321" s="200">
        <v>22</v>
      </c>
    </row>
    <row r="322" spans="1:14" x14ac:dyDescent="0.25">
      <c r="A322" s="198" t="s">
        <v>32</v>
      </c>
      <c r="B322" s="198" t="s">
        <v>1637</v>
      </c>
      <c r="C322" s="198"/>
      <c r="D322" s="196">
        <v>2</v>
      </c>
      <c r="E322" s="196"/>
      <c r="F322" s="196">
        <v>0.20499999999999999</v>
      </c>
      <c r="G322" s="196">
        <v>164.82</v>
      </c>
      <c r="H322" s="196"/>
      <c r="I322" s="196"/>
      <c r="J322" s="196"/>
      <c r="K322" s="196"/>
      <c r="L322" s="200">
        <v>322</v>
      </c>
      <c r="M322" s="200">
        <v>1</v>
      </c>
      <c r="N322" s="200">
        <v>22</v>
      </c>
    </row>
    <row r="323" spans="1:14" x14ac:dyDescent="0.25">
      <c r="A323" s="198" t="s">
        <v>32</v>
      </c>
      <c r="B323" s="198" t="s">
        <v>7621</v>
      </c>
      <c r="C323" s="198"/>
      <c r="D323" s="196">
        <v>1</v>
      </c>
      <c r="E323" s="196"/>
      <c r="F323" s="196">
        <v>0.55700000000000005</v>
      </c>
      <c r="G323" s="196"/>
      <c r="H323" s="196"/>
      <c r="I323" s="196"/>
      <c r="J323" s="196"/>
      <c r="K323" s="196"/>
      <c r="L323" s="200">
        <v>323</v>
      </c>
      <c r="M323" s="200">
        <v>3</v>
      </c>
      <c r="N323" s="200">
        <v>22</v>
      </c>
    </row>
    <row r="324" spans="1:14" x14ac:dyDescent="0.25">
      <c r="A324" s="198" t="s">
        <v>32</v>
      </c>
      <c r="B324" s="198" t="s">
        <v>7610</v>
      </c>
      <c r="C324" s="198"/>
      <c r="D324" s="196">
        <v>1</v>
      </c>
      <c r="E324" s="196"/>
      <c r="F324" s="196">
        <v>0.23300000000000001</v>
      </c>
      <c r="G324" s="196"/>
      <c r="H324" s="196"/>
      <c r="I324" s="196"/>
      <c r="J324" s="196"/>
      <c r="K324" s="196"/>
      <c r="L324" s="200">
        <v>324</v>
      </c>
      <c r="M324" s="200">
        <v>3</v>
      </c>
      <c r="N324" s="200">
        <v>22</v>
      </c>
    </row>
    <row r="325" spans="1:14" x14ac:dyDescent="0.25">
      <c r="A325" s="198" t="s">
        <v>32</v>
      </c>
      <c r="B325" s="198" t="s">
        <v>1652</v>
      </c>
      <c r="C325" s="198"/>
      <c r="D325" s="196">
        <v>3</v>
      </c>
      <c r="E325" s="196"/>
      <c r="F325" s="196">
        <v>0.249</v>
      </c>
      <c r="G325" s="196">
        <v>165.952</v>
      </c>
      <c r="H325" s="196"/>
      <c r="I325" s="196"/>
      <c r="J325" s="196"/>
      <c r="K325" s="196"/>
      <c r="L325" s="200">
        <v>325</v>
      </c>
      <c r="M325" s="200">
        <v>1</v>
      </c>
      <c r="N325" s="200">
        <v>22</v>
      </c>
    </row>
    <row r="326" spans="1:14" x14ac:dyDescent="0.25">
      <c r="A326" s="198" t="s">
        <v>32</v>
      </c>
      <c r="B326" s="198" t="s">
        <v>1655</v>
      </c>
      <c r="C326" s="198"/>
      <c r="D326" s="196">
        <v>23</v>
      </c>
      <c r="E326" s="196"/>
      <c r="F326" s="196">
        <v>0.23</v>
      </c>
      <c r="G326" s="196">
        <v>163.535</v>
      </c>
      <c r="H326" s="196"/>
      <c r="I326" s="196"/>
      <c r="J326" s="196"/>
      <c r="K326" s="196">
        <v>1.63</v>
      </c>
      <c r="L326" s="200">
        <v>326</v>
      </c>
      <c r="M326" s="200">
        <v>1</v>
      </c>
      <c r="N326" s="200">
        <v>22</v>
      </c>
    </row>
    <row r="327" spans="1:14" x14ac:dyDescent="0.25">
      <c r="A327" s="198" t="s">
        <v>32</v>
      </c>
      <c r="B327" s="198" t="s">
        <v>7612</v>
      </c>
      <c r="C327" s="198"/>
      <c r="D327" s="196">
        <v>1</v>
      </c>
      <c r="E327" s="196"/>
      <c r="F327" s="196">
        <v>0.25700000000000001</v>
      </c>
      <c r="G327" s="196">
        <v>165</v>
      </c>
      <c r="H327" s="196"/>
      <c r="I327" s="196"/>
      <c r="J327" s="196"/>
      <c r="K327" s="196"/>
      <c r="L327" s="200">
        <v>327</v>
      </c>
      <c r="M327" s="200">
        <v>3</v>
      </c>
      <c r="N327" s="200">
        <v>22</v>
      </c>
    </row>
    <row r="328" spans="1:14" x14ac:dyDescent="0.25">
      <c r="A328" s="198" t="s">
        <v>32</v>
      </c>
      <c r="B328" s="198" t="s">
        <v>7526</v>
      </c>
      <c r="C328" s="198"/>
      <c r="D328" s="196">
        <v>1</v>
      </c>
      <c r="E328" s="196"/>
      <c r="F328" s="196">
        <v>0.19400000000000001</v>
      </c>
      <c r="G328" s="196">
        <v>142</v>
      </c>
      <c r="H328" s="196"/>
      <c r="I328" s="196"/>
      <c r="J328" s="196"/>
      <c r="K328" s="196"/>
      <c r="L328" s="200">
        <v>328</v>
      </c>
      <c r="M328" s="200">
        <v>1</v>
      </c>
      <c r="N328" s="200">
        <v>22</v>
      </c>
    </row>
    <row r="329" spans="1:14" x14ac:dyDescent="0.25">
      <c r="A329" s="198" t="s">
        <v>32</v>
      </c>
      <c r="B329" s="198" t="s">
        <v>7623</v>
      </c>
      <c r="C329" s="198"/>
      <c r="D329" s="196">
        <v>0.5</v>
      </c>
      <c r="E329" s="196"/>
      <c r="F329" s="196">
        <v>0.27300000000000002</v>
      </c>
      <c r="G329" s="196">
        <v>164.9</v>
      </c>
      <c r="H329" s="196"/>
      <c r="I329" s="196"/>
      <c r="J329" s="196"/>
      <c r="K329" s="196"/>
      <c r="L329" s="200">
        <v>329</v>
      </c>
      <c r="M329" s="200">
        <v>3</v>
      </c>
      <c r="N329" s="200">
        <v>22</v>
      </c>
    </row>
    <row r="330" spans="1:14" x14ac:dyDescent="0.25">
      <c r="A330" s="198" t="s">
        <v>32</v>
      </c>
      <c r="B330" s="198" t="s">
        <v>7626</v>
      </c>
      <c r="C330" s="198"/>
      <c r="D330" s="196">
        <v>1</v>
      </c>
      <c r="E330" s="196"/>
      <c r="F330" s="196">
        <v>0.2</v>
      </c>
      <c r="G330" s="196">
        <v>163.17500000000001</v>
      </c>
      <c r="H330" s="196"/>
      <c r="I330" s="196"/>
      <c r="J330" s="196"/>
      <c r="K330" s="196"/>
      <c r="L330" s="200">
        <v>330</v>
      </c>
      <c r="M330" s="200">
        <v>3</v>
      </c>
      <c r="N330" s="200">
        <v>22</v>
      </c>
    </row>
    <row r="331" spans="1:14" x14ac:dyDescent="0.25">
      <c r="A331" s="198" t="s">
        <v>32</v>
      </c>
      <c r="B331" s="198" t="s">
        <v>7629</v>
      </c>
      <c r="C331" s="198"/>
      <c r="D331" s="196">
        <v>1</v>
      </c>
      <c r="E331" s="196"/>
      <c r="F331" s="196">
        <v>0.153</v>
      </c>
      <c r="G331" s="196">
        <v>162.994</v>
      </c>
      <c r="H331" s="196"/>
      <c r="I331" s="196"/>
      <c r="J331" s="196"/>
      <c r="K331" s="196"/>
      <c r="L331" s="200">
        <v>331</v>
      </c>
      <c r="M331" s="200">
        <v>3</v>
      </c>
      <c r="N331" s="200">
        <v>22</v>
      </c>
    </row>
    <row r="332" spans="1:14" x14ac:dyDescent="0.25">
      <c r="A332" s="198" t="s">
        <v>32</v>
      </c>
      <c r="B332" s="198" t="s">
        <v>1649</v>
      </c>
      <c r="C332" s="198"/>
      <c r="D332" s="196">
        <v>2</v>
      </c>
      <c r="E332" s="196"/>
      <c r="F332" s="196">
        <v>0.25900000000000001</v>
      </c>
      <c r="G332" s="196">
        <v>165</v>
      </c>
      <c r="H332" s="196"/>
      <c r="I332" s="196"/>
      <c r="J332" s="196"/>
      <c r="K332" s="196"/>
      <c r="L332" s="200">
        <v>332</v>
      </c>
      <c r="M332" s="200">
        <v>1</v>
      </c>
      <c r="N332" s="200">
        <v>22</v>
      </c>
    </row>
    <row r="333" spans="1:14" x14ac:dyDescent="0.25">
      <c r="A333" s="198" t="s">
        <v>32</v>
      </c>
      <c r="B333" s="198" t="s">
        <v>7604</v>
      </c>
      <c r="C333" s="198"/>
      <c r="D333" s="196">
        <v>0.5</v>
      </c>
      <c r="E333" s="196"/>
      <c r="F333" s="196">
        <v>0.159</v>
      </c>
      <c r="G333" s="196">
        <v>164.547</v>
      </c>
      <c r="H333" s="196"/>
      <c r="I333" s="196"/>
      <c r="J333" s="196"/>
      <c r="K333" s="196"/>
      <c r="L333" s="200">
        <v>333</v>
      </c>
      <c r="M333" s="200">
        <v>3</v>
      </c>
      <c r="N333" s="200">
        <v>22</v>
      </c>
    </row>
    <row r="334" spans="1:14" x14ac:dyDescent="0.25">
      <c r="A334" s="198" t="s">
        <v>32</v>
      </c>
      <c r="B334" s="198" t="s">
        <v>7528</v>
      </c>
      <c r="C334" s="198"/>
      <c r="D334" s="196">
        <v>1</v>
      </c>
      <c r="E334" s="196"/>
      <c r="F334" s="196">
        <v>0.21</v>
      </c>
      <c r="G334" s="196">
        <v>164.72800000000001</v>
      </c>
      <c r="H334" s="196"/>
      <c r="I334" s="196"/>
      <c r="J334" s="196"/>
      <c r="K334" s="196"/>
      <c r="L334" s="200">
        <v>334</v>
      </c>
      <c r="M334" s="200">
        <v>1</v>
      </c>
      <c r="N334" s="200">
        <v>22</v>
      </c>
    </row>
    <row r="335" spans="1:14" x14ac:dyDescent="0.25">
      <c r="A335" s="198" t="s">
        <v>32</v>
      </c>
      <c r="B335" s="198" t="s">
        <v>1679</v>
      </c>
      <c r="C335" s="198"/>
      <c r="D335" s="196">
        <v>2</v>
      </c>
      <c r="E335" s="196"/>
      <c r="F335" s="196">
        <v>0.33400000000000002</v>
      </c>
      <c r="G335" s="196">
        <v>152.9</v>
      </c>
      <c r="H335" s="196"/>
      <c r="I335" s="196"/>
      <c r="J335" s="196"/>
      <c r="K335" s="196"/>
      <c r="L335" s="200">
        <v>335</v>
      </c>
      <c r="M335" s="200">
        <v>1</v>
      </c>
      <c r="N335" s="200">
        <v>22</v>
      </c>
    </row>
    <row r="336" spans="1:14" x14ac:dyDescent="0.25">
      <c r="A336" s="198" t="s">
        <v>32</v>
      </c>
      <c r="B336" s="198" t="s">
        <v>7591</v>
      </c>
      <c r="C336" s="198"/>
      <c r="D336" s="196">
        <v>2</v>
      </c>
      <c r="E336" s="196"/>
      <c r="F336" s="196">
        <v>0.25</v>
      </c>
      <c r="G336" s="196">
        <v>162</v>
      </c>
      <c r="H336" s="196"/>
      <c r="I336" s="196"/>
      <c r="J336" s="196"/>
      <c r="K336" s="196"/>
      <c r="L336" s="200">
        <v>336</v>
      </c>
      <c r="M336" s="200">
        <v>3</v>
      </c>
      <c r="N336" s="200">
        <v>22</v>
      </c>
    </row>
    <row r="337" spans="1:14" x14ac:dyDescent="0.25">
      <c r="A337" s="198" t="s">
        <v>32</v>
      </c>
      <c r="B337" s="198" t="s">
        <v>7536</v>
      </c>
      <c r="C337" s="198"/>
      <c r="D337" s="196">
        <v>1</v>
      </c>
      <c r="E337" s="196"/>
      <c r="F337" s="196">
        <v>0.2</v>
      </c>
      <c r="G337" s="196">
        <v>165</v>
      </c>
      <c r="H337" s="196"/>
      <c r="I337" s="196"/>
      <c r="J337" s="196"/>
      <c r="K337" s="196"/>
      <c r="L337" s="200">
        <v>337</v>
      </c>
      <c r="M337" s="200">
        <v>1</v>
      </c>
      <c r="N337" s="200">
        <v>22</v>
      </c>
    </row>
    <row r="338" spans="1:14" x14ac:dyDescent="0.25">
      <c r="A338" s="198" t="s">
        <v>32</v>
      </c>
      <c r="B338" s="198" t="s">
        <v>1665</v>
      </c>
      <c r="C338" s="198"/>
      <c r="D338" s="196">
        <v>29</v>
      </c>
      <c r="E338" s="196"/>
      <c r="F338" s="196">
        <v>0.61099999999999999</v>
      </c>
      <c r="G338" s="196">
        <v>153.40899999999999</v>
      </c>
      <c r="H338" s="196"/>
      <c r="I338" s="196"/>
      <c r="J338" s="196"/>
      <c r="K338" s="196">
        <v>1.7</v>
      </c>
      <c r="L338" s="200">
        <v>338</v>
      </c>
      <c r="M338" s="200">
        <v>1</v>
      </c>
      <c r="N338" s="200">
        <v>22</v>
      </c>
    </row>
    <row r="339" spans="1:14" x14ac:dyDescent="0.25">
      <c r="A339" s="198" t="s">
        <v>32</v>
      </c>
      <c r="B339" s="198" t="s">
        <v>1628</v>
      </c>
      <c r="C339" s="198"/>
      <c r="D339" s="196">
        <v>2</v>
      </c>
      <c r="E339" s="196"/>
      <c r="F339" s="196">
        <v>0.29799999999999999</v>
      </c>
      <c r="G339" s="196">
        <v>150.28899999999999</v>
      </c>
      <c r="H339" s="196"/>
      <c r="I339" s="196"/>
      <c r="J339" s="196"/>
      <c r="K339" s="196"/>
      <c r="L339" s="200">
        <v>339</v>
      </c>
      <c r="M339" s="200">
        <v>1</v>
      </c>
      <c r="N339" s="200">
        <v>22</v>
      </c>
    </row>
    <row r="340" spans="1:14" x14ac:dyDescent="0.25">
      <c r="A340" s="198" t="s">
        <v>32</v>
      </c>
      <c r="B340" s="198" t="s">
        <v>1643</v>
      </c>
      <c r="C340" s="198"/>
      <c r="D340" s="196">
        <v>2</v>
      </c>
      <c r="E340" s="196"/>
      <c r="F340" s="196">
        <v>0.26400000000000001</v>
      </c>
      <c r="G340" s="196">
        <v>165.1</v>
      </c>
      <c r="H340" s="196"/>
      <c r="I340" s="196"/>
      <c r="J340" s="196"/>
      <c r="K340" s="196"/>
      <c r="L340" s="200">
        <v>340</v>
      </c>
      <c r="M340" s="200">
        <v>1</v>
      </c>
      <c r="N340" s="200">
        <v>22</v>
      </c>
    </row>
    <row r="341" spans="1:14" x14ac:dyDescent="0.25">
      <c r="A341" s="198" t="s">
        <v>32</v>
      </c>
      <c r="B341" s="198" t="s">
        <v>7619</v>
      </c>
      <c r="C341" s="198"/>
      <c r="D341" s="196">
        <v>1</v>
      </c>
      <c r="E341" s="196"/>
      <c r="F341" s="196">
        <v>0.28399999999999997</v>
      </c>
      <c r="G341" s="196"/>
      <c r="H341" s="196"/>
      <c r="I341" s="196"/>
      <c r="J341" s="196"/>
      <c r="K341" s="196"/>
      <c r="L341" s="200">
        <v>341</v>
      </c>
      <c r="M341" s="200">
        <v>3</v>
      </c>
      <c r="N341" s="200">
        <v>22</v>
      </c>
    </row>
    <row r="342" spans="1:14" x14ac:dyDescent="0.25">
      <c r="A342" s="198" t="s">
        <v>32</v>
      </c>
      <c r="B342" s="198" t="s">
        <v>7587</v>
      </c>
      <c r="C342" s="198"/>
      <c r="D342" s="196">
        <v>0.5</v>
      </c>
      <c r="E342" s="196"/>
      <c r="F342" s="196">
        <v>0.312</v>
      </c>
      <c r="G342" s="196"/>
      <c r="H342" s="196"/>
      <c r="I342" s="196"/>
      <c r="J342" s="196"/>
      <c r="K342" s="196"/>
      <c r="L342" s="200">
        <v>342</v>
      </c>
      <c r="M342" s="200">
        <v>3</v>
      </c>
      <c r="N342" s="200">
        <v>22</v>
      </c>
    </row>
    <row r="343" spans="1:14" x14ac:dyDescent="0.25">
      <c r="A343" s="198" t="s">
        <v>32</v>
      </c>
      <c r="B343" s="198" t="s">
        <v>7599</v>
      </c>
      <c r="C343" s="198"/>
      <c r="D343" s="196">
        <v>1</v>
      </c>
      <c r="E343" s="196"/>
      <c r="F343" s="196">
        <v>0.23599999999999999</v>
      </c>
      <c r="G343" s="196"/>
      <c r="H343" s="196"/>
      <c r="I343" s="196"/>
      <c r="J343" s="196"/>
      <c r="K343" s="196"/>
      <c r="L343" s="200">
        <v>343</v>
      </c>
      <c r="M343" s="200">
        <v>3</v>
      </c>
      <c r="N343" s="200">
        <v>22</v>
      </c>
    </row>
    <row r="344" spans="1:14" x14ac:dyDescent="0.25">
      <c r="A344" s="198" t="s">
        <v>32</v>
      </c>
      <c r="B344" s="198" t="s">
        <v>7614</v>
      </c>
      <c r="C344" s="198"/>
      <c r="D344" s="196">
        <v>1</v>
      </c>
      <c r="E344" s="196"/>
      <c r="F344" s="196">
        <v>0.32</v>
      </c>
      <c r="G344" s="196"/>
      <c r="H344" s="196"/>
      <c r="I344" s="196"/>
      <c r="J344" s="196"/>
      <c r="K344" s="196"/>
      <c r="L344" s="200">
        <v>344</v>
      </c>
      <c r="M344" s="200">
        <v>3</v>
      </c>
      <c r="N344" s="200">
        <v>22</v>
      </c>
    </row>
    <row r="345" spans="1:14" x14ac:dyDescent="0.25">
      <c r="A345" s="198" t="s">
        <v>32</v>
      </c>
      <c r="B345" s="198" t="s">
        <v>1634</v>
      </c>
      <c r="C345" s="198"/>
      <c r="D345" s="196">
        <v>2</v>
      </c>
      <c r="E345" s="196"/>
      <c r="F345" s="196">
        <v>0.22600000000000001</v>
      </c>
      <c r="G345" s="196">
        <v>164.459</v>
      </c>
      <c r="H345" s="196"/>
      <c r="I345" s="196"/>
      <c r="J345" s="196"/>
      <c r="K345" s="196"/>
      <c r="L345" s="200">
        <v>345</v>
      </c>
      <c r="M345" s="200">
        <v>1</v>
      </c>
      <c r="N345" s="200">
        <v>22</v>
      </c>
    </row>
    <row r="346" spans="1:14" x14ac:dyDescent="0.25">
      <c r="A346" s="198" t="s">
        <v>32</v>
      </c>
      <c r="B346" s="198" t="s">
        <v>7590</v>
      </c>
      <c r="C346" s="198"/>
      <c r="D346" s="196">
        <v>0.5</v>
      </c>
      <c r="E346" s="196"/>
      <c r="F346" s="196">
        <v>0.36299999999999999</v>
      </c>
      <c r="G346" s="196">
        <v>166.5</v>
      </c>
      <c r="H346" s="196"/>
      <c r="I346" s="196"/>
      <c r="J346" s="196"/>
      <c r="K346" s="196"/>
      <c r="L346" s="200">
        <v>346</v>
      </c>
      <c r="M346" s="200">
        <v>3</v>
      </c>
      <c r="N346" s="200">
        <v>22</v>
      </c>
    </row>
    <row r="347" spans="1:14" x14ac:dyDescent="0.25">
      <c r="A347" s="198" t="s">
        <v>32</v>
      </c>
      <c r="B347" s="198" t="s">
        <v>7594</v>
      </c>
      <c r="C347" s="198"/>
      <c r="D347" s="196">
        <v>0.5</v>
      </c>
      <c r="E347" s="196"/>
      <c r="F347" s="196">
        <v>0.33200000000000002</v>
      </c>
      <c r="G347" s="196"/>
      <c r="H347" s="196"/>
      <c r="I347" s="196"/>
      <c r="J347" s="196"/>
      <c r="K347" s="196"/>
      <c r="L347" s="200">
        <v>347</v>
      </c>
      <c r="M347" s="200">
        <v>3</v>
      </c>
      <c r="N347" s="200">
        <v>22</v>
      </c>
    </row>
    <row r="348" spans="1:14" x14ac:dyDescent="0.25">
      <c r="A348" s="198" t="s">
        <v>32</v>
      </c>
      <c r="B348" s="198" t="s">
        <v>7538</v>
      </c>
      <c r="C348" s="198"/>
      <c r="D348" s="196">
        <v>1</v>
      </c>
      <c r="E348" s="196"/>
      <c r="F348" s="196">
        <v>0.312</v>
      </c>
      <c r="G348" s="196">
        <v>154</v>
      </c>
      <c r="H348" s="196"/>
      <c r="I348" s="196"/>
      <c r="J348" s="196"/>
      <c r="K348" s="196"/>
      <c r="L348" s="200">
        <v>348</v>
      </c>
      <c r="M348" s="200">
        <v>1</v>
      </c>
      <c r="N348" s="200">
        <v>22</v>
      </c>
    </row>
    <row r="349" spans="1:14" x14ac:dyDescent="0.25">
      <c r="A349" s="198" t="s">
        <v>32</v>
      </c>
      <c r="B349" s="198" t="s">
        <v>7533</v>
      </c>
      <c r="C349" s="198"/>
      <c r="D349" s="196">
        <v>1</v>
      </c>
      <c r="E349" s="196"/>
      <c r="F349" s="196">
        <v>0.28899999999999998</v>
      </c>
      <c r="G349" s="196">
        <v>166.17699999999999</v>
      </c>
      <c r="H349" s="196"/>
      <c r="I349" s="196"/>
      <c r="J349" s="196"/>
      <c r="K349" s="196"/>
      <c r="L349" s="200">
        <v>349</v>
      </c>
      <c r="M349" s="200">
        <v>1</v>
      </c>
      <c r="N349" s="200">
        <v>22</v>
      </c>
    </row>
    <row r="350" spans="1:14" x14ac:dyDescent="0.25">
      <c r="A350" s="198" t="s">
        <v>32</v>
      </c>
      <c r="B350" s="198" t="s">
        <v>7632</v>
      </c>
      <c r="C350" s="198"/>
      <c r="D350" s="196">
        <v>1</v>
      </c>
      <c r="E350" s="196"/>
      <c r="F350" s="196">
        <v>0.39700000000000002</v>
      </c>
      <c r="G350" s="196"/>
      <c r="H350" s="196"/>
      <c r="I350" s="196"/>
      <c r="J350" s="196"/>
      <c r="K350" s="196"/>
      <c r="L350" s="200">
        <v>350</v>
      </c>
      <c r="M350" s="200">
        <v>3</v>
      </c>
      <c r="N350" s="200">
        <v>22</v>
      </c>
    </row>
    <row r="351" spans="1:14" x14ac:dyDescent="0.25">
      <c r="A351" s="198" t="s">
        <v>32</v>
      </c>
      <c r="B351" s="198" t="s">
        <v>1646</v>
      </c>
      <c r="C351" s="198"/>
      <c r="D351" s="196">
        <v>2</v>
      </c>
      <c r="E351" s="196"/>
      <c r="F351" s="196">
        <v>0.27200000000000002</v>
      </c>
      <c r="G351" s="196">
        <v>165.5</v>
      </c>
      <c r="H351" s="196"/>
      <c r="I351" s="196"/>
      <c r="J351" s="196"/>
      <c r="K351" s="196"/>
      <c r="L351" s="200">
        <v>351</v>
      </c>
      <c r="M351" s="200">
        <v>1</v>
      </c>
      <c r="N351" s="200">
        <v>22</v>
      </c>
    </row>
    <row r="352" spans="1:14" x14ac:dyDescent="0.25">
      <c r="A352" s="198" t="s">
        <v>32</v>
      </c>
      <c r="B352" s="198" t="s">
        <v>7607</v>
      </c>
      <c r="C352" s="198"/>
      <c r="D352" s="196">
        <v>0.5</v>
      </c>
      <c r="E352" s="196"/>
      <c r="F352" s="196">
        <v>0.19900000000000001</v>
      </c>
      <c r="G352" s="196">
        <v>146.255</v>
      </c>
      <c r="H352" s="196"/>
      <c r="I352" s="196"/>
      <c r="J352" s="196"/>
      <c r="K352" s="196"/>
      <c r="L352" s="200">
        <v>352</v>
      </c>
      <c r="M352" s="200">
        <v>3</v>
      </c>
      <c r="N352" s="200">
        <v>22</v>
      </c>
    </row>
    <row r="353" spans="1:14" x14ac:dyDescent="0.25">
      <c r="A353" s="198" t="s">
        <v>32</v>
      </c>
      <c r="B353" s="198" t="s">
        <v>1640</v>
      </c>
      <c r="C353" s="198"/>
      <c r="D353" s="196">
        <v>2</v>
      </c>
      <c r="E353" s="196"/>
      <c r="F353" s="196">
        <v>0.24099999999999999</v>
      </c>
      <c r="G353" s="196">
        <v>162.71299999999999</v>
      </c>
      <c r="H353" s="196"/>
      <c r="I353" s="196"/>
      <c r="J353" s="196"/>
      <c r="K353" s="196"/>
      <c r="L353" s="200">
        <v>353</v>
      </c>
      <c r="M353" s="200">
        <v>1</v>
      </c>
      <c r="N353" s="200">
        <v>22</v>
      </c>
    </row>
    <row r="354" spans="1:14" x14ac:dyDescent="0.25">
      <c r="A354" s="198" t="s">
        <v>32</v>
      </c>
      <c r="B354" s="198" t="s">
        <v>1669</v>
      </c>
      <c r="C354" s="198"/>
      <c r="D354" s="196">
        <v>3</v>
      </c>
      <c r="E354" s="196"/>
      <c r="F354" s="196">
        <v>0.41</v>
      </c>
      <c r="G354" s="196">
        <v>143.202</v>
      </c>
      <c r="H354" s="196"/>
      <c r="I354" s="196"/>
      <c r="J354" s="196"/>
      <c r="K354" s="196"/>
      <c r="L354" s="200">
        <v>354</v>
      </c>
      <c r="M354" s="200">
        <v>1</v>
      </c>
      <c r="N354" s="200">
        <v>22</v>
      </c>
    </row>
    <row r="355" spans="1:14" x14ac:dyDescent="0.25">
      <c r="A355" s="198" t="s">
        <v>32</v>
      </c>
      <c r="B355" s="198" t="s">
        <v>7584</v>
      </c>
      <c r="C355" s="198"/>
      <c r="D355" s="196">
        <v>1</v>
      </c>
      <c r="E355" s="196"/>
      <c r="F355" s="196">
        <v>0.13600000000000001</v>
      </c>
      <c r="G355" s="196">
        <v>165.941</v>
      </c>
      <c r="H355" s="196"/>
      <c r="I355" s="196"/>
      <c r="J355" s="196"/>
      <c r="K355" s="196"/>
      <c r="L355" s="200">
        <v>355</v>
      </c>
      <c r="M355" s="200">
        <v>3</v>
      </c>
      <c r="N355" s="200">
        <v>22</v>
      </c>
    </row>
    <row r="356" spans="1:14" x14ac:dyDescent="0.25">
      <c r="A356" s="198" t="s">
        <v>32</v>
      </c>
      <c r="B356" s="198" t="s">
        <v>7601</v>
      </c>
      <c r="C356" s="198"/>
      <c r="D356" s="196">
        <v>0.5</v>
      </c>
      <c r="E356" s="196"/>
      <c r="F356" s="196">
        <v>0.17699999999999999</v>
      </c>
      <c r="G356" s="196">
        <v>165.292</v>
      </c>
      <c r="H356" s="196"/>
      <c r="I356" s="196"/>
      <c r="J356" s="196"/>
      <c r="K356" s="196"/>
      <c r="L356" s="200">
        <v>356</v>
      </c>
      <c r="M356" s="200">
        <v>3</v>
      </c>
      <c r="N356" s="200">
        <v>22</v>
      </c>
    </row>
    <row r="357" spans="1:14" x14ac:dyDescent="0.25">
      <c r="A357" s="198" t="s">
        <v>32</v>
      </c>
      <c r="B357" s="198" t="s">
        <v>1662</v>
      </c>
      <c r="C357" s="198"/>
      <c r="D357" s="196">
        <v>2</v>
      </c>
      <c r="E357" s="196"/>
      <c r="F357" s="196">
        <v>0.32800000000000001</v>
      </c>
      <c r="G357" s="196">
        <v>155.19999999999999</v>
      </c>
      <c r="H357" s="196"/>
      <c r="I357" s="196"/>
      <c r="J357" s="196"/>
      <c r="K357" s="196"/>
      <c r="L357" s="200">
        <v>357</v>
      </c>
      <c r="M357" s="200">
        <v>1</v>
      </c>
      <c r="N357" s="200">
        <v>22</v>
      </c>
    </row>
    <row r="358" spans="1:14" x14ac:dyDescent="0.25">
      <c r="A358" s="198" t="s">
        <v>32</v>
      </c>
      <c r="B358" s="198" t="s">
        <v>1676</v>
      </c>
      <c r="C358" s="198"/>
      <c r="D358" s="196">
        <v>3</v>
      </c>
      <c r="E358" s="196"/>
      <c r="F358" s="196">
        <v>0.432</v>
      </c>
      <c r="G358" s="196">
        <v>158.30000000000001</v>
      </c>
      <c r="H358" s="196"/>
      <c r="I358" s="196"/>
      <c r="J358" s="196"/>
      <c r="K358" s="196">
        <v>2.6</v>
      </c>
      <c r="L358" s="200">
        <v>358</v>
      </c>
      <c r="M358" s="200">
        <v>1</v>
      </c>
      <c r="N358" s="200">
        <v>22</v>
      </c>
    </row>
    <row r="359" spans="1:14" x14ac:dyDescent="0.25">
      <c r="A359" s="198" t="s">
        <v>32</v>
      </c>
      <c r="B359" s="198" t="s">
        <v>1631</v>
      </c>
      <c r="C359" s="198"/>
      <c r="D359" s="196">
        <v>2</v>
      </c>
      <c r="E359" s="196"/>
      <c r="F359" s="196">
        <v>0.15</v>
      </c>
      <c r="G359" s="196">
        <v>164.25399999999999</v>
      </c>
      <c r="H359" s="196"/>
      <c r="I359" s="196"/>
      <c r="J359" s="196"/>
      <c r="K359" s="196"/>
      <c r="L359" s="200">
        <v>359</v>
      </c>
      <c r="M359" s="200">
        <v>1</v>
      </c>
      <c r="N359" s="200">
        <v>22</v>
      </c>
    </row>
    <row r="360" spans="1:14" x14ac:dyDescent="0.25">
      <c r="A360" s="198" t="s">
        <v>32</v>
      </c>
      <c r="B360" s="198" t="s">
        <v>7531</v>
      </c>
      <c r="C360" s="198"/>
      <c r="D360" s="196">
        <v>1</v>
      </c>
      <c r="E360" s="196"/>
      <c r="F360" s="196">
        <v>0.26400000000000001</v>
      </c>
      <c r="G360" s="196">
        <v>165</v>
      </c>
      <c r="H360" s="196"/>
      <c r="I360" s="196"/>
      <c r="J360" s="196"/>
      <c r="K360" s="196"/>
      <c r="L360" s="200">
        <v>360</v>
      </c>
      <c r="M360" s="200">
        <v>1</v>
      </c>
      <c r="N360" s="200">
        <v>22</v>
      </c>
    </row>
    <row r="361" spans="1:14" x14ac:dyDescent="0.25">
      <c r="A361" s="198" t="s">
        <v>32</v>
      </c>
      <c r="B361" s="198" t="s">
        <v>1659</v>
      </c>
      <c r="C361" s="198"/>
      <c r="D361" s="196">
        <v>4</v>
      </c>
      <c r="E361" s="196"/>
      <c r="F361" s="196">
        <v>0.30299999999999999</v>
      </c>
      <c r="G361" s="196">
        <v>165.93700000000001</v>
      </c>
      <c r="H361" s="196"/>
      <c r="I361" s="196"/>
      <c r="J361" s="196"/>
      <c r="K361" s="196"/>
      <c r="L361" s="200">
        <v>361</v>
      </c>
      <c r="M361" s="200">
        <v>1</v>
      </c>
      <c r="N361" s="200">
        <v>22</v>
      </c>
    </row>
    <row r="362" spans="1:14" x14ac:dyDescent="0.25">
      <c r="A362" s="198" t="s">
        <v>32</v>
      </c>
      <c r="B362" s="198" t="s">
        <v>7616</v>
      </c>
      <c r="C362" s="198"/>
      <c r="D362" s="196">
        <v>0.5</v>
      </c>
      <c r="E362" s="196"/>
      <c r="F362" s="196">
        <v>0.17</v>
      </c>
      <c r="G362" s="196">
        <v>166.334</v>
      </c>
      <c r="H362" s="196"/>
      <c r="I362" s="196"/>
      <c r="J362" s="196"/>
      <c r="K362" s="196"/>
      <c r="L362" s="200">
        <v>362</v>
      </c>
      <c r="M362" s="200">
        <v>3</v>
      </c>
      <c r="N362" s="200">
        <v>22</v>
      </c>
    </row>
    <row r="363" spans="1:14" x14ac:dyDescent="0.25">
      <c r="A363" s="198" t="s">
        <v>32</v>
      </c>
      <c r="B363" s="198" t="s">
        <v>7541</v>
      </c>
      <c r="C363" s="198"/>
      <c r="D363" s="196">
        <v>1</v>
      </c>
      <c r="E363" s="196"/>
      <c r="F363" s="196">
        <v>0.31900000000000001</v>
      </c>
      <c r="G363" s="196">
        <v>140.149</v>
      </c>
      <c r="H363" s="196"/>
      <c r="I363" s="196"/>
      <c r="J363" s="196"/>
      <c r="K363" s="196"/>
      <c r="L363" s="200">
        <v>363</v>
      </c>
      <c r="M363" s="200">
        <v>1</v>
      </c>
      <c r="N363" s="200">
        <v>22</v>
      </c>
    </row>
    <row r="364" spans="1:14" x14ac:dyDescent="0.25">
      <c r="A364" s="198" t="s">
        <v>32</v>
      </c>
      <c r="B364" s="198" t="s">
        <v>1672</v>
      </c>
      <c r="C364" s="198"/>
      <c r="D364" s="196">
        <v>18</v>
      </c>
      <c r="E364" s="196"/>
      <c r="F364" s="196">
        <v>0.33700000000000002</v>
      </c>
      <c r="G364" s="196">
        <v>158.63800000000001</v>
      </c>
      <c r="H364" s="196"/>
      <c r="I364" s="196"/>
      <c r="J364" s="196"/>
      <c r="K364" s="196"/>
      <c r="L364" s="200">
        <v>364</v>
      </c>
      <c r="M364" s="200">
        <v>1</v>
      </c>
      <c r="N364" s="200">
        <v>22</v>
      </c>
    </row>
    <row r="365" spans="1:14" x14ac:dyDescent="0.25">
      <c r="A365" s="198" t="s">
        <v>32</v>
      </c>
      <c r="B365" s="198" t="s">
        <v>7544</v>
      </c>
      <c r="C365" s="198"/>
      <c r="D365" s="196">
        <v>1</v>
      </c>
      <c r="E365" s="196"/>
      <c r="F365" s="196">
        <v>0.32500000000000001</v>
      </c>
      <c r="G365" s="196">
        <v>141</v>
      </c>
      <c r="H365" s="196"/>
      <c r="I365" s="196"/>
      <c r="J365" s="196"/>
      <c r="K365" s="196"/>
      <c r="L365" s="200">
        <v>365</v>
      </c>
      <c r="M365" s="200">
        <v>1</v>
      </c>
      <c r="N365" s="200">
        <v>22</v>
      </c>
    </row>
    <row r="366" spans="1:14" x14ac:dyDescent="0.25">
      <c r="A366" s="198" t="s">
        <v>32</v>
      </c>
      <c r="B366" s="198" t="s">
        <v>1682</v>
      </c>
      <c r="C366" s="198"/>
      <c r="D366" s="196">
        <v>5</v>
      </c>
      <c r="E366" s="196"/>
      <c r="F366" s="196">
        <v>0.31</v>
      </c>
      <c r="G366" s="196">
        <v>147.99799999999999</v>
      </c>
      <c r="H366" s="196"/>
      <c r="I366" s="196"/>
      <c r="J366" s="196"/>
      <c r="K366" s="196"/>
      <c r="L366" s="200">
        <v>366</v>
      </c>
      <c r="M366" s="200">
        <v>1</v>
      </c>
      <c r="N366" s="200">
        <v>22</v>
      </c>
    </row>
    <row r="367" spans="1:14" x14ac:dyDescent="0.25">
      <c r="A367" s="198" t="s">
        <v>32</v>
      </c>
      <c r="B367" s="198" t="s">
        <v>7634</v>
      </c>
      <c r="C367" s="198"/>
      <c r="D367" s="196">
        <v>1</v>
      </c>
      <c r="E367" s="196"/>
      <c r="F367" s="196">
        <v>0.32100000000000001</v>
      </c>
      <c r="G367" s="196">
        <v>146.155</v>
      </c>
      <c r="H367" s="196"/>
      <c r="I367" s="196"/>
      <c r="J367" s="196"/>
      <c r="K367" s="196"/>
      <c r="L367" s="200">
        <v>367</v>
      </c>
      <c r="M367" s="200">
        <v>3</v>
      </c>
      <c r="N367" s="200">
        <v>22</v>
      </c>
    </row>
    <row r="368" spans="1:14" x14ac:dyDescent="0.25">
      <c r="A368" s="198" t="s">
        <v>1485</v>
      </c>
      <c r="B368" s="198" t="s">
        <v>1685</v>
      </c>
      <c r="C368" s="198">
        <v>1</v>
      </c>
      <c r="D368" s="196">
        <v>35</v>
      </c>
      <c r="E368" s="196">
        <v>5.2060000000000004</v>
      </c>
      <c r="F368" s="196">
        <v>9.0999999999999998E-2</v>
      </c>
      <c r="G368" s="196">
        <v>8.0540000000000003</v>
      </c>
      <c r="H368" s="196">
        <v>27.481000000000002</v>
      </c>
      <c r="I368" s="196">
        <v>43.542000000000002</v>
      </c>
      <c r="J368" s="196">
        <v>27.507000000000001</v>
      </c>
      <c r="K368" s="196">
        <v>1.1000000000000001</v>
      </c>
      <c r="L368" s="200">
        <v>368</v>
      </c>
      <c r="M368" s="200">
        <v>1</v>
      </c>
      <c r="N368" s="200">
        <v>14</v>
      </c>
    </row>
    <row r="369" spans="1:14" x14ac:dyDescent="0.25">
      <c r="A369" s="198" t="s">
        <v>32</v>
      </c>
      <c r="B369" s="198" t="s">
        <v>1692</v>
      </c>
      <c r="C369" s="198"/>
      <c r="D369" s="196">
        <v>1</v>
      </c>
      <c r="E369" s="196"/>
      <c r="F369" s="196">
        <v>0.125</v>
      </c>
      <c r="G369" s="196">
        <v>155</v>
      </c>
      <c r="H369" s="196"/>
      <c r="I369" s="196"/>
      <c r="J369" s="196"/>
      <c r="K369" s="196"/>
      <c r="L369" s="200">
        <v>369</v>
      </c>
      <c r="M369" s="200">
        <v>1</v>
      </c>
      <c r="N369" s="200">
        <v>21</v>
      </c>
    </row>
    <row r="370" spans="1:14" x14ac:dyDescent="0.25">
      <c r="A370" s="198" t="s">
        <v>1485</v>
      </c>
      <c r="B370" s="198" t="s">
        <v>1695</v>
      </c>
      <c r="C370" s="198">
        <v>1</v>
      </c>
      <c r="D370" s="196">
        <v>70</v>
      </c>
      <c r="E370" s="196">
        <v>5.2089999999999996</v>
      </c>
      <c r="F370" s="196">
        <v>0.14000000000000001</v>
      </c>
      <c r="G370" s="196">
        <v>22.062000000000001</v>
      </c>
      <c r="H370" s="196">
        <v>308.30599999999998</v>
      </c>
      <c r="I370" s="196">
        <v>44.36</v>
      </c>
      <c r="J370" s="196">
        <v>319.50599999999997</v>
      </c>
      <c r="K370" s="196">
        <v>0.88</v>
      </c>
      <c r="L370" s="200">
        <v>370</v>
      </c>
      <c r="M370" s="200">
        <v>1</v>
      </c>
      <c r="N370" s="200">
        <v>14</v>
      </c>
    </row>
    <row r="371" spans="1:14" x14ac:dyDescent="0.25">
      <c r="A371" s="198" t="s">
        <v>32</v>
      </c>
      <c r="B371" s="198" t="s">
        <v>1701</v>
      </c>
      <c r="C371" s="198"/>
      <c r="D371" s="196">
        <v>52</v>
      </c>
      <c r="E371" s="196"/>
      <c r="F371" s="196"/>
      <c r="G371" s="196"/>
      <c r="H371" s="196"/>
      <c r="I371" s="196"/>
      <c r="J371" s="196"/>
      <c r="K371" s="196"/>
      <c r="L371" s="200">
        <v>371</v>
      </c>
      <c r="M371" s="200">
        <v>1</v>
      </c>
      <c r="N371" s="200">
        <v>21</v>
      </c>
    </row>
    <row r="372" spans="1:14" x14ac:dyDescent="0.25">
      <c r="A372" s="198" t="s">
        <v>1485</v>
      </c>
      <c r="B372" s="198" t="s">
        <v>1703</v>
      </c>
      <c r="C372" s="198">
        <v>0</v>
      </c>
      <c r="D372" s="196">
        <v>65</v>
      </c>
      <c r="E372" s="196">
        <v>5.2089999999999996</v>
      </c>
      <c r="F372" s="196">
        <v>0.14599999999999999</v>
      </c>
      <c r="G372" s="196">
        <v>10.318</v>
      </c>
      <c r="H372" s="196">
        <v>133.5</v>
      </c>
      <c r="I372" s="196">
        <v>316.54000000000002</v>
      </c>
      <c r="J372" s="196">
        <v>205.11</v>
      </c>
      <c r="K372" s="196"/>
      <c r="L372" s="200">
        <v>372</v>
      </c>
      <c r="M372" s="200">
        <v>1</v>
      </c>
      <c r="N372" s="200">
        <v>14</v>
      </c>
    </row>
    <row r="373" spans="1:14" x14ac:dyDescent="0.25">
      <c r="A373" s="198" t="s">
        <v>1485</v>
      </c>
      <c r="B373" s="198" t="s">
        <v>1708</v>
      </c>
      <c r="C373" s="198">
        <v>0</v>
      </c>
      <c r="D373" s="196">
        <v>57</v>
      </c>
      <c r="E373" s="196">
        <v>5.2110000000000003</v>
      </c>
      <c r="F373" s="196">
        <v>5.8000000000000003E-2</v>
      </c>
      <c r="G373" s="196">
        <v>12.162000000000001</v>
      </c>
      <c r="H373" s="196">
        <v>205.34</v>
      </c>
      <c r="I373" s="196">
        <v>287.87</v>
      </c>
      <c r="J373" s="196">
        <v>201.39</v>
      </c>
      <c r="K373" s="196"/>
      <c r="L373" s="200">
        <v>373</v>
      </c>
      <c r="M373" s="200">
        <v>1</v>
      </c>
      <c r="N373" s="200">
        <v>14</v>
      </c>
    </row>
    <row r="374" spans="1:14" x14ac:dyDescent="0.25">
      <c r="A374" s="198" t="s">
        <v>1485</v>
      </c>
      <c r="B374" s="198" t="s">
        <v>1714</v>
      </c>
      <c r="C374" s="198">
        <v>0</v>
      </c>
      <c r="D374" s="196">
        <v>56</v>
      </c>
      <c r="E374" s="196">
        <v>5.2149999999999999</v>
      </c>
      <c r="F374" s="196">
        <v>8.8999999999999996E-2</v>
      </c>
      <c r="G374" s="196">
        <v>20.902000000000001</v>
      </c>
      <c r="H374" s="196">
        <v>262.99</v>
      </c>
      <c r="I374" s="196">
        <v>200.51</v>
      </c>
      <c r="J374" s="196">
        <v>194.79</v>
      </c>
      <c r="K374" s="196"/>
      <c r="L374" s="200">
        <v>374</v>
      </c>
      <c r="M374" s="200">
        <v>1</v>
      </c>
      <c r="N374" s="200">
        <v>14</v>
      </c>
    </row>
    <row r="375" spans="1:14" x14ac:dyDescent="0.25">
      <c r="A375" s="198" t="s">
        <v>1485</v>
      </c>
      <c r="B375" s="198" t="s">
        <v>1720</v>
      </c>
      <c r="C375" s="198">
        <v>0</v>
      </c>
      <c r="D375" s="196">
        <v>59</v>
      </c>
      <c r="E375" s="196">
        <v>5.218</v>
      </c>
      <c r="F375" s="196">
        <v>0.104</v>
      </c>
      <c r="G375" s="196">
        <v>16.664000000000001</v>
      </c>
      <c r="H375" s="196">
        <v>50.802999999999997</v>
      </c>
      <c r="I375" s="196">
        <v>247.33</v>
      </c>
      <c r="J375" s="196">
        <v>238.45</v>
      </c>
      <c r="K375" s="196"/>
      <c r="L375" s="200">
        <v>375</v>
      </c>
      <c r="M375" s="200">
        <v>1</v>
      </c>
      <c r="N375" s="200">
        <v>14</v>
      </c>
    </row>
    <row r="376" spans="1:14" x14ac:dyDescent="0.25">
      <c r="A376" s="198" t="s">
        <v>1485</v>
      </c>
      <c r="B376" s="198" t="s">
        <v>1726</v>
      </c>
      <c r="C376" s="198">
        <v>0</v>
      </c>
      <c r="D376" s="196">
        <v>60</v>
      </c>
      <c r="E376" s="196">
        <v>5.2220000000000004</v>
      </c>
      <c r="F376" s="196">
        <v>0.127</v>
      </c>
      <c r="G376" s="196">
        <v>27.866</v>
      </c>
      <c r="H376" s="196">
        <v>149.91</v>
      </c>
      <c r="I376" s="196">
        <v>135.9</v>
      </c>
      <c r="J376" s="196">
        <v>245.6</v>
      </c>
      <c r="K376" s="196"/>
      <c r="L376" s="200">
        <v>376</v>
      </c>
      <c r="M376" s="200">
        <v>1</v>
      </c>
      <c r="N376" s="200">
        <v>14</v>
      </c>
    </row>
    <row r="377" spans="1:14" x14ac:dyDescent="0.25">
      <c r="A377" s="198" t="s">
        <v>1485</v>
      </c>
      <c r="B377" s="198" t="s">
        <v>1732</v>
      </c>
      <c r="C377" s="198">
        <v>0</v>
      </c>
      <c r="D377" s="196">
        <v>58</v>
      </c>
      <c r="E377" s="196">
        <v>5.2489999999999997</v>
      </c>
      <c r="F377" s="196">
        <v>8.8999999999999996E-2</v>
      </c>
      <c r="G377" s="196">
        <v>3.137</v>
      </c>
      <c r="H377" s="196">
        <v>236.63</v>
      </c>
      <c r="I377" s="196">
        <v>221.28</v>
      </c>
      <c r="J377" s="196">
        <v>183.79</v>
      </c>
      <c r="K377" s="196"/>
      <c r="L377" s="200">
        <v>377</v>
      </c>
      <c r="M377" s="200">
        <v>1</v>
      </c>
      <c r="N377" s="200">
        <v>14</v>
      </c>
    </row>
    <row r="378" spans="1:14" x14ac:dyDescent="0.25">
      <c r="A378" s="198" t="s">
        <v>1485</v>
      </c>
      <c r="B378" s="198" t="s">
        <v>1738</v>
      </c>
      <c r="C378" s="198">
        <v>0</v>
      </c>
      <c r="D378" s="196">
        <v>52</v>
      </c>
      <c r="E378" s="196">
        <v>5.2510000000000003</v>
      </c>
      <c r="F378" s="196">
        <v>9.0999999999999998E-2</v>
      </c>
      <c r="G378" s="196">
        <v>33.542000000000002</v>
      </c>
      <c r="H378" s="196">
        <v>296.06</v>
      </c>
      <c r="I378" s="196">
        <v>48.545999999999999</v>
      </c>
      <c r="J378" s="196">
        <v>189.17</v>
      </c>
      <c r="K378" s="196"/>
      <c r="L378" s="200">
        <v>378</v>
      </c>
      <c r="M378" s="200">
        <v>1</v>
      </c>
      <c r="N378" s="200">
        <v>14</v>
      </c>
    </row>
    <row r="379" spans="1:14" x14ac:dyDescent="0.25">
      <c r="A379" s="198" t="s">
        <v>1485</v>
      </c>
      <c r="B379" s="198" t="s">
        <v>1744</v>
      </c>
      <c r="C379" s="198">
        <v>1</v>
      </c>
      <c r="D379" s="196">
        <v>125</v>
      </c>
      <c r="E379" s="196">
        <v>5.2569999999999997</v>
      </c>
      <c r="F379" s="196">
        <v>2.4E-2</v>
      </c>
      <c r="G379" s="196">
        <v>18.166</v>
      </c>
      <c r="H379" s="196">
        <v>185.22</v>
      </c>
      <c r="I379" s="196">
        <v>342.79</v>
      </c>
      <c r="J379" s="196">
        <v>136.09</v>
      </c>
      <c r="K379" s="196">
        <v>1.6870000000000001</v>
      </c>
      <c r="L379" s="200">
        <v>379</v>
      </c>
      <c r="M379" s="200">
        <v>1</v>
      </c>
      <c r="N379" s="200">
        <v>14</v>
      </c>
    </row>
    <row r="380" spans="1:14" x14ac:dyDescent="0.25">
      <c r="A380" s="198" t="s">
        <v>32</v>
      </c>
      <c r="B380" s="198" t="s">
        <v>1751</v>
      </c>
      <c r="C380" s="198"/>
      <c r="D380" s="196">
        <v>6</v>
      </c>
      <c r="E380" s="196"/>
      <c r="F380" s="196">
        <v>0.31</v>
      </c>
      <c r="G380" s="196"/>
      <c r="H380" s="196"/>
      <c r="I380" s="196"/>
      <c r="J380" s="196"/>
      <c r="K380" s="196"/>
      <c r="L380" s="200">
        <v>380</v>
      </c>
      <c r="M380" s="200">
        <v>1</v>
      </c>
      <c r="N380" s="200">
        <v>21</v>
      </c>
    </row>
    <row r="381" spans="1:14" x14ac:dyDescent="0.25">
      <c r="A381" s="198" t="s">
        <v>1485</v>
      </c>
      <c r="B381" s="198" t="s">
        <v>1753</v>
      </c>
      <c r="C381" s="198">
        <v>0</v>
      </c>
      <c r="D381" s="196">
        <v>66</v>
      </c>
      <c r="E381" s="196">
        <v>5.2770000000000001</v>
      </c>
      <c r="F381" s="196">
        <v>6.6000000000000003E-2</v>
      </c>
      <c r="G381" s="196">
        <v>21.763000000000002</v>
      </c>
      <c r="H381" s="196">
        <v>80.873999999999995</v>
      </c>
      <c r="I381" s="196">
        <v>338.01</v>
      </c>
      <c r="J381" s="196">
        <v>236.05</v>
      </c>
      <c r="K381" s="196"/>
      <c r="L381" s="200">
        <v>381</v>
      </c>
      <c r="M381" s="200">
        <v>1</v>
      </c>
      <c r="N381" s="200">
        <v>14</v>
      </c>
    </row>
    <row r="382" spans="1:14" x14ac:dyDescent="0.25">
      <c r="A382" s="198" t="s">
        <v>1485</v>
      </c>
      <c r="B382" s="198" t="s">
        <v>1759</v>
      </c>
      <c r="C382" s="198">
        <v>0</v>
      </c>
      <c r="D382" s="196">
        <v>50</v>
      </c>
      <c r="E382" s="196">
        <v>5.2960000000000003</v>
      </c>
      <c r="F382" s="196">
        <v>0.13700000000000001</v>
      </c>
      <c r="G382" s="196">
        <v>6.92</v>
      </c>
      <c r="H382" s="196">
        <v>40.496000000000002</v>
      </c>
      <c r="I382" s="196">
        <v>283.91000000000003</v>
      </c>
      <c r="J382" s="196">
        <v>184.44</v>
      </c>
      <c r="K382" s="196"/>
      <c r="L382" s="200">
        <v>382</v>
      </c>
      <c r="M382" s="200">
        <v>1</v>
      </c>
      <c r="N382" s="200">
        <v>14</v>
      </c>
    </row>
    <row r="383" spans="1:14" x14ac:dyDescent="0.25">
      <c r="A383" s="198" t="s">
        <v>1485</v>
      </c>
      <c r="B383" s="198" t="s">
        <v>1765</v>
      </c>
      <c r="C383" s="198">
        <v>0</v>
      </c>
      <c r="D383" s="196">
        <v>21</v>
      </c>
      <c r="E383" s="196">
        <v>5.3019999999999996</v>
      </c>
      <c r="F383" s="196">
        <v>6.6000000000000003E-2</v>
      </c>
      <c r="G383" s="196">
        <v>11.545999999999999</v>
      </c>
      <c r="H383" s="196">
        <v>160.95500000000001</v>
      </c>
      <c r="I383" s="196">
        <v>251.08699999999999</v>
      </c>
      <c r="J383" s="196">
        <v>43.783999999999999</v>
      </c>
      <c r="K383" s="196"/>
      <c r="L383" s="200">
        <v>383</v>
      </c>
      <c r="M383" s="200">
        <v>1</v>
      </c>
      <c r="N383" s="200">
        <v>14</v>
      </c>
    </row>
    <row r="384" spans="1:14" x14ac:dyDescent="0.25">
      <c r="A384" s="198" t="s">
        <v>1485</v>
      </c>
      <c r="B384" s="198" t="s">
        <v>1771</v>
      </c>
      <c r="C384" s="198">
        <v>0</v>
      </c>
      <c r="D384" s="196">
        <v>30</v>
      </c>
      <c r="E384" s="196">
        <v>5.3179999999999996</v>
      </c>
      <c r="F384" s="196">
        <v>3.7999999999999999E-2</v>
      </c>
      <c r="G384" s="196">
        <v>8.4689999999999994</v>
      </c>
      <c r="H384" s="196">
        <v>181.25800000000001</v>
      </c>
      <c r="I384" s="196">
        <v>258.55399999999997</v>
      </c>
      <c r="J384" s="196">
        <v>356.27499999999998</v>
      </c>
      <c r="K384" s="196"/>
      <c r="L384" s="200">
        <v>384</v>
      </c>
      <c r="M384" s="200">
        <v>1</v>
      </c>
      <c r="N384" s="200">
        <v>14</v>
      </c>
    </row>
    <row r="385" spans="1:17" x14ac:dyDescent="0.25">
      <c r="A385" s="197" t="s">
        <v>1778</v>
      </c>
      <c r="B385" s="198" t="s">
        <v>1779</v>
      </c>
      <c r="C385" s="198">
        <v>274</v>
      </c>
      <c r="D385" s="196">
        <v>58232</v>
      </c>
      <c r="E385" s="196">
        <v>9.5830000000000002</v>
      </c>
      <c r="F385" s="196">
        <v>5.7000000000000002E-2</v>
      </c>
      <c r="G385" s="196">
        <v>2.4849999999999999</v>
      </c>
      <c r="H385" s="196">
        <v>339.392</v>
      </c>
      <c r="I385" s="196">
        <v>113.66500000000001</v>
      </c>
      <c r="J385" s="196">
        <v>317.02</v>
      </c>
      <c r="K385" s="196">
        <v>0.68700000000000006</v>
      </c>
      <c r="L385" s="200">
        <v>385</v>
      </c>
      <c r="M385" s="200">
        <v>1</v>
      </c>
      <c r="N385" s="200">
        <v>1</v>
      </c>
      <c r="O385" s="194" t="s">
        <v>1779</v>
      </c>
      <c r="P385" s="194" t="s">
        <v>9595</v>
      </c>
      <c r="Q385" s="200" t="s">
        <v>8060</v>
      </c>
    </row>
    <row r="386" spans="1:17" x14ac:dyDescent="0.25">
      <c r="A386" s="198" t="s">
        <v>32</v>
      </c>
      <c r="B386" s="198" t="s">
        <v>7637</v>
      </c>
      <c r="C386" s="198"/>
      <c r="D386" s="196">
        <v>0.15</v>
      </c>
      <c r="E386" s="196"/>
      <c r="F386" s="196">
        <v>0</v>
      </c>
      <c r="G386" s="196"/>
      <c r="H386" s="196"/>
      <c r="I386" s="196"/>
      <c r="J386" s="196"/>
      <c r="K386" s="196"/>
      <c r="L386" s="200">
        <v>386</v>
      </c>
      <c r="M386" s="200">
        <v>3</v>
      </c>
      <c r="N386" s="200">
        <v>23</v>
      </c>
    </row>
    <row r="387" spans="1:17" x14ac:dyDescent="0.25">
      <c r="A387" s="198" t="s">
        <v>32</v>
      </c>
      <c r="B387" s="198" t="s">
        <v>1786</v>
      </c>
      <c r="C387" s="198"/>
      <c r="D387" s="196">
        <v>14</v>
      </c>
      <c r="E387" s="196"/>
      <c r="F387" s="196">
        <v>0</v>
      </c>
      <c r="G387" s="196"/>
      <c r="H387" s="196"/>
      <c r="I387" s="196"/>
      <c r="J387" s="196"/>
      <c r="K387" s="196">
        <v>0.4</v>
      </c>
      <c r="L387" s="200">
        <v>387</v>
      </c>
      <c r="M387" s="200">
        <v>1</v>
      </c>
      <c r="N387" s="200">
        <v>23</v>
      </c>
    </row>
    <row r="388" spans="1:17" x14ac:dyDescent="0.25">
      <c r="A388" s="198" t="s">
        <v>32</v>
      </c>
      <c r="B388" s="198" t="s">
        <v>1788</v>
      </c>
      <c r="C388" s="198"/>
      <c r="D388" s="196">
        <v>4</v>
      </c>
      <c r="E388" s="196"/>
      <c r="F388" s="196">
        <v>0</v>
      </c>
      <c r="G388" s="196"/>
      <c r="H388" s="196"/>
      <c r="I388" s="196"/>
      <c r="J388" s="196"/>
      <c r="K388" s="196">
        <v>0.27600000000000002</v>
      </c>
      <c r="L388" s="200">
        <v>388</v>
      </c>
      <c r="M388" s="200">
        <v>1</v>
      </c>
      <c r="N388" s="200">
        <v>23</v>
      </c>
    </row>
    <row r="389" spans="1:17" x14ac:dyDescent="0.25">
      <c r="A389" s="198" t="s">
        <v>32</v>
      </c>
      <c r="B389" s="198" t="s">
        <v>1790</v>
      </c>
      <c r="C389" s="198"/>
      <c r="D389" s="196">
        <v>15</v>
      </c>
      <c r="E389" s="196"/>
      <c r="F389" s="196">
        <v>1E-3</v>
      </c>
      <c r="G389" s="196"/>
      <c r="H389" s="196"/>
      <c r="I389" s="196"/>
      <c r="J389" s="196"/>
      <c r="K389" s="196">
        <v>0.39400000000000002</v>
      </c>
      <c r="L389" s="200">
        <v>389</v>
      </c>
      <c r="M389" s="200">
        <v>1</v>
      </c>
      <c r="N389" s="200">
        <v>23</v>
      </c>
    </row>
    <row r="390" spans="1:17" x14ac:dyDescent="0.25">
      <c r="A390" s="198" t="s">
        <v>32</v>
      </c>
      <c r="B390" s="198" t="s">
        <v>1792</v>
      </c>
      <c r="C390" s="198"/>
      <c r="D390" s="196">
        <v>43</v>
      </c>
      <c r="E390" s="196"/>
      <c r="F390" s="196">
        <v>2E-3</v>
      </c>
      <c r="G390" s="196"/>
      <c r="H390" s="196"/>
      <c r="I390" s="196"/>
      <c r="J390" s="196"/>
      <c r="K390" s="196">
        <v>0.48699999999999999</v>
      </c>
      <c r="L390" s="200">
        <v>390</v>
      </c>
      <c r="M390" s="200">
        <v>1</v>
      </c>
      <c r="N390" s="200">
        <v>23</v>
      </c>
    </row>
    <row r="391" spans="1:17" x14ac:dyDescent="0.25">
      <c r="A391" s="198" t="s">
        <v>32</v>
      </c>
      <c r="B391" s="198" t="s">
        <v>1794</v>
      </c>
      <c r="C391" s="198"/>
      <c r="D391" s="196">
        <v>40</v>
      </c>
      <c r="E391" s="196"/>
      <c r="F391" s="196">
        <v>4.0000000000000001E-3</v>
      </c>
      <c r="G391" s="196"/>
      <c r="H391" s="196"/>
      <c r="I391" s="196"/>
      <c r="J391" s="196"/>
      <c r="K391" s="196">
        <v>0.505</v>
      </c>
      <c r="L391" s="200">
        <v>391</v>
      </c>
      <c r="M391" s="200">
        <v>1</v>
      </c>
      <c r="N391" s="200">
        <v>23</v>
      </c>
    </row>
    <row r="392" spans="1:17" x14ac:dyDescent="0.25">
      <c r="A392" s="198" t="s">
        <v>32</v>
      </c>
      <c r="B392" s="198" t="s">
        <v>1796</v>
      </c>
      <c r="C392" s="198"/>
      <c r="D392" s="196">
        <v>59</v>
      </c>
      <c r="E392" s="196"/>
      <c r="F392" s="196">
        <v>0.01</v>
      </c>
      <c r="G392" s="196"/>
      <c r="H392" s="196"/>
      <c r="I392" s="196"/>
      <c r="J392" s="196"/>
      <c r="K392" s="196">
        <v>0.623</v>
      </c>
      <c r="L392" s="200">
        <v>392</v>
      </c>
      <c r="M392" s="200">
        <v>1</v>
      </c>
      <c r="N392" s="200">
        <v>23</v>
      </c>
    </row>
    <row r="393" spans="1:17" x14ac:dyDescent="0.25">
      <c r="A393" s="198" t="s">
        <v>32</v>
      </c>
      <c r="B393" s="198" t="s">
        <v>1798</v>
      </c>
      <c r="C393" s="198"/>
      <c r="D393" s="196">
        <v>89</v>
      </c>
      <c r="E393" s="196"/>
      <c r="F393" s="196">
        <v>7.0000000000000001E-3</v>
      </c>
      <c r="G393" s="196"/>
      <c r="H393" s="196"/>
      <c r="I393" s="196"/>
      <c r="J393" s="196"/>
      <c r="K393" s="196">
        <v>0.64100000000000001</v>
      </c>
      <c r="L393" s="200">
        <v>393</v>
      </c>
      <c r="M393" s="200">
        <v>1</v>
      </c>
      <c r="N393" s="200">
        <v>23</v>
      </c>
    </row>
    <row r="394" spans="1:17" x14ac:dyDescent="0.25">
      <c r="A394" s="198" t="s">
        <v>32</v>
      </c>
      <c r="B394" s="198" t="s">
        <v>7640</v>
      </c>
      <c r="C394" s="198"/>
      <c r="D394" s="196">
        <v>0.33</v>
      </c>
      <c r="E394" s="196"/>
      <c r="F394" s="196">
        <v>0</v>
      </c>
      <c r="G394" s="196"/>
      <c r="H394" s="196"/>
      <c r="I394" s="196"/>
      <c r="J394" s="196"/>
      <c r="K394" s="196">
        <v>0.53900000000000003</v>
      </c>
      <c r="L394" s="200">
        <v>394</v>
      </c>
      <c r="M394" s="200">
        <v>1</v>
      </c>
      <c r="N394" s="200">
        <v>23</v>
      </c>
    </row>
    <row r="395" spans="1:17" x14ac:dyDescent="0.25">
      <c r="A395" s="198" t="s">
        <v>32</v>
      </c>
      <c r="B395" s="198" t="s">
        <v>1801</v>
      </c>
      <c r="C395" s="198"/>
      <c r="D395" s="196">
        <v>198</v>
      </c>
      <c r="E395" s="196"/>
      <c r="F395" s="196">
        <v>0.02</v>
      </c>
      <c r="G395" s="196"/>
      <c r="H395" s="196"/>
      <c r="I395" s="196"/>
      <c r="J395" s="196"/>
      <c r="K395" s="196">
        <v>1.1499999999999999</v>
      </c>
      <c r="L395" s="200">
        <v>395</v>
      </c>
      <c r="M395" s="200">
        <v>1</v>
      </c>
      <c r="N395" s="200">
        <v>3</v>
      </c>
    </row>
    <row r="396" spans="1:17" x14ac:dyDescent="0.25">
      <c r="A396" s="198" t="s">
        <v>32</v>
      </c>
      <c r="B396" s="198" t="s">
        <v>1804</v>
      </c>
      <c r="C396" s="198"/>
      <c r="D396" s="196">
        <v>2</v>
      </c>
      <c r="E396" s="196"/>
      <c r="F396" s="196">
        <v>2E-3</v>
      </c>
      <c r="G396" s="196"/>
      <c r="H396" s="196"/>
      <c r="I396" s="196"/>
      <c r="J396" s="196"/>
      <c r="K396" s="196">
        <v>0.307</v>
      </c>
      <c r="L396" s="200">
        <v>396</v>
      </c>
      <c r="M396" s="200">
        <v>1</v>
      </c>
      <c r="N396" s="200">
        <v>23</v>
      </c>
    </row>
    <row r="397" spans="1:17" x14ac:dyDescent="0.25">
      <c r="A397" s="198" t="s">
        <v>32</v>
      </c>
      <c r="B397" s="198" t="s">
        <v>7643</v>
      </c>
      <c r="C397" s="198"/>
      <c r="D397" s="196">
        <v>0.9</v>
      </c>
      <c r="E397" s="196"/>
      <c r="F397" s="196">
        <v>1E-3</v>
      </c>
      <c r="G397" s="196"/>
      <c r="H397" s="196"/>
      <c r="I397" s="196"/>
      <c r="J397" s="196"/>
      <c r="K397" s="196">
        <v>0.5</v>
      </c>
      <c r="L397" s="200">
        <v>397</v>
      </c>
      <c r="M397" s="200">
        <v>1</v>
      </c>
      <c r="N397" s="200">
        <v>23</v>
      </c>
    </row>
    <row r="398" spans="1:17" x14ac:dyDescent="0.25">
      <c r="A398" s="198" t="s">
        <v>32</v>
      </c>
      <c r="B398" s="198" t="s">
        <v>1806</v>
      </c>
      <c r="C398" s="198"/>
      <c r="D398" s="196">
        <v>2</v>
      </c>
      <c r="E398" s="196"/>
      <c r="F398" s="196">
        <v>4.0000000000000001E-3</v>
      </c>
      <c r="G398" s="196"/>
      <c r="H398" s="196"/>
      <c r="I398" s="196"/>
      <c r="J398" s="196"/>
      <c r="K398" s="196">
        <v>0.251</v>
      </c>
      <c r="L398" s="200">
        <v>398</v>
      </c>
      <c r="M398" s="200">
        <v>1</v>
      </c>
      <c r="N398" s="200">
        <v>23</v>
      </c>
    </row>
    <row r="399" spans="1:17" x14ac:dyDescent="0.25">
      <c r="A399" s="198" t="s">
        <v>32</v>
      </c>
      <c r="B399" s="198" t="s">
        <v>1808</v>
      </c>
      <c r="C399" s="198"/>
      <c r="D399" s="196">
        <v>252</v>
      </c>
      <c r="E399" s="196"/>
      <c r="F399" s="196">
        <v>5.0000000000000001E-3</v>
      </c>
      <c r="G399" s="196"/>
      <c r="H399" s="196"/>
      <c r="I399" s="196"/>
      <c r="J399" s="196"/>
      <c r="K399" s="196">
        <v>1.61</v>
      </c>
      <c r="L399" s="200">
        <v>399</v>
      </c>
      <c r="M399" s="200">
        <v>1</v>
      </c>
      <c r="N399" s="200">
        <v>3</v>
      </c>
    </row>
    <row r="400" spans="1:17" x14ac:dyDescent="0.25">
      <c r="A400" s="198" t="s">
        <v>32</v>
      </c>
      <c r="B400" s="198" t="s">
        <v>1811</v>
      </c>
      <c r="C400" s="198"/>
      <c r="D400" s="196">
        <v>531</v>
      </c>
      <c r="E400" s="196"/>
      <c r="F400" s="196">
        <v>0</v>
      </c>
      <c r="G400" s="196"/>
      <c r="H400" s="196"/>
      <c r="I400" s="196"/>
      <c r="J400" s="196"/>
      <c r="K400" s="196">
        <v>0.98399999999999999</v>
      </c>
      <c r="L400" s="200">
        <v>400</v>
      </c>
      <c r="M400" s="200">
        <v>1</v>
      </c>
      <c r="N400" s="200">
        <v>3</v>
      </c>
    </row>
    <row r="401" spans="1:14" x14ac:dyDescent="0.25">
      <c r="A401" s="198" t="s">
        <v>32</v>
      </c>
      <c r="B401" s="198" t="s">
        <v>1814</v>
      </c>
      <c r="C401" s="198"/>
      <c r="D401" s="196">
        <v>12</v>
      </c>
      <c r="E401" s="196"/>
      <c r="F401" s="196">
        <v>1E-3</v>
      </c>
      <c r="G401" s="196"/>
      <c r="H401" s="196"/>
      <c r="I401" s="196"/>
      <c r="J401" s="196"/>
      <c r="K401" s="196">
        <v>0.5</v>
      </c>
      <c r="L401" s="200">
        <v>401</v>
      </c>
      <c r="M401" s="200">
        <v>1</v>
      </c>
      <c r="N401" s="200">
        <v>23</v>
      </c>
    </row>
    <row r="402" spans="1:14" x14ac:dyDescent="0.25">
      <c r="A402" s="198" t="s">
        <v>32</v>
      </c>
      <c r="B402" s="198" t="s">
        <v>1816</v>
      </c>
      <c r="C402" s="198"/>
      <c r="D402" s="196">
        <v>10</v>
      </c>
      <c r="E402" s="196"/>
      <c r="F402" s="196">
        <v>1E-3</v>
      </c>
      <c r="G402" s="196"/>
      <c r="H402" s="196"/>
      <c r="I402" s="196"/>
      <c r="J402" s="196"/>
      <c r="K402" s="196">
        <v>0.5</v>
      </c>
      <c r="L402" s="200">
        <v>402</v>
      </c>
      <c r="M402" s="200">
        <v>1</v>
      </c>
      <c r="N402" s="200">
        <v>23</v>
      </c>
    </row>
    <row r="403" spans="1:14" x14ac:dyDescent="0.25">
      <c r="A403" s="198" t="s">
        <v>32</v>
      </c>
      <c r="B403" s="198" t="s">
        <v>1282</v>
      </c>
      <c r="C403" s="198"/>
      <c r="D403" s="196">
        <v>561</v>
      </c>
      <c r="E403" s="196"/>
      <c r="F403" s="196">
        <v>2E-3</v>
      </c>
      <c r="G403" s="196"/>
      <c r="H403" s="196"/>
      <c r="I403" s="196"/>
      <c r="J403" s="196"/>
      <c r="K403" s="196">
        <v>1.478</v>
      </c>
      <c r="L403" s="200">
        <v>403</v>
      </c>
      <c r="M403" s="200">
        <v>1</v>
      </c>
      <c r="N403" s="200">
        <v>3</v>
      </c>
    </row>
    <row r="404" spans="1:14" x14ac:dyDescent="0.25">
      <c r="A404" s="198" t="s">
        <v>32</v>
      </c>
      <c r="B404" s="198" t="s">
        <v>1819</v>
      </c>
      <c r="C404" s="198"/>
      <c r="D404" s="196">
        <v>18</v>
      </c>
      <c r="E404" s="196"/>
      <c r="F404" s="196">
        <v>7.0000000000000001E-3</v>
      </c>
      <c r="G404" s="196"/>
      <c r="H404" s="196"/>
      <c r="I404" s="196"/>
      <c r="J404" s="196"/>
      <c r="K404" s="196">
        <v>0.29299999999999998</v>
      </c>
      <c r="L404" s="200">
        <v>404</v>
      </c>
      <c r="M404" s="200">
        <v>1</v>
      </c>
      <c r="N404" s="200">
        <v>23</v>
      </c>
    </row>
    <row r="405" spans="1:14" x14ac:dyDescent="0.25">
      <c r="A405" s="198" t="s">
        <v>32</v>
      </c>
      <c r="B405" s="198" t="s">
        <v>1821</v>
      </c>
      <c r="C405" s="198"/>
      <c r="D405" s="196">
        <v>2</v>
      </c>
      <c r="E405" s="196"/>
      <c r="F405" s="196">
        <v>2E-3</v>
      </c>
      <c r="G405" s="196"/>
      <c r="H405" s="196"/>
      <c r="I405" s="196"/>
      <c r="J405" s="196"/>
      <c r="K405" s="196">
        <v>0.5</v>
      </c>
      <c r="L405" s="200">
        <v>405</v>
      </c>
      <c r="M405" s="200">
        <v>1</v>
      </c>
      <c r="N405" s="200">
        <v>23</v>
      </c>
    </row>
    <row r="406" spans="1:14" x14ac:dyDescent="0.25">
      <c r="A406" s="198" t="s">
        <v>32</v>
      </c>
      <c r="B406" s="198" t="s">
        <v>1824</v>
      </c>
      <c r="C406" s="198"/>
      <c r="D406" s="196">
        <v>764</v>
      </c>
      <c r="E406" s="196"/>
      <c r="F406" s="196">
        <v>1E-3</v>
      </c>
      <c r="G406" s="196"/>
      <c r="H406" s="196"/>
      <c r="I406" s="196"/>
      <c r="J406" s="196"/>
      <c r="K406" s="196">
        <v>1.2370000000000001</v>
      </c>
      <c r="L406" s="200">
        <v>406</v>
      </c>
      <c r="M406" s="200">
        <v>1</v>
      </c>
      <c r="N406" s="200">
        <v>3</v>
      </c>
    </row>
    <row r="407" spans="1:14" x14ac:dyDescent="0.25">
      <c r="A407" s="198" t="s">
        <v>32</v>
      </c>
      <c r="B407" s="198" t="s">
        <v>1827</v>
      </c>
      <c r="C407" s="198"/>
      <c r="D407" s="196">
        <v>2575</v>
      </c>
      <c r="E407" s="196"/>
      <c r="F407" s="196">
        <v>2.9000000000000001E-2</v>
      </c>
      <c r="G407" s="196"/>
      <c r="H407" s="196"/>
      <c r="I407" s="196"/>
      <c r="J407" s="196"/>
      <c r="K407" s="196">
        <v>1.88</v>
      </c>
      <c r="L407" s="200">
        <v>407</v>
      </c>
      <c r="M407" s="200">
        <v>1</v>
      </c>
      <c r="N407" s="200">
        <v>3</v>
      </c>
    </row>
    <row r="408" spans="1:14" x14ac:dyDescent="0.25">
      <c r="A408" s="198" t="s">
        <v>32</v>
      </c>
      <c r="B408" s="198" t="s">
        <v>1830</v>
      </c>
      <c r="C408" s="198"/>
      <c r="D408" s="196">
        <v>135</v>
      </c>
      <c r="E408" s="196"/>
      <c r="F408" s="196">
        <v>0.123</v>
      </c>
      <c r="G408" s="196"/>
      <c r="H408" s="196"/>
      <c r="I408" s="196"/>
      <c r="J408" s="196"/>
      <c r="K408" s="196">
        <v>0.53900000000000003</v>
      </c>
      <c r="L408" s="200">
        <v>408</v>
      </c>
      <c r="M408" s="200">
        <v>1</v>
      </c>
      <c r="N408" s="200">
        <v>23</v>
      </c>
    </row>
    <row r="409" spans="1:14" x14ac:dyDescent="0.25">
      <c r="A409" s="198" t="s">
        <v>32</v>
      </c>
      <c r="B409" s="198" t="s">
        <v>1832</v>
      </c>
      <c r="C409" s="198"/>
      <c r="D409" s="196">
        <v>735</v>
      </c>
      <c r="E409" s="196"/>
      <c r="F409" s="196">
        <v>2.8000000000000001E-2</v>
      </c>
      <c r="G409" s="196">
        <v>17.28</v>
      </c>
      <c r="H409" s="196"/>
      <c r="I409" s="196"/>
      <c r="J409" s="196"/>
      <c r="K409" s="196">
        <v>1.089</v>
      </c>
      <c r="L409" s="200">
        <v>409</v>
      </c>
      <c r="M409" s="200">
        <v>1</v>
      </c>
      <c r="N409" s="200">
        <v>3</v>
      </c>
    </row>
    <row r="410" spans="1:14" x14ac:dyDescent="0.25">
      <c r="A410" s="198" t="s">
        <v>32</v>
      </c>
      <c r="B410" s="198" t="s">
        <v>8088</v>
      </c>
      <c r="C410" s="198"/>
      <c r="D410" s="196">
        <v>2</v>
      </c>
      <c r="E410" s="196"/>
      <c r="F410" s="196">
        <v>0.38600000000000001</v>
      </c>
      <c r="G410" s="196">
        <v>48.8</v>
      </c>
      <c r="H410" s="196"/>
      <c r="I410" s="196"/>
      <c r="J410" s="196"/>
      <c r="K410" s="196"/>
      <c r="L410" s="200">
        <v>410</v>
      </c>
      <c r="M410" s="200">
        <v>3</v>
      </c>
      <c r="N410" s="200">
        <v>23</v>
      </c>
    </row>
    <row r="411" spans="1:14" x14ac:dyDescent="0.25">
      <c r="A411" s="198" t="s">
        <v>32</v>
      </c>
      <c r="B411" s="198" t="s">
        <v>1836</v>
      </c>
      <c r="C411" s="198"/>
      <c r="D411" s="196">
        <v>3</v>
      </c>
      <c r="E411" s="196"/>
      <c r="F411" s="196">
        <v>0.623</v>
      </c>
      <c r="G411" s="196">
        <v>44.4</v>
      </c>
      <c r="H411" s="196"/>
      <c r="I411" s="196"/>
      <c r="J411" s="196"/>
      <c r="K411" s="196"/>
      <c r="L411" s="200">
        <v>411</v>
      </c>
      <c r="M411" s="200">
        <v>3</v>
      </c>
      <c r="N411" s="200">
        <v>23</v>
      </c>
    </row>
    <row r="412" spans="1:14" x14ac:dyDescent="0.25">
      <c r="A412" s="198" t="s">
        <v>32</v>
      </c>
      <c r="B412" s="198" t="s">
        <v>8091</v>
      </c>
      <c r="C412" s="198"/>
      <c r="D412" s="196">
        <v>2</v>
      </c>
      <c r="E412" s="196"/>
      <c r="F412" s="196">
        <v>0.373</v>
      </c>
      <c r="G412" s="196">
        <v>48.1</v>
      </c>
      <c r="H412" s="196"/>
      <c r="I412" s="196"/>
      <c r="J412" s="196"/>
      <c r="K412" s="196"/>
      <c r="L412" s="200">
        <v>412</v>
      </c>
      <c r="M412" s="200">
        <v>3</v>
      </c>
      <c r="N412" s="200">
        <v>23</v>
      </c>
    </row>
    <row r="413" spans="1:14" x14ac:dyDescent="0.25">
      <c r="A413" s="198" t="s">
        <v>32</v>
      </c>
      <c r="B413" s="198" t="s">
        <v>8092</v>
      </c>
      <c r="C413" s="198"/>
      <c r="D413" s="196">
        <v>2</v>
      </c>
      <c r="E413" s="196"/>
      <c r="F413" s="196">
        <v>0.26</v>
      </c>
      <c r="G413" s="196">
        <v>48.9</v>
      </c>
      <c r="H413" s="196"/>
      <c r="I413" s="196"/>
      <c r="J413" s="196"/>
      <c r="K413" s="196"/>
      <c r="L413" s="200">
        <v>413</v>
      </c>
      <c r="M413" s="200">
        <v>3</v>
      </c>
      <c r="N413" s="200">
        <v>23</v>
      </c>
    </row>
    <row r="414" spans="1:14" x14ac:dyDescent="0.25">
      <c r="A414" s="198" t="s">
        <v>32</v>
      </c>
      <c r="B414" s="198" t="s">
        <v>8093</v>
      </c>
      <c r="C414" s="198"/>
      <c r="D414" s="196">
        <v>2</v>
      </c>
      <c r="E414" s="196"/>
      <c r="F414" s="196">
        <v>0.372</v>
      </c>
      <c r="G414" s="196">
        <v>48.2</v>
      </c>
      <c r="H414" s="196"/>
      <c r="I414" s="196"/>
      <c r="J414" s="196"/>
      <c r="K414" s="196"/>
      <c r="L414" s="200">
        <v>414</v>
      </c>
      <c r="M414" s="200">
        <v>3</v>
      </c>
      <c r="N414" s="200">
        <v>23</v>
      </c>
    </row>
    <row r="415" spans="1:14" x14ac:dyDescent="0.25">
      <c r="A415" s="198" t="s">
        <v>32</v>
      </c>
      <c r="B415" s="198" t="s">
        <v>8094</v>
      </c>
      <c r="C415" s="198"/>
      <c r="D415" s="196">
        <v>2</v>
      </c>
      <c r="E415" s="196"/>
      <c r="F415" s="196">
        <v>0.36899999999999999</v>
      </c>
      <c r="G415" s="196">
        <v>47.3</v>
      </c>
      <c r="H415" s="196"/>
      <c r="I415" s="196"/>
      <c r="J415" s="196"/>
      <c r="K415" s="196"/>
      <c r="L415" s="200">
        <v>415</v>
      </c>
      <c r="M415" s="200">
        <v>3</v>
      </c>
      <c r="N415" s="200">
        <v>23</v>
      </c>
    </row>
    <row r="416" spans="1:14" x14ac:dyDescent="0.25">
      <c r="A416" s="198" t="s">
        <v>32</v>
      </c>
      <c r="B416" s="198" t="s">
        <v>1839</v>
      </c>
      <c r="C416" s="198"/>
      <c r="D416" s="196">
        <v>9</v>
      </c>
      <c r="E416" s="196"/>
      <c r="F416" s="196">
        <v>0.182</v>
      </c>
      <c r="G416" s="196">
        <v>48.9</v>
      </c>
      <c r="H416" s="196"/>
      <c r="I416" s="196"/>
      <c r="J416" s="196"/>
      <c r="K416" s="196"/>
      <c r="L416" s="200">
        <v>416</v>
      </c>
      <c r="M416" s="200">
        <v>1</v>
      </c>
      <c r="N416" s="200">
        <v>23</v>
      </c>
    </row>
    <row r="417" spans="1:14" x14ac:dyDescent="0.25">
      <c r="A417" s="198" t="s">
        <v>32</v>
      </c>
      <c r="B417" s="198" t="s">
        <v>8102</v>
      </c>
      <c r="C417" s="198"/>
      <c r="D417" s="196">
        <v>2</v>
      </c>
      <c r="E417" s="196"/>
      <c r="F417" s="196">
        <v>0.33900000000000002</v>
      </c>
      <c r="G417" s="196">
        <v>45.7</v>
      </c>
      <c r="H417" s="196"/>
      <c r="I417" s="196"/>
      <c r="J417" s="196"/>
      <c r="K417" s="196"/>
      <c r="L417" s="200">
        <v>417</v>
      </c>
      <c r="M417" s="200">
        <v>3</v>
      </c>
      <c r="N417" s="200">
        <v>23</v>
      </c>
    </row>
    <row r="418" spans="1:14" x14ac:dyDescent="0.25">
      <c r="A418" s="198" t="s">
        <v>32</v>
      </c>
      <c r="B418" s="198" t="s">
        <v>8103</v>
      </c>
      <c r="C418" s="198"/>
      <c r="D418" s="196">
        <v>2</v>
      </c>
      <c r="E418" s="196"/>
      <c r="F418" s="196">
        <v>0.255</v>
      </c>
      <c r="G418" s="196">
        <v>48.7</v>
      </c>
      <c r="H418" s="196"/>
      <c r="I418" s="196"/>
      <c r="J418" s="196"/>
      <c r="K418" s="196"/>
      <c r="L418" s="200">
        <v>418</v>
      </c>
      <c r="M418" s="200">
        <v>3</v>
      </c>
      <c r="N418" s="200">
        <v>23</v>
      </c>
    </row>
    <row r="419" spans="1:14" x14ac:dyDescent="0.25">
      <c r="A419" s="198" t="s">
        <v>32</v>
      </c>
      <c r="B419" s="198" t="s">
        <v>8104</v>
      </c>
      <c r="C419" s="198"/>
      <c r="D419" s="196">
        <v>2</v>
      </c>
      <c r="E419" s="196"/>
      <c r="F419" s="196">
        <v>0.26</v>
      </c>
      <c r="G419" s="196">
        <v>50.8</v>
      </c>
      <c r="H419" s="196"/>
      <c r="I419" s="196"/>
      <c r="J419" s="196"/>
      <c r="K419" s="196"/>
      <c r="L419" s="200">
        <v>419</v>
      </c>
      <c r="M419" s="200">
        <v>3</v>
      </c>
      <c r="N419" s="200">
        <v>23</v>
      </c>
    </row>
    <row r="420" spans="1:14" x14ac:dyDescent="0.25">
      <c r="A420" s="198" t="s">
        <v>32</v>
      </c>
      <c r="B420" s="198" t="s">
        <v>1842</v>
      </c>
      <c r="C420" s="198"/>
      <c r="D420" s="196">
        <v>3</v>
      </c>
      <c r="E420" s="196"/>
      <c r="F420" s="196">
        <v>0.315</v>
      </c>
      <c r="G420" s="196">
        <v>48</v>
      </c>
      <c r="H420" s="196"/>
      <c r="I420" s="196"/>
      <c r="J420" s="196"/>
      <c r="K420" s="196"/>
      <c r="L420" s="200">
        <v>420</v>
      </c>
      <c r="M420" s="200">
        <v>3</v>
      </c>
      <c r="N420" s="200">
        <v>23</v>
      </c>
    </row>
    <row r="421" spans="1:14" x14ac:dyDescent="0.25">
      <c r="A421" s="198" t="s">
        <v>32</v>
      </c>
      <c r="B421" s="198" t="s">
        <v>8109</v>
      </c>
      <c r="C421" s="198"/>
      <c r="D421" s="196">
        <v>2</v>
      </c>
      <c r="E421" s="196"/>
      <c r="F421" s="196">
        <v>0.27100000000000002</v>
      </c>
      <c r="G421" s="196">
        <v>48.1</v>
      </c>
      <c r="H421" s="196"/>
      <c r="I421" s="196"/>
      <c r="J421" s="196"/>
      <c r="K421" s="196"/>
      <c r="L421" s="200">
        <v>421</v>
      </c>
      <c r="M421" s="200">
        <v>3</v>
      </c>
      <c r="N421" s="200">
        <v>23</v>
      </c>
    </row>
    <row r="422" spans="1:14" x14ac:dyDescent="0.25">
      <c r="A422" s="198" t="s">
        <v>32</v>
      </c>
      <c r="B422" s="198" t="s">
        <v>7646</v>
      </c>
      <c r="C422" s="198"/>
      <c r="D422" s="196">
        <v>2</v>
      </c>
      <c r="E422" s="196"/>
      <c r="F422" s="196">
        <v>0.33700000000000002</v>
      </c>
      <c r="G422" s="196">
        <v>48.2</v>
      </c>
      <c r="H422" s="196"/>
      <c r="I422" s="196"/>
      <c r="J422" s="196"/>
      <c r="K422" s="196"/>
      <c r="L422" s="200">
        <v>422</v>
      </c>
      <c r="M422" s="200">
        <v>3</v>
      </c>
      <c r="N422" s="200">
        <v>23</v>
      </c>
    </row>
    <row r="423" spans="1:14" x14ac:dyDescent="0.25">
      <c r="A423" s="198" t="s">
        <v>32</v>
      </c>
      <c r="B423" s="198" t="s">
        <v>1845</v>
      </c>
      <c r="C423" s="198"/>
      <c r="D423" s="196">
        <v>7</v>
      </c>
      <c r="E423" s="196"/>
      <c r="F423" s="196">
        <v>0.35299999999999998</v>
      </c>
      <c r="G423" s="196">
        <v>49.2</v>
      </c>
      <c r="H423" s="196"/>
      <c r="I423" s="196"/>
      <c r="J423" s="196"/>
      <c r="K423" s="196"/>
      <c r="L423" s="200">
        <v>423</v>
      </c>
      <c r="M423" s="200">
        <v>1</v>
      </c>
      <c r="N423" s="200">
        <v>23</v>
      </c>
    </row>
    <row r="424" spans="1:14" x14ac:dyDescent="0.25">
      <c r="A424" s="198" t="s">
        <v>32</v>
      </c>
      <c r="B424" s="198" t="s">
        <v>8111</v>
      </c>
      <c r="C424" s="198"/>
      <c r="D424" s="196">
        <v>2</v>
      </c>
      <c r="E424" s="196"/>
      <c r="F424" s="196">
        <v>0.34499999999999997</v>
      </c>
      <c r="G424" s="196">
        <v>46.7</v>
      </c>
      <c r="H424" s="196"/>
      <c r="I424" s="196"/>
      <c r="J424" s="196"/>
      <c r="K424" s="196"/>
      <c r="L424" s="200">
        <v>424</v>
      </c>
      <c r="M424" s="200">
        <v>3</v>
      </c>
      <c r="N424" s="200">
        <v>23</v>
      </c>
    </row>
    <row r="425" spans="1:14" x14ac:dyDescent="0.25">
      <c r="A425" s="198" t="s">
        <v>32</v>
      </c>
      <c r="B425" s="198" t="s">
        <v>8112</v>
      </c>
      <c r="C425" s="198"/>
      <c r="D425" s="196">
        <v>2</v>
      </c>
      <c r="E425" s="196"/>
      <c r="F425" s="196">
        <v>0.36699999999999999</v>
      </c>
      <c r="G425" s="196">
        <v>45.8</v>
      </c>
      <c r="H425" s="196"/>
      <c r="I425" s="196"/>
      <c r="J425" s="196"/>
      <c r="K425" s="196"/>
      <c r="L425" s="200">
        <v>425</v>
      </c>
      <c r="M425" s="200">
        <v>3</v>
      </c>
      <c r="N425" s="200">
        <v>23</v>
      </c>
    </row>
    <row r="426" spans="1:14" x14ac:dyDescent="0.25">
      <c r="A426" s="198" t="s">
        <v>32</v>
      </c>
      <c r="B426" s="198" t="s">
        <v>8113</v>
      </c>
      <c r="C426" s="198"/>
      <c r="D426" s="196">
        <v>2</v>
      </c>
      <c r="E426" s="196"/>
      <c r="F426" s="196">
        <v>0.36499999999999999</v>
      </c>
      <c r="G426" s="196">
        <v>48.1</v>
      </c>
      <c r="H426" s="196"/>
      <c r="I426" s="196"/>
      <c r="J426" s="196"/>
      <c r="K426" s="196"/>
      <c r="L426" s="200">
        <v>426</v>
      </c>
      <c r="M426" s="200">
        <v>3</v>
      </c>
      <c r="N426" s="200">
        <v>23</v>
      </c>
    </row>
    <row r="427" spans="1:14" x14ac:dyDescent="0.25">
      <c r="A427" s="198" t="s">
        <v>32</v>
      </c>
      <c r="B427" s="198" t="s">
        <v>8114</v>
      </c>
      <c r="C427" s="198"/>
      <c r="D427" s="196">
        <v>2</v>
      </c>
      <c r="E427" s="196"/>
      <c r="F427" s="196">
        <v>0.373</v>
      </c>
      <c r="G427" s="196">
        <v>48</v>
      </c>
      <c r="H427" s="196"/>
      <c r="I427" s="196"/>
      <c r="J427" s="196"/>
      <c r="K427" s="196"/>
      <c r="L427" s="200">
        <v>427</v>
      </c>
      <c r="M427" s="200">
        <v>3</v>
      </c>
      <c r="N427" s="200">
        <v>23</v>
      </c>
    </row>
    <row r="428" spans="1:14" x14ac:dyDescent="0.25">
      <c r="A428" s="198" t="s">
        <v>32</v>
      </c>
      <c r="B428" s="198" t="s">
        <v>8115</v>
      </c>
      <c r="C428" s="198"/>
      <c r="D428" s="196">
        <v>2</v>
      </c>
      <c r="E428" s="196"/>
      <c r="F428" s="196">
        <v>0.26300000000000001</v>
      </c>
      <c r="G428" s="196">
        <v>166.1</v>
      </c>
      <c r="H428" s="196"/>
      <c r="I428" s="196"/>
      <c r="J428" s="196"/>
      <c r="K428" s="196"/>
      <c r="L428" s="200">
        <v>428</v>
      </c>
      <c r="M428" s="200">
        <v>3</v>
      </c>
      <c r="N428" s="200">
        <v>23</v>
      </c>
    </row>
    <row r="429" spans="1:14" x14ac:dyDescent="0.25">
      <c r="A429" s="198" t="s">
        <v>32</v>
      </c>
      <c r="B429" s="198" t="s">
        <v>8116</v>
      </c>
      <c r="C429" s="198"/>
      <c r="D429" s="196">
        <v>2</v>
      </c>
      <c r="E429" s="196"/>
      <c r="F429" s="196">
        <v>0.33600000000000002</v>
      </c>
      <c r="G429" s="196">
        <v>47.4</v>
      </c>
      <c r="H429" s="196"/>
      <c r="I429" s="196"/>
      <c r="J429" s="196"/>
      <c r="K429" s="196"/>
      <c r="L429" s="200">
        <v>429</v>
      </c>
      <c r="M429" s="200">
        <v>3</v>
      </c>
      <c r="N429" s="200">
        <v>23</v>
      </c>
    </row>
    <row r="430" spans="1:14" x14ac:dyDescent="0.25">
      <c r="A430" s="198" t="s">
        <v>32</v>
      </c>
      <c r="B430" s="198" t="s">
        <v>8117</v>
      </c>
      <c r="C430" s="198"/>
      <c r="D430" s="196">
        <v>2</v>
      </c>
      <c r="E430" s="196"/>
      <c r="F430" s="196">
        <v>0.28399999999999997</v>
      </c>
      <c r="G430" s="196">
        <v>44.7</v>
      </c>
      <c r="H430" s="196"/>
      <c r="I430" s="196"/>
      <c r="J430" s="196"/>
      <c r="K430" s="196"/>
      <c r="L430" s="200">
        <v>430</v>
      </c>
      <c r="M430" s="200">
        <v>3</v>
      </c>
      <c r="N430" s="200">
        <v>23</v>
      </c>
    </row>
    <row r="431" spans="1:14" x14ac:dyDescent="0.25">
      <c r="A431" s="198" t="s">
        <v>32</v>
      </c>
      <c r="B431" s="198" t="s">
        <v>8118</v>
      </c>
      <c r="C431" s="198"/>
      <c r="D431" s="196">
        <v>2</v>
      </c>
      <c r="E431" s="196"/>
      <c r="F431" s="196">
        <v>0.90900000000000003</v>
      </c>
      <c r="G431" s="196">
        <v>149.19999999999999</v>
      </c>
      <c r="H431" s="196"/>
      <c r="I431" s="196"/>
      <c r="J431" s="196"/>
      <c r="K431" s="196"/>
      <c r="L431" s="200">
        <v>431</v>
      </c>
      <c r="M431" s="200">
        <v>3</v>
      </c>
      <c r="N431" s="200">
        <v>23</v>
      </c>
    </row>
    <row r="432" spans="1:14" x14ac:dyDescent="0.25">
      <c r="A432" s="198" t="s">
        <v>32</v>
      </c>
      <c r="B432" s="198" t="s">
        <v>1847</v>
      </c>
      <c r="C432" s="198"/>
      <c r="D432" s="196">
        <v>107</v>
      </c>
      <c r="E432" s="196"/>
      <c r="F432" s="196">
        <v>0.156</v>
      </c>
      <c r="G432" s="196">
        <v>173.04</v>
      </c>
      <c r="H432" s="196"/>
      <c r="I432" s="196"/>
      <c r="J432" s="196"/>
      <c r="K432" s="196">
        <v>1.643</v>
      </c>
      <c r="L432" s="200">
        <v>432</v>
      </c>
      <c r="M432" s="200">
        <v>1</v>
      </c>
      <c r="N432" s="200">
        <v>23</v>
      </c>
    </row>
    <row r="433" spans="1:14" x14ac:dyDescent="0.25">
      <c r="A433" s="198" t="s">
        <v>32</v>
      </c>
      <c r="B433" s="198" t="s">
        <v>8132</v>
      </c>
      <c r="C433" s="198"/>
      <c r="D433" s="196">
        <v>2</v>
      </c>
      <c r="E433" s="196"/>
      <c r="F433" s="196">
        <v>0.14099999999999999</v>
      </c>
      <c r="G433" s="196">
        <v>172.2</v>
      </c>
      <c r="H433" s="196"/>
      <c r="I433" s="196"/>
      <c r="J433" s="196"/>
      <c r="K433" s="196"/>
      <c r="L433" s="200">
        <v>433</v>
      </c>
      <c r="M433" s="200">
        <v>3</v>
      </c>
      <c r="N433" s="200">
        <v>23</v>
      </c>
    </row>
    <row r="434" spans="1:14" x14ac:dyDescent="0.25">
      <c r="A434" s="198" t="s">
        <v>32</v>
      </c>
      <c r="B434" s="198" t="s">
        <v>1851</v>
      </c>
      <c r="C434" s="198"/>
      <c r="D434" s="196">
        <v>3</v>
      </c>
      <c r="E434" s="196"/>
      <c r="F434" s="196">
        <v>0.20599999999999999</v>
      </c>
      <c r="G434" s="196">
        <v>173.1</v>
      </c>
      <c r="H434" s="196"/>
      <c r="I434" s="196"/>
      <c r="J434" s="196"/>
      <c r="K434" s="196"/>
      <c r="L434" s="200">
        <v>434</v>
      </c>
      <c r="M434" s="200">
        <v>3</v>
      </c>
      <c r="N434" s="200">
        <v>23</v>
      </c>
    </row>
    <row r="435" spans="1:14" x14ac:dyDescent="0.25">
      <c r="A435" s="198" t="s">
        <v>32</v>
      </c>
      <c r="B435" s="198" t="s">
        <v>8135</v>
      </c>
      <c r="C435" s="198"/>
      <c r="D435" s="196">
        <v>3</v>
      </c>
      <c r="E435" s="196"/>
      <c r="F435" s="196">
        <v>0.33900000000000002</v>
      </c>
      <c r="G435" s="196">
        <v>161.6</v>
      </c>
      <c r="H435" s="196"/>
      <c r="I435" s="196"/>
      <c r="J435" s="196"/>
      <c r="K435" s="196"/>
      <c r="L435" s="200">
        <v>435</v>
      </c>
      <c r="M435" s="200">
        <v>3</v>
      </c>
      <c r="N435" s="200">
        <v>23</v>
      </c>
    </row>
    <row r="436" spans="1:14" x14ac:dyDescent="0.25">
      <c r="A436" s="198" t="s">
        <v>32</v>
      </c>
      <c r="B436" s="198" t="s">
        <v>8136</v>
      </c>
      <c r="C436" s="198"/>
      <c r="D436" s="196">
        <v>2</v>
      </c>
      <c r="E436" s="196"/>
      <c r="F436" s="196">
        <v>0.122</v>
      </c>
      <c r="G436" s="196">
        <v>166.9</v>
      </c>
      <c r="H436" s="196"/>
      <c r="I436" s="196"/>
      <c r="J436" s="196"/>
      <c r="K436" s="196"/>
      <c r="L436" s="200">
        <v>436</v>
      </c>
      <c r="M436" s="200">
        <v>3</v>
      </c>
      <c r="N436" s="200">
        <v>23</v>
      </c>
    </row>
    <row r="437" spans="1:14" x14ac:dyDescent="0.25">
      <c r="A437" s="198" t="s">
        <v>32</v>
      </c>
      <c r="B437" s="198" t="s">
        <v>8137</v>
      </c>
      <c r="C437" s="198"/>
      <c r="D437" s="196">
        <v>2</v>
      </c>
      <c r="E437" s="196"/>
      <c r="F437" s="196">
        <v>0.3</v>
      </c>
      <c r="G437" s="196">
        <v>170.9</v>
      </c>
      <c r="H437" s="196"/>
      <c r="I437" s="196"/>
      <c r="J437" s="196"/>
      <c r="K437" s="196"/>
      <c r="L437" s="200">
        <v>437</v>
      </c>
      <c r="M437" s="200">
        <v>3</v>
      </c>
      <c r="N437" s="200">
        <v>23</v>
      </c>
    </row>
    <row r="438" spans="1:14" x14ac:dyDescent="0.25">
      <c r="A438" s="198" t="s">
        <v>32</v>
      </c>
      <c r="B438" s="198" t="s">
        <v>7649</v>
      </c>
      <c r="C438" s="198"/>
      <c r="D438" s="196">
        <v>2</v>
      </c>
      <c r="E438" s="196"/>
      <c r="F438" s="196">
        <v>0.248</v>
      </c>
      <c r="G438" s="196">
        <v>173</v>
      </c>
      <c r="H438" s="196"/>
      <c r="I438" s="196"/>
      <c r="J438" s="196"/>
      <c r="K438" s="196"/>
      <c r="L438" s="200">
        <v>438</v>
      </c>
      <c r="M438" s="200">
        <v>3</v>
      </c>
      <c r="N438" s="200">
        <v>23</v>
      </c>
    </row>
    <row r="439" spans="1:14" x14ac:dyDescent="0.25">
      <c r="A439" s="198" t="s">
        <v>32</v>
      </c>
      <c r="B439" s="198" t="s">
        <v>8142</v>
      </c>
      <c r="C439" s="198"/>
      <c r="D439" s="196">
        <v>2</v>
      </c>
      <c r="E439" s="196"/>
      <c r="F439" s="196">
        <v>0.20399999999999999</v>
      </c>
      <c r="G439" s="196">
        <v>169.8</v>
      </c>
      <c r="H439" s="196"/>
      <c r="I439" s="196"/>
      <c r="J439" s="196"/>
      <c r="K439" s="196"/>
      <c r="L439" s="200">
        <v>439</v>
      </c>
      <c r="M439" s="200">
        <v>3</v>
      </c>
      <c r="N439" s="200">
        <v>23</v>
      </c>
    </row>
    <row r="440" spans="1:14" x14ac:dyDescent="0.25">
      <c r="A440" s="198" t="s">
        <v>32</v>
      </c>
      <c r="B440" s="198" t="s">
        <v>1854</v>
      </c>
      <c r="C440" s="198"/>
      <c r="D440" s="196">
        <v>15</v>
      </c>
      <c r="E440" s="196"/>
      <c r="F440" s="196">
        <v>0.38400000000000001</v>
      </c>
      <c r="G440" s="196">
        <v>47.1</v>
      </c>
      <c r="H440" s="196"/>
      <c r="I440" s="196"/>
      <c r="J440" s="196"/>
      <c r="K440" s="196">
        <v>2.2999999999999998</v>
      </c>
      <c r="L440" s="200">
        <v>440</v>
      </c>
      <c r="M440" s="200">
        <v>1</v>
      </c>
      <c r="N440" s="200">
        <v>23</v>
      </c>
    </row>
    <row r="441" spans="1:14" x14ac:dyDescent="0.25">
      <c r="A441" s="198" t="s">
        <v>32</v>
      </c>
      <c r="B441" s="198" t="s">
        <v>8146</v>
      </c>
      <c r="C441" s="198"/>
      <c r="D441" s="196">
        <v>2</v>
      </c>
      <c r="E441" s="196"/>
      <c r="F441" s="196">
        <v>0.246</v>
      </c>
      <c r="G441" s="196">
        <v>172</v>
      </c>
      <c r="H441" s="196"/>
      <c r="I441" s="196"/>
      <c r="J441" s="196"/>
      <c r="K441" s="196"/>
      <c r="L441" s="200">
        <v>441</v>
      </c>
      <c r="M441" s="200">
        <v>3</v>
      </c>
      <c r="N441" s="200">
        <v>23</v>
      </c>
    </row>
    <row r="442" spans="1:14" x14ac:dyDescent="0.25">
      <c r="A442" s="198" t="s">
        <v>32</v>
      </c>
      <c r="B442" s="198" t="s">
        <v>8147</v>
      </c>
      <c r="C442" s="198"/>
      <c r="D442" s="196">
        <v>2</v>
      </c>
      <c r="E442" s="196"/>
      <c r="F442" s="196">
        <v>0.17899999999999999</v>
      </c>
      <c r="G442" s="196">
        <v>168.5</v>
      </c>
      <c r="H442" s="196"/>
      <c r="I442" s="196"/>
      <c r="J442" s="196"/>
      <c r="K442" s="196"/>
      <c r="L442" s="200">
        <v>442</v>
      </c>
      <c r="M442" s="200">
        <v>3</v>
      </c>
      <c r="N442" s="200">
        <v>23</v>
      </c>
    </row>
    <row r="443" spans="1:14" x14ac:dyDescent="0.25">
      <c r="A443" s="198" t="s">
        <v>32</v>
      </c>
      <c r="B443" s="198" t="s">
        <v>8148</v>
      </c>
      <c r="C443" s="198"/>
      <c r="D443" s="196">
        <v>2</v>
      </c>
      <c r="E443" s="196"/>
      <c r="F443" s="196">
        <v>0.30199999999999999</v>
      </c>
      <c r="G443" s="196">
        <v>163</v>
      </c>
      <c r="H443" s="196"/>
      <c r="I443" s="196"/>
      <c r="J443" s="196"/>
      <c r="K443" s="196"/>
      <c r="L443" s="200">
        <v>443</v>
      </c>
      <c r="M443" s="200">
        <v>3</v>
      </c>
      <c r="N443" s="200">
        <v>23</v>
      </c>
    </row>
    <row r="444" spans="1:14" x14ac:dyDescent="0.25">
      <c r="A444" s="198" t="s">
        <v>32</v>
      </c>
      <c r="B444" s="198" t="s">
        <v>1856</v>
      </c>
      <c r="C444" s="198"/>
      <c r="D444" s="196">
        <v>4</v>
      </c>
      <c r="E444" s="196"/>
      <c r="F444" s="196">
        <v>0.27</v>
      </c>
      <c r="G444" s="196">
        <v>149</v>
      </c>
      <c r="H444" s="196"/>
      <c r="I444" s="196"/>
      <c r="J444" s="196"/>
      <c r="K444" s="196"/>
      <c r="L444" s="200">
        <v>444</v>
      </c>
      <c r="M444" s="200">
        <v>1</v>
      </c>
      <c r="N444" s="200">
        <v>23</v>
      </c>
    </row>
    <row r="445" spans="1:14" x14ac:dyDescent="0.25">
      <c r="A445" s="198" t="s">
        <v>32</v>
      </c>
      <c r="B445" s="198" t="s">
        <v>8153</v>
      </c>
      <c r="C445" s="198"/>
      <c r="D445" s="196">
        <v>2</v>
      </c>
      <c r="E445" s="196"/>
      <c r="F445" s="196">
        <v>0.60099999999999998</v>
      </c>
      <c r="G445" s="196">
        <v>168.8</v>
      </c>
      <c r="H445" s="196"/>
      <c r="I445" s="196"/>
      <c r="J445" s="196"/>
      <c r="K445" s="196"/>
      <c r="L445" s="200">
        <v>445</v>
      </c>
      <c r="M445" s="200">
        <v>3</v>
      </c>
      <c r="N445" s="200">
        <v>23</v>
      </c>
    </row>
    <row r="446" spans="1:14" x14ac:dyDescent="0.25">
      <c r="A446" s="198" t="s">
        <v>32</v>
      </c>
      <c r="B446" s="198" t="s">
        <v>1858</v>
      </c>
      <c r="C446" s="198"/>
      <c r="D446" s="196">
        <v>3</v>
      </c>
      <c r="E446" s="196"/>
      <c r="F446" s="196">
        <v>0.11600000000000001</v>
      </c>
      <c r="G446" s="196">
        <v>158.4</v>
      </c>
      <c r="H446" s="196"/>
      <c r="I446" s="196"/>
      <c r="J446" s="196"/>
      <c r="K446" s="196"/>
      <c r="L446" s="200">
        <v>446</v>
      </c>
      <c r="M446" s="200">
        <v>3</v>
      </c>
      <c r="N446" s="200">
        <v>23</v>
      </c>
    </row>
    <row r="447" spans="1:14" x14ac:dyDescent="0.25">
      <c r="A447" s="198" t="s">
        <v>32</v>
      </c>
      <c r="B447" s="198" t="s">
        <v>7655</v>
      </c>
      <c r="C447" s="198"/>
      <c r="D447" s="196">
        <v>3</v>
      </c>
      <c r="E447" s="196"/>
      <c r="F447" s="196">
        <v>0.27500000000000002</v>
      </c>
      <c r="G447" s="196">
        <v>176.65</v>
      </c>
      <c r="H447" s="196"/>
      <c r="I447" s="196"/>
      <c r="J447" s="196"/>
      <c r="K447" s="196"/>
      <c r="L447" s="200">
        <v>447</v>
      </c>
      <c r="M447" s="200">
        <v>3</v>
      </c>
      <c r="N447" s="200">
        <v>23</v>
      </c>
    </row>
    <row r="448" spans="1:14" x14ac:dyDescent="0.25">
      <c r="A448" s="198" t="s">
        <v>32</v>
      </c>
      <c r="B448" s="198" t="s">
        <v>7652</v>
      </c>
      <c r="C448" s="198"/>
      <c r="D448" s="196">
        <v>2</v>
      </c>
      <c r="E448" s="196"/>
      <c r="F448" s="196">
        <v>0.217</v>
      </c>
      <c r="G448" s="196">
        <v>169.2</v>
      </c>
      <c r="H448" s="196"/>
      <c r="I448" s="196"/>
      <c r="J448" s="196"/>
      <c r="K448" s="196"/>
      <c r="L448" s="200">
        <v>448</v>
      </c>
      <c r="M448" s="200">
        <v>3</v>
      </c>
      <c r="N448" s="200">
        <v>23</v>
      </c>
    </row>
    <row r="449" spans="1:14" x14ac:dyDescent="0.25">
      <c r="A449" s="198" t="s">
        <v>32</v>
      </c>
      <c r="B449" s="198" t="s">
        <v>7658</v>
      </c>
      <c r="C449" s="198"/>
      <c r="D449" s="196">
        <v>2</v>
      </c>
      <c r="E449" s="196"/>
      <c r="F449" s="196">
        <v>0.50600000000000001</v>
      </c>
      <c r="G449" s="196">
        <v>163</v>
      </c>
      <c r="H449" s="196"/>
      <c r="I449" s="196"/>
      <c r="J449" s="196"/>
      <c r="K449" s="196"/>
      <c r="L449" s="200">
        <v>449</v>
      </c>
      <c r="M449" s="200">
        <v>3</v>
      </c>
      <c r="N449" s="200">
        <v>23</v>
      </c>
    </row>
    <row r="450" spans="1:14" x14ac:dyDescent="0.25">
      <c r="A450" s="198" t="s">
        <v>32</v>
      </c>
      <c r="B450" s="198" t="s">
        <v>7660</v>
      </c>
      <c r="C450" s="198"/>
      <c r="D450" s="196">
        <v>2</v>
      </c>
      <c r="E450" s="196"/>
      <c r="F450" s="196">
        <v>0.29099999999999998</v>
      </c>
      <c r="G450" s="196">
        <v>160.9</v>
      </c>
      <c r="H450" s="196"/>
      <c r="I450" s="196"/>
      <c r="J450" s="196"/>
      <c r="K450" s="196"/>
      <c r="L450" s="200">
        <v>450</v>
      </c>
      <c r="M450" s="200">
        <v>3</v>
      </c>
      <c r="N450" s="200">
        <v>23</v>
      </c>
    </row>
    <row r="451" spans="1:14" x14ac:dyDescent="0.25">
      <c r="A451" s="198" t="s">
        <v>32</v>
      </c>
      <c r="B451" s="198" t="s">
        <v>7663</v>
      </c>
      <c r="C451" s="198"/>
      <c r="D451" s="196">
        <v>2</v>
      </c>
      <c r="E451" s="196"/>
      <c r="F451" s="196">
        <v>0.29699999999999999</v>
      </c>
      <c r="G451" s="196">
        <v>169.2</v>
      </c>
      <c r="H451" s="196"/>
      <c r="I451" s="196"/>
      <c r="J451" s="196"/>
      <c r="K451" s="196"/>
      <c r="L451" s="200">
        <v>451</v>
      </c>
      <c r="M451" s="200">
        <v>3</v>
      </c>
      <c r="N451" s="200">
        <v>23</v>
      </c>
    </row>
    <row r="452" spans="1:14" x14ac:dyDescent="0.25">
      <c r="A452" s="198" t="s">
        <v>32</v>
      </c>
      <c r="B452" s="198" t="s">
        <v>8156</v>
      </c>
      <c r="C452" s="198"/>
      <c r="D452" s="196">
        <v>2</v>
      </c>
      <c r="E452" s="196"/>
      <c r="F452" s="196">
        <v>0.313</v>
      </c>
      <c r="G452" s="196">
        <v>161.69999999999999</v>
      </c>
      <c r="H452" s="196"/>
      <c r="I452" s="196"/>
      <c r="J452" s="196"/>
      <c r="K452" s="196"/>
      <c r="L452" s="200">
        <v>452</v>
      </c>
      <c r="M452" s="200">
        <v>3</v>
      </c>
      <c r="N452" s="200">
        <v>23</v>
      </c>
    </row>
    <row r="453" spans="1:14" x14ac:dyDescent="0.25">
      <c r="A453" s="198" t="s">
        <v>32</v>
      </c>
      <c r="B453" s="198" t="s">
        <v>8157</v>
      </c>
      <c r="C453" s="198"/>
      <c r="D453" s="196">
        <v>2</v>
      </c>
      <c r="E453" s="196"/>
      <c r="F453" s="196">
        <v>0.42</v>
      </c>
      <c r="G453" s="196">
        <v>162.1</v>
      </c>
      <c r="H453" s="196"/>
      <c r="I453" s="196"/>
      <c r="J453" s="196"/>
      <c r="K453" s="196"/>
      <c r="L453" s="200">
        <v>453</v>
      </c>
      <c r="M453" s="200">
        <v>3</v>
      </c>
      <c r="N453" s="200">
        <v>23</v>
      </c>
    </row>
    <row r="454" spans="1:14" x14ac:dyDescent="0.25">
      <c r="A454" s="198" t="s">
        <v>32</v>
      </c>
      <c r="B454" s="198" t="s">
        <v>1861</v>
      </c>
      <c r="C454" s="198"/>
      <c r="D454" s="196">
        <v>14</v>
      </c>
      <c r="E454" s="196"/>
      <c r="F454" s="196">
        <v>0.47</v>
      </c>
      <c r="G454" s="196">
        <v>38.9</v>
      </c>
      <c r="H454" s="196"/>
      <c r="I454" s="196"/>
      <c r="J454" s="196"/>
      <c r="K454" s="196"/>
      <c r="L454" s="200">
        <v>454</v>
      </c>
      <c r="M454" s="200">
        <v>1</v>
      </c>
      <c r="N454" s="200">
        <v>23</v>
      </c>
    </row>
    <row r="455" spans="1:14" x14ac:dyDescent="0.25">
      <c r="A455" s="198" t="s">
        <v>32</v>
      </c>
      <c r="B455" s="198" t="s">
        <v>7665</v>
      </c>
      <c r="C455" s="198"/>
      <c r="D455" s="196">
        <v>2</v>
      </c>
      <c r="E455" s="196"/>
      <c r="F455" s="196">
        <v>0.27900000000000003</v>
      </c>
      <c r="G455" s="196">
        <v>173.3</v>
      </c>
      <c r="H455" s="196"/>
      <c r="I455" s="196"/>
      <c r="J455" s="196"/>
      <c r="K455" s="196"/>
      <c r="L455" s="200">
        <v>455</v>
      </c>
      <c r="M455" s="200">
        <v>3</v>
      </c>
      <c r="N455" s="200">
        <v>23</v>
      </c>
    </row>
    <row r="456" spans="1:14" x14ac:dyDescent="0.25">
      <c r="A456" s="198" t="s">
        <v>32</v>
      </c>
      <c r="B456" s="198" t="s">
        <v>8162</v>
      </c>
      <c r="C456" s="198"/>
      <c r="D456" s="196">
        <v>2</v>
      </c>
      <c r="E456" s="196"/>
      <c r="F456" s="196">
        <v>0.46200000000000002</v>
      </c>
      <c r="G456" s="196">
        <v>37.1</v>
      </c>
      <c r="H456" s="196"/>
      <c r="I456" s="196"/>
      <c r="J456" s="196"/>
      <c r="K456" s="196"/>
      <c r="L456" s="200">
        <v>456</v>
      </c>
      <c r="M456" s="200">
        <v>3</v>
      </c>
      <c r="N456" s="200">
        <v>23</v>
      </c>
    </row>
    <row r="457" spans="1:14" x14ac:dyDescent="0.25">
      <c r="A457" s="198" t="s">
        <v>32</v>
      </c>
      <c r="B457" s="198" t="s">
        <v>8163</v>
      </c>
      <c r="C457" s="198"/>
      <c r="D457" s="196">
        <v>2</v>
      </c>
      <c r="E457" s="196"/>
      <c r="F457" s="196">
        <v>0.497</v>
      </c>
      <c r="G457" s="196">
        <v>171.6</v>
      </c>
      <c r="H457" s="196"/>
      <c r="I457" s="196"/>
      <c r="J457" s="196"/>
      <c r="K457" s="196"/>
      <c r="L457" s="200">
        <v>457</v>
      </c>
      <c r="M457" s="200">
        <v>3</v>
      </c>
      <c r="N457" s="200">
        <v>23</v>
      </c>
    </row>
    <row r="458" spans="1:14" x14ac:dyDescent="0.25">
      <c r="A458" s="198" t="s">
        <v>32</v>
      </c>
      <c r="B458" s="198" t="s">
        <v>8164</v>
      </c>
      <c r="C458" s="198"/>
      <c r="D458" s="196">
        <v>2</v>
      </c>
      <c r="E458" s="196"/>
      <c r="F458" s="196">
        <v>0.40500000000000003</v>
      </c>
      <c r="G458" s="196">
        <v>167.3</v>
      </c>
      <c r="H458" s="196"/>
      <c r="I458" s="196"/>
      <c r="J458" s="196"/>
      <c r="K458" s="196"/>
      <c r="L458" s="200">
        <v>458</v>
      </c>
      <c r="M458" s="200">
        <v>3</v>
      </c>
      <c r="N458" s="200">
        <v>23</v>
      </c>
    </row>
    <row r="459" spans="1:14" x14ac:dyDescent="0.25">
      <c r="A459" s="198" t="s">
        <v>32</v>
      </c>
      <c r="B459" s="198" t="s">
        <v>8165</v>
      </c>
      <c r="C459" s="198"/>
      <c r="D459" s="196">
        <v>2</v>
      </c>
      <c r="E459" s="196"/>
      <c r="F459" s="196">
        <v>0.27</v>
      </c>
      <c r="G459" s="196">
        <v>162.6</v>
      </c>
      <c r="H459" s="196"/>
      <c r="I459" s="196"/>
      <c r="J459" s="196"/>
      <c r="K459" s="196"/>
      <c r="L459" s="200">
        <v>459</v>
      </c>
      <c r="M459" s="200">
        <v>3</v>
      </c>
      <c r="N459" s="200">
        <v>23</v>
      </c>
    </row>
    <row r="460" spans="1:14" x14ac:dyDescent="0.25">
      <c r="A460" s="198" t="s">
        <v>32</v>
      </c>
      <c r="B460" s="198" t="s">
        <v>7668</v>
      </c>
      <c r="C460" s="198"/>
      <c r="D460" s="196">
        <v>2</v>
      </c>
      <c r="E460" s="196"/>
      <c r="F460" s="196">
        <v>0.49</v>
      </c>
      <c r="G460" s="196">
        <v>36.5</v>
      </c>
      <c r="H460" s="196"/>
      <c r="I460" s="196"/>
      <c r="J460" s="196"/>
      <c r="K460" s="196"/>
      <c r="L460" s="200">
        <v>460</v>
      </c>
      <c r="M460" s="200">
        <v>3</v>
      </c>
      <c r="N460" s="200">
        <v>23</v>
      </c>
    </row>
    <row r="461" spans="1:14" x14ac:dyDescent="0.25">
      <c r="A461" s="198" t="s">
        <v>32</v>
      </c>
      <c r="B461" s="198" t="s">
        <v>1866</v>
      </c>
      <c r="C461" s="198"/>
      <c r="D461" s="196">
        <v>2</v>
      </c>
      <c r="E461" s="196"/>
      <c r="F461" s="196">
        <v>0.48499999999999999</v>
      </c>
      <c r="G461" s="196">
        <v>38.6</v>
      </c>
      <c r="H461" s="196"/>
      <c r="I461" s="196"/>
      <c r="J461" s="196"/>
      <c r="K461" s="196"/>
      <c r="L461" s="200">
        <v>461</v>
      </c>
      <c r="M461" s="200">
        <v>3</v>
      </c>
      <c r="N461" s="200">
        <v>23</v>
      </c>
    </row>
    <row r="462" spans="1:14" x14ac:dyDescent="0.25">
      <c r="A462" s="198" t="s">
        <v>32</v>
      </c>
      <c r="B462" s="198" t="s">
        <v>7670</v>
      </c>
      <c r="C462" s="198"/>
      <c r="D462" s="196">
        <v>2</v>
      </c>
      <c r="E462" s="196"/>
      <c r="F462" s="196">
        <v>0.249</v>
      </c>
      <c r="G462" s="196">
        <v>166.9</v>
      </c>
      <c r="H462" s="196"/>
      <c r="I462" s="196"/>
      <c r="J462" s="196"/>
      <c r="K462" s="196"/>
      <c r="L462" s="200">
        <v>462</v>
      </c>
      <c r="M462" s="200">
        <v>3</v>
      </c>
      <c r="N462" s="200">
        <v>23</v>
      </c>
    </row>
    <row r="463" spans="1:14" x14ac:dyDescent="0.25">
      <c r="A463" s="198" t="s">
        <v>32</v>
      </c>
      <c r="B463" s="198" t="s">
        <v>8173</v>
      </c>
      <c r="C463" s="198"/>
      <c r="D463" s="196">
        <v>2</v>
      </c>
      <c r="E463" s="196"/>
      <c r="F463" s="196">
        <v>0.378</v>
      </c>
      <c r="G463" s="196">
        <v>148.9</v>
      </c>
      <c r="H463" s="196"/>
      <c r="I463" s="196"/>
      <c r="J463" s="196"/>
      <c r="K463" s="196"/>
      <c r="L463" s="200">
        <v>463</v>
      </c>
      <c r="M463" s="200">
        <v>3</v>
      </c>
      <c r="N463" s="200">
        <v>23</v>
      </c>
    </row>
    <row r="464" spans="1:14" x14ac:dyDescent="0.25">
      <c r="A464" s="198" t="s">
        <v>32</v>
      </c>
      <c r="B464" s="198" t="s">
        <v>1863</v>
      </c>
      <c r="C464" s="198"/>
      <c r="D464" s="196">
        <v>3</v>
      </c>
      <c r="E464" s="196"/>
      <c r="F464" s="196">
        <v>0.46899999999999997</v>
      </c>
      <c r="G464" s="196">
        <v>41</v>
      </c>
      <c r="H464" s="196"/>
      <c r="I464" s="196"/>
      <c r="J464" s="196"/>
      <c r="K464" s="196"/>
      <c r="L464" s="200">
        <v>464</v>
      </c>
      <c r="M464" s="200">
        <v>1</v>
      </c>
      <c r="N464" s="200">
        <v>23</v>
      </c>
    </row>
    <row r="465" spans="1:14" x14ac:dyDescent="0.25">
      <c r="A465" s="198" t="s">
        <v>32</v>
      </c>
      <c r="B465" s="198" t="s">
        <v>8174</v>
      </c>
      <c r="C465" s="198"/>
      <c r="D465" s="196">
        <v>2</v>
      </c>
      <c r="E465" s="196"/>
      <c r="F465" s="196">
        <v>0.442</v>
      </c>
      <c r="G465" s="196">
        <v>136.5</v>
      </c>
      <c r="H465" s="196"/>
      <c r="I465" s="196"/>
      <c r="J465" s="196"/>
      <c r="K465" s="196"/>
      <c r="L465" s="200">
        <v>465</v>
      </c>
      <c r="M465" s="200">
        <v>3</v>
      </c>
      <c r="N465" s="200">
        <v>23</v>
      </c>
    </row>
    <row r="466" spans="1:14" x14ac:dyDescent="0.25">
      <c r="A466" s="198" t="s">
        <v>32</v>
      </c>
      <c r="B466" s="198" t="s">
        <v>8175</v>
      </c>
      <c r="C466" s="198"/>
      <c r="D466" s="196">
        <v>2</v>
      </c>
      <c r="E466" s="196"/>
      <c r="F466" s="196">
        <v>0.441</v>
      </c>
      <c r="G466" s="196">
        <v>37.700000000000003</v>
      </c>
      <c r="H466" s="196"/>
      <c r="I466" s="196"/>
      <c r="J466" s="196"/>
      <c r="K466" s="196"/>
      <c r="L466" s="200">
        <v>466</v>
      </c>
      <c r="M466" s="200">
        <v>3</v>
      </c>
      <c r="N466" s="200">
        <v>23</v>
      </c>
    </row>
    <row r="467" spans="1:14" x14ac:dyDescent="0.25">
      <c r="A467" s="198" t="s">
        <v>32</v>
      </c>
      <c r="B467" s="198" t="s">
        <v>8176</v>
      </c>
      <c r="C467" s="198"/>
      <c r="D467" s="196">
        <v>2</v>
      </c>
      <c r="E467" s="196"/>
      <c r="F467" s="196">
        <v>0.44800000000000001</v>
      </c>
      <c r="G467" s="196">
        <v>36.700000000000003</v>
      </c>
      <c r="H467" s="196"/>
      <c r="I467" s="196"/>
      <c r="J467" s="196"/>
      <c r="K467" s="196"/>
      <c r="L467" s="200">
        <v>467</v>
      </c>
      <c r="M467" s="200">
        <v>3</v>
      </c>
      <c r="N467" s="200">
        <v>23</v>
      </c>
    </row>
    <row r="468" spans="1:14" x14ac:dyDescent="0.25">
      <c r="A468" s="198" t="s">
        <v>32</v>
      </c>
      <c r="B468" s="198" t="s">
        <v>8177</v>
      </c>
      <c r="C468" s="198"/>
      <c r="D468" s="196">
        <v>2</v>
      </c>
      <c r="E468" s="196"/>
      <c r="F468" s="196">
        <v>0.498</v>
      </c>
      <c r="G468" s="196">
        <v>35.9</v>
      </c>
      <c r="H468" s="196"/>
      <c r="I468" s="196"/>
      <c r="J468" s="196"/>
      <c r="K468" s="196"/>
      <c r="L468" s="200">
        <v>468</v>
      </c>
      <c r="M468" s="200">
        <v>3</v>
      </c>
      <c r="N468" s="200">
        <v>23</v>
      </c>
    </row>
    <row r="469" spans="1:14" x14ac:dyDescent="0.25">
      <c r="A469" s="198" t="s">
        <v>32</v>
      </c>
      <c r="B469" s="198" t="s">
        <v>7673</v>
      </c>
      <c r="C469" s="198"/>
      <c r="D469" s="196">
        <v>2</v>
      </c>
      <c r="E469" s="196"/>
      <c r="F469" s="196">
        <v>0.55800000000000005</v>
      </c>
      <c r="G469" s="196">
        <v>161.5</v>
      </c>
      <c r="H469" s="196"/>
      <c r="I469" s="196"/>
      <c r="J469" s="196"/>
      <c r="K469" s="196"/>
      <c r="L469" s="200">
        <v>469</v>
      </c>
      <c r="M469" s="200">
        <v>3</v>
      </c>
      <c r="N469" s="200">
        <v>23</v>
      </c>
    </row>
    <row r="470" spans="1:14" x14ac:dyDescent="0.25">
      <c r="A470" s="198" t="s">
        <v>32</v>
      </c>
      <c r="B470" s="198" t="s">
        <v>1869</v>
      </c>
      <c r="C470" s="198"/>
      <c r="D470" s="196">
        <v>2</v>
      </c>
      <c r="E470" s="196"/>
      <c r="F470" s="196">
        <v>0.24199999999999999</v>
      </c>
      <c r="G470" s="196">
        <v>48.1</v>
      </c>
      <c r="H470" s="196"/>
      <c r="I470" s="196"/>
      <c r="J470" s="196"/>
      <c r="K470" s="196"/>
      <c r="L470" s="200">
        <v>470</v>
      </c>
      <c r="M470" s="200">
        <v>3</v>
      </c>
      <c r="N470" s="200">
        <v>23</v>
      </c>
    </row>
    <row r="471" spans="1:14" x14ac:dyDescent="0.25">
      <c r="A471" s="198" t="s">
        <v>32</v>
      </c>
      <c r="B471" s="198" t="s">
        <v>8186</v>
      </c>
      <c r="C471" s="198"/>
      <c r="D471" s="196">
        <v>2</v>
      </c>
      <c r="E471" s="196"/>
      <c r="F471" s="196">
        <v>0.499</v>
      </c>
      <c r="G471" s="196">
        <v>35.5</v>
      </c>
      <c r="H471" s="196"/>
      <c r="I471" s="196"/>
      <c r="J471" s="196"/>
      <c r="K471" s="196"/>
      <c r="L471" s="200">
        <v>471</v>
      </c>
      <c r="M471" s="200">
        <v>3</v>
      </c>
      <c r="N471" s="200">
        <v>23</v>
      </c>
    </row>
    <row r="472" spans="1:14" x14ac:dyDescent="0.25">
      <c r="A472" s="198" t="s">
        <v>32</v>
      </c>
      <c r="B472" s="198" t="s">
        <v>8187</v>
      </c>
      <c r="C472" s="198"/>
      <c r="D472" s="196">
        <v>2</v>
      </c>
      <c r="E472" s="196"/>
      <c r="F472" s="196">
        <v>0.19900000000000001</v>
      </c>
      <c r="G472" s="196">
        <v>158.4</v>
      </c>
      <c r="H472" s="196"/>
      <c r="I472" s="196"/>
      <c r="J472" s="196"/>
      <c r="K472" s="196"/>
      <c r="L472" s="200">
        <v>472</v>
      </c>
      <c r="M472" s="200">
        <v>3</v>
      </c>
      <c r="N472" s="200">
        <v>23</v>
      </c>
    </row>
    <row r="473" spans="1:14" x14ac:dyDescent="0.25">
      <c r="A473" s="198" t="s">
        <v>32</v>
      </c>
      <c r="B473" s="198" t="s">
        <v>1871</v>
      </c>
      <c r="C473" s="198"/>
      <c r="D473" s="196">
        <v>5</v>
      </c>
      <c r="E473" s="196"/>
      <c r="F473" s="196">
        <v>0.46200000000000002</v>
      </c>
      <c r="G473" s="196">
        <v>38.700000000000003</v>
      </c>
      <c r="H473" s="196"/>
      <c r="I473" s="196"/>
      <c r="J473" s="196"/>
      <c r="K473" s="196"/>
      <c r="L473" s="200">
        <v>473</v>
      </c>
      <c r="M473" s="200">
        <v>1</v>
      </c>
      <c r="N473" s="200">
        <v>23</v>
      </c>
    </row>
    <row r="474" spans="1:14" x14ac:dyDescent="0.25">
      <c r="A474" s="198" t="s">
        <v>32</v>
      </c>
      <c r="B474" s="198" t="s">
        <v>1873</v>
      </c>
      <c r="C474" s="198"/>
      <c r="D474" s="196">
        <v>3</v>
      </c>
      <c r="E474" s="196"/>
      <c r="F474" s="196">
        <v>0.41799999999999998</v>
      </c>
      <c r="G474" s="196">
        <v>156</v>
      </c>
      <c r="H474" s="196"/>
      <c r="I474" s="196"/>
      <c r="J474" s="196"/>
      <c r="K474" s="196"/>
      <c r="L474" s="200">
        <v>474</v>
      </c>
      <c r="M474" s="200">
        <v>1</v>
      </c>
      <c r="N474" s="200">
        <v>23</v>
      </c>
    </row>
    <row r="475" spans="1:14" x14ac:dyDescent="0.25">
      <c r="A475" s="198" t="s">
        <v>32</v>
      </c>
      <c r="B475" s="198" t="s">
        <v>8192</v>
      </c>
      <c r="C475" s="198"/>
      <c r="D475" s="196">
        <v>2</v>
      </c>
      <c r="E475" s="196"/>
      <c r="F475" s="196">
        <v>9.1999999999999998E-2</v>
      </c>
      <c r="G475" s="196">
        <v>48.2</v>
      </c>
      <c r="H475" s="196"/>
      <c r="I475" s="196"/>
      <c r="J475" s="196"/>
      <c r="K475" s="196"/>
      <c r="L475" s="200">
        <v>475</v>
      </c>
      <c r="M475" s="200">
        <v>3</v>
      </c>
      <c r="N475" s="200">
        <v>23</v>
      </c>
    </row>
    <row r="476" spans="1:14" x14ac:dyDescent="0.25">
      <c r="A476" s="198" t="s">
        <v>32</v>
      </c>
      <c r="B476" s="198" t="s">
        <v>8195</v>
      </c>
      <c r="C476" s="198"/>
      <c r="D476" s="196">
        <v>2</v>
      </c>
      <c r="E476" s="196"/>
      <c r="F476" s="196">
        <v>0.17799999999999999</v>
      </c>
      <c r="G476" s="196">
        <v>46.9</v>
      </c>
      <c r="H476" s="196"/>
      <c r="I476" s="196"/>
      <c r="J476" s="196"/>
      <c r="K476" s="196"/>
      <c r="L476" s="200">
        <v>476</v>
      </c>
      <c r="M476" s="200">
        <v>3</v>
      </c>
      <c r="N476" s="200">
        <v>23</v>
      </c>
    </row>
    <row r="477" spans="1:14" x14ac:dyDescent="0.25">
      <c r="A477" s="198" t="s">
        <v>32</v>
      </c>
      <c r="B477" s="198" t="s">
        <v>8196</v>
      </c>
      <c r="C477" s="198"/>
      <c r="D477" s="196">
        <v>2</v>
      </c>
      <c r="E477" s="196"/>
      <c r="F477" s="196">
        <v>0.107</v>
      </c>
      <c r="G477" s="196">
        <v>168.3</v>
      </c>
      <c r="H477" s="196"/>
      <c r="I477" s="196"/>
      <c r="J477" s="196"/>
      <c r="K477" s="196"/>
      <c r="L477" s="200">
        <v>477</v>
      </c>
      <c r="M477" s="200">
        <v>3</v>
      </c>
      <c r="N477" s="200">
        <v>23</v>
      </c>
    </row>
    <row r="478" spans="1:14" x14ac:dyDescent="0.25">
      <c r="A478" s="198" t="s">
        <v>32</v>
      </c>
      <c r="B478" s="198" t="s">
        <v>8197</v>
      </c>
      <c r="C478" s="198"/>
      <c r="D478" s="196">
        <v>2</v>
      </c>
      <c r="E478" s="196"/>
      <c r="F478" s="196">
        <v>0.159</v>
      </c>
      <c r="G478" s="196">
        <v>48.1</v>
      </c>
      <c r="H478" s="196"/>
      <c r="I478" s="196"/>
      <c r="J478" s="196"/>
      <c r="K478" s="196"/>
      <c r="L478" s="200">
        <v>478</v>
      </c>
      <c r="M478" s="200">
        <v>3</v>
      </c>
      <c r="N478" s="200">
        <v>23</v>
      </c>
    </row>
    <row r="479" spans="1:14" x14ac:dyDescent="0.25">
      <c r="A479" s="198" t="s">
        <v>32</v>
      </c>
      <c r="B479" s="198" t="s">
        <v>8198</v>
      </c>
      <c r="C479" s="198"/>
      <c r="D479" s="196">
        <v>2</v>
      </c>
      <c r="E479" s="196"/>
      <c r="F479" s="196">
        <v>0.48799999999999999</v>
      </c>
      <c r="G479" s="196">
        <v>39.799999999999997</v>
      </c>
      <c r="H479" s="196"/>
      <c r="I479" s="196"/>
      <c r="J479" s="196"/>
      <c r="K479" s="196"/>
      <c r="L479" s="200">
        <v>479</v>
      </c>
      <c r="M479" s="200">
        <v>3</v>
      </c>
      <c r="N479" s="200">
        <v>23</v>
      </c>
    </row>
    <row r="480" spans="1:14" x14ac:dyDescent="0.25">
      <c r="A480" s="198" t="s">
        <v>32</v>
      </c>
      <c r="B480" s="198" t="s">
        <v>8199</v>
      </c>
      <c r="C480" s="198"/>
      <c r="D480" s="196">
        <v>2</v>
      </c>
      <c r="E480" s="196"/>
      <c r="F480" s="196">
        <v>7.6999999999999999E-2</v>
      </c>
      <c r="G480" s="196">
        <v>157.30000000000001</v>
      </c>
      <c r="H480" s="196"/>
      <c r="I480" s="196"/>
      <c r="J480" s="196"/>
      <c r="K480" s="196"/>
      <c r="L480" s="200">
        <v>480</v>
      </c>
      <c r="M480" s="200">
        <v>3</v>
      </c>
      <c r="N480" s="200">
        <v>23</v>
      </c>
    </row>
    <row r="481" spans="1:14" x14ac:dyDescent="0.25">
      <c r="A481" s="198" t="s">
        <v>32</v>
      </c>
      <c r="B481" s="198" t="s">
        <v>1878</v>
      </c>
      <c r="C481" s="198"/>
      <c r="D481" s="196">
        <v>20</v>
      </c>
      <c r="E481" s="196"/>
      <c r="F481" s="196">
        <v>0.52900000000000003</v>
      </c>
      <c r="G481" s="196">
        <v>43.801000000000002</v>
      </c>
      <c r="H481" s="196"/>
      <c r="I481" s="196"/>
      <c r="J481" s="196"/>
      <c r="K481" s="196"/>
      <c r="L481" s="200">
        <v>481</v>
      </c>
      <c r="M481" s="200">
        <v>1</v>
      </c>
      <c r="N481" s="200">
        <v>23</v>
      </c>
    </row>
    <row r="482" spans="1:14" x14ac:dyDescent="0.25">
      <c r="A482" s="198" t="s">
        <v>32</v>
      </c>
      <c r="B482" s="198" t="s">
        <v>8209</v>
      </c>
      <c r="C482" s="198"/>
      <c r="D482" s="196">
        <v>2</v>
      </c>
      <c r="E482" s="196"/>
      <c r="F482" s="196">
        <v>0.27600000000000002</v>
      </c>
      <c r="G482" s="196">
        <v>170</v>
      </c>
      <c r="H482" s="196"/>
      <c r="I482" s="196"/>
      <c r="J482" s="196"/>
      <c r="K482" s="196"/>
      <c r="L482" s="200">
        <v>482</v>
      </c>
      <c r="M482" s="200">
        <v>3</v>
      </c>
      <c r="N482" s="200">
        <v>23</v>
      </c>
    </row>
    <row r="483" spans="1:14" x14ac:dyDescent="0.25">
      <c r="A483" s="198" t="s">
        <v>32</v>
      </c>
      <c r="B483" s="198" t="s">
        <v>8210</v>
      </c>
      <c r="C483" s="198"/>
      <c r="D483" s="196">
        <v>2</v>
      </c>
      <c r="E483" s="196"/>
      <c r="F483" s="196">
        <v>0.18</v>
      </c>
      <c r="G483" s="196">
        <v>168.9</v>
      </c>
      <c r="H483" s="196"/>
      <c r="I483" s="196"/>
      <c r="J483" s="196"/>
      <c r="K483" s="196"/>
      <c r="L483" s="200">
        <v>483</v>
      </c>
      <c r="M483" s="200">
        <v>3</v>
      </c>
      <c r="N483" s="200">
        <v>23</v>
      </c>
    </row>
    <row r="484" spans="1:14" x14ac:dyDescent="0.25">
      <c r="A484" s="198" t="s">
        <v>32</v>
      </c>
      <c r="B484" s="198" t="s">
        <v>7676</v>
      </c>
      <c r="C484" s="198"/>
      <c r="D484" s="196">
        <v>2</v>
      </c>
      <c r="E484" s="196"/>
      <c r="F484" s="196">
        <v>7.1999999999999995E-2</v>
      </c>
      <c r="G484" s="196">
        <v>46.2</v>
      </c>
      <c r="H484" s="196"/>
      <c r="I484" s="196"/>
      <c r="J484" s="196"/>
      <c r="K484" s="196"/>
      <c r="L484" s="200">
        <v>484</v>
      </c>
      <c r="M484" s="200">
        <v>3</v>
      </c>
      <c r="N484" s="200">
        <v>23</v>
      </c>
    </row>
    <row r="485" spans="1:14" x14ac:dyDescent="0.25">
      <c r="A485" s="198" t="s">
        <v>32</v>
      </c>
      <c r="B485" s="198" t="s">
        <v>7679</v>
      </c>
      <c r="C485" s="198"/>
      <c r="D485" s="196">
        <v>2</v>
      </c>
      <c r="E485" s="196"/>
      <c r="F485" s="196">
        <v>0.152</v>
      </c>
      <c r="G485" s="196">
        <v>170.7</v>
      </c>
      <c r="H485" s="196"/>
      <c r="I485" s="196"/>
      <c r="J485" s="196"/>
      <c r="K485" s="196"/>
      <c r="L485" s="200">
        <v>485</v>
      </c>
      <c r="M485" s="200">
        <v>3</v>
      </c>
      <c r="N485" s="200">
        <v>23</v>
      </c>
    </row>
    <row r="486" spans="1:14" x14ac:dyDescent="0.25">
      <c r="A486" s="198" t="s">
        <v>32</v>
      </c>
      <c r="B486" s="198" t="s">
        <v>1875</v>
      </c>
      <c r="C486" s="198"/>
      <c r="D486" s="196">
        <v>3</v>
      </c>
      <c r="E486" s="196"/>
      <c r="F486" s="196">
        <v>0.108</v>
      </c>
      <c r="G486" s="196">
        <v>49.9</v>
      </c>
      <c r="H486" s="196"/>
      <c r="I486" s="196"/>
      <c r="J486" s="196"/>
      <c r="K486" s="196"/>
      <c r="L486" s="200">
        <v>486</v>
      </c>
      <c r="M486" s="200">
        <v>1</v>
      </c>
      <c r="N486" s="200">
        <v>23</v>
      </c>
    </row>
    <row r="487" spans="1:14" x14ac:dyDescent="0.25">
      <c r="A487" s="198" t="s">
        <v>32</v>
      </c>
      <c r="B487" s="198" t="s">
        <v>7682</v>
      </c>
      <c r="C487" s="198"/>
      <c r="D487" s="196">
        <v>2</v>
      </c>
      <c r="E487" s="196"/>
      <c r="F487" s="196">
        <v>0.40799999999999997</v>
      </c>
      <c r="G487" s="196">
        <v>170.1</v>
      </c>
      <c r="H487" s="196"/>
      <c r="I487" s="196"/>
      <c r="J487" s="196"/>
      <c r="K487" s="196"/>
      <c r="L487" s="200">
        <v>487</v>
      </c>
      <c r="M487" s="200">
        <v>3</v>
      </c>
      <c r="N487" s="200">
        <v>23</v>
      </c>
    </row>
    <row r="488" spans="1:14" x14ac:dyDescent="0.25">
      <c r="A488" s="198" t="s">
        <v>32</v>
      </c>
      <c r="B488" s="198" t="s">
        <v>8214</v>
      </c>
      <c r="C488" s="198"/>
      <c r="D488" s="196">
        <v>3</v>
      </c>
      <c r="E488" s="196"/>
      <c r="F488" s="196">
        <v>0.27600000000000002</v>
      </c>
      <c r="G488" s="196">
        <v>46.2</v>
      </c>
      <c r="H488" s="196"/>
      <c r="I488" s="196"/>
      <c r="J488" s="196"/>
      <c r="K488" s="196"/>
      <c r="L488" s="200">
        <v>488</v>
      </c>
      <c r="M488" s="200">
        <v>3</v>
      </c>
      <c r="N488" s="200">
        <v>23</v>
      </c>
    </row>
    <row r="489" spans="1:14" x14ac:dyDescent="0.25">
      <c r="A489" s="198" t="s">
        <v>32</v>
      </c>
      <c r="B489" s="198" t="s">
        <v>8215</v>
      </c>
      <c r="C489" s="198"/>
      <c r="D489" s="196">
        <v>2</v>
      </c>
      <c r="E489" s="196"/>
      <c r="F489" s="196">
        <v>0.13300000000000001</v>
      </c>
      <c r="G489" s="196">
        <v>169.8</v>
      </c>
      <c r="H489" s="196"/>
      <c r="I489" s="196"/>
      <c r="J489" s="196"/>
      <c r="K489" s="196"/>
      <c r="L489" s="200">
        <v>489</v>
      </c>
      <c r="M489" s="200">
        <v>3</v>
      </c>
      <c r="N489" s="200">
        <v>23</v>
      </c>
    </row>
    <row r="490" spans="1:14" x14ac:dyDescent="0.25">
      <c r="A490" s="198" t="s">
        <v>32</v>
      </c>
      <c r="B490" s="198" t="s">
        <v>7685</v>
      </c>
      <c r="C490" s="198"/>
      <c r="D490" s="196">
        <v>2</v>
      </c>
      <c r="E490" s="196"/>
      <c r="F490" s="196">
        <v>3.7999999999999999E-2</v>
      </c>
      <c r="G490" s="196">
        <v>46.1</v>
      </c>
      <c r="H490" s="196"/>
      <c r="I490" s="196"/>
      <c r="J490" s="196"/>
      <c r="K490" s="196"/>
      <c r="L490" s="200">
        <v>490</v>
      </c>
      <c r="M490" s="200">
        <v>3</v>
      </c>
      <c r="N490" s="200">
        <v>23</v>
      </c>
    </row>
    <row r="491" spans="1:14" x14ac:dyDescent="0.25">
      <c r="A491" s="198" t="s">
        <v>32</v>
      </c>
      <c r="B491" s="198" t="s">
        <v>7687</v>
      </c>
      <c r="C491" s="198"/>
      <c r="D491" s="196">
        <v>2</v>
      </c>
      <c r="E491" s="196"/>
      <c r="F491" s="196">
        <v>0.30099999999999999</v>
      </c>
      <c r="G491" s="196">
        <v>165.7</v>
      </c>
      <c r="H491" s="196"/>
      <c r="I491" s="196"/>
      <c r="J491" s="196"/>
      <c r="K491" s="196"/>
      <c r="L491" s="200">
        <v>491</v>
      </c>
      <c r="M491" s="200">
        <v>3</v>
      </c>
      <c r="N491" s="200">
        <v>23</v>
      </c>
    </row>
    <row r="492" spans="1:14" x14ac:dyDescent="0.25">
      <c r="A492" s="198" t="s">
        <v>32</v>
      </c>
      <c r="B492" s="198" t="s">
        <v>8218</v>
      </c>
      <c r="C492" s="198"/>
      <c r="D492" s="196">
        <v>2</v>
      </c>
      <c r="E492" s="196"/>
      <c r="F492" s="196">
        <v>8.4000000000000005E-2</v>
      </c>
      <c r="G492" s="196">
        <v>47.7</v>
      </c>
      <c r="H492" s="196"/>
      <c r="I492" s="196"/>
      <c r="J492" s="196"/>
      <c r="K492" s="196"/>
      <c r="L492" s="200">
        <v>492</v>
      </c>
      <c r="M492" s="200">
        <v>3</v>
      </c>
      <c r="N492" s="200">
        <v>23</v>
      </c>
    </row>
    <row r="493" spans="1:14" x14ac:dyDescent="0.25">
      <c r="A493" s="198" t="s">
        <v>32</v>
      </c>
      <c r="B493" s="198" t="s">
        <v>8219</v>
      </c>
      <c r="C493" s="198"/>
      <c r="D493" s="196">
        <v>2</v>
      </c>
      <c r="E493" s="196"/>
      <c r="F493" s="196">
        <v>0.26300000000000001</v>
      </c>
      <c r="G493" s="196">
        <v>167.9</v>
      </c>
      <c r="H493" s="196"/>
      <c r="I493" s="196"/>
      <c r="J493" s="196"/>
      <c r="K493" s="196"/>
      <c r="L493" s="200">
        <v>493</v>
      </c>
      <c r="M493" s="200">
        <v>3</v>
      </c>
      <c r="N493" s="200">
        <v>23</v>
      </c>
    </row>
    <row r="494" spans="1:14" x14ac:dyDescent="0.25">
      <c r="A494" s="198" t="s">
        <v>32</v>
      </c>
      <c r="B494" s="198" t="s">
        <v>7689</v>
      </c>
      <c r="C494" s="198"/>
      <c r="D494" s="196">
        <v>2</v>
      </c>
      <c r="E494" s="196"/>
      <c r="F494" s="196">
        <v>0.12</v>
      </c>
      <c r="G494" s="196">
        <v>46.4</v>
      </c>
      <c r="H494" s="196"/>
      <c r="I494" s="196"/>
      <c r="J494" s="196"/>
      <c r="K494" s="196"/>
      <c r="L494" s="200">
        <v>494</v>
      </c>
      <c r="M494" s="200">
        <v>3</v>
      </c>
      <c r="N494" s="200">
        <v>23</v>
      </c>
    </row>
    <row r="495" spans="1:14" x14ac:dyDescent="0.25">
      <c r="A495" s="198" t="s">
        <v>32</v>
      </c>
      <c r="B495" s="198" t="s">
        <v>1887</v>
      </c>
      <c r="C495" s="198"/>
      <c r="D495" s="196">
        <v>3</v>
      </c>
      <c r="E495" s="196"/>
      <c r="F495" s="196">
        <v>0.32600000000000001</v>
      </c>
      <c r="G495" s="196">
        <v>172.7</v>
      </c>
      <c r="H495" s="196"/>
      <c r="I495" s="196"/>
      <c r="J495" s="196"/>
      <c r="K495" s="196"/>
      <c r="L495" s="200">
        <v>495</v>
      </c>
      <c r="M495" s="200">
        <v>1</v>
      </c>
      <c r="N495" s="200">
        <v>23</v>
      </c>
    </row>
    <row r="496" spans="1:14" x14ac:dyDescent="0.25">
      <c r="A496" s="198" t="s">
        <v>32</v>
      </c>
      <c r="B496" s="198" t="s">
        <v>8224</v>
      </c>
      <c r="C496" s="198"/>
      <c r="D496" s="196">
        <v>2</v>
      </c>
      <c r="E496" s="196"/>
      <c r="F496" s="196">
        <v>0.35199999999999998</v>
      </c>
      <c r="G496" s="196">
        <v>165.9</v>
      </c>
      <c r="H496" s="196"/>
      <c r="I496" s="196"/>
      <c r="J496" s="196"/>
      <c r="K496" s="196"/>
      <c r="L496" s="200">
        <v>496</v>
      </c>
      <c r="M496" s="200">
        <v>3</v>
      </c>
      <c r="N496" s="200">
        <v>23</v>
      </c>
    </row>
    <row r="497" spans="1:14" x14ac:dyDescent="0.25">
      <c r="A497" s="198" t="s">
        <v>32</v>
      </c>
      <c r="B497" s="198" t="s">
        <v>1882</v>
      </c>
      <c r="C497" s="198"/>
      <c r="D497" s="196">
        <v>8</v>
      </c>
      <c r="E497" s="196"/>
      <c r="F497" s="196">
        <v>0.52800000000000002</v>
      </c>
      <c r="G497" s="196">
        <v>38.6</v>
      </c>
      <c r="H497" s="196"/>
      <c r="I497" s="196"/>
      <c r="J497" s="196"/>
      <c r="K497" s="196"/>
      <c r="L497" s="200">
        <v>497</v>
      </c>
      <c r="M497" s="200">
        <v>1</v>
      </c>
      <c r="N497" s="200">
        <v>23</v>
      </c>
    </row>
    <row r="498" spans="1:14" x14ac:dyDescent="0.25">
      <c r="A498" s="198" t="s">
        <v>32</v>
      </c>
      <c r="B498" s="198" t="s">
        <v>7692</v>
      </c>
      <c r="C498" s="198"/>
      <c r="D498" s="196">
        <v>2</v>
      </c>
      <c r="E498" s="196"/>
      <c r="F498" s="196">
        <v>0.495</v>
      </c>
      <c r="G498" s="196">
        <v>40.1</v>
      </c>
      <c r="H498" s="196"/>
      <c r="I498" s="196"/>
      <c r="J498" s="196"/>
      <c r="K498" s="196"/>
      <c r="L498" s="200">
        <v>498</v>
      </c>
      <c r="M498" s="200">
        <v>3</v>
      </c>
      <c r="N498" s="200">
        <v>23</v>
      </c>
    </row>
    <row r="499" spans="1:14" x14ac:dyDescent="0.25">
      <c r="A499" s="198" t="s">
        <v>32</v>
      </c>
      <c r="B499" s="198" t="s">
        <v>8227</v>
      </c>
      <c r="C499" s="198"/>
      <c r="D499" s="196">
        <v>2</v>
      </c>
      <c r="E499" s="196"/>
      <c r="F499" s="196">
        <v>0.49299999999999999</v>
      </c>
      <c r="G499" s="196">
        <v>142.4</v>
      </c>
      <c r="H499" s="196"/>
      <c r="I499" s="196"/>
      <c r="J499" s="196"/>
      <c r="K499" s="196"/>
      <c r="L499" s="200">
        <v>499</v>
      </c>
      <c r="M499" s="200">
        <v>3</v>
      </c>
      <c r="N499" s="200">
        <v>23</v>
      </c>
    </row>
    <row r="500" spans="1:14" x14ac:dyDescent="0.25">
      <c r="A500" s="198" t="s">
        <v>32</v>
      </c>
      <c r="B500" s="198" t="s">
        <v>7694</v>
      </c>
      <c r="C500" s="198"/>
      <c r="D500" s="196">
        <v>2</v>
      </c>
      <c r="E500" s="196"/>
      <c r="F500" s="196">
        <v>0.157</v>
      </c>
      <c r="G500" s="196">
        <v>165.7</v>
      </c>
      <c r="H500" s="196"/>
      <c r="I500" s="196"/>
      <c r="J500" s="196"/>
      <c r="K500" s="196"/>
      <c r="L500" s="200">
        <v>500</v>
      </c>
      <c r="M500" s="200">
        <v>3</v>
      </c>
      <c r="N500" s="200">
        <v>23</v>
      </c>
    </row>
    <row r="501" spans="1:14" x14ac:dyDescent="0.25">
      <c r="A501" s="198" t="s">
        <v>32</v>
      </c>
      <c r="B501" s="198" t="s">
        <v>8230</v>
      </c>
      <c r="C501" s="198"/>
      <c r="D501" s="196">
        <v>2</v>
      </c>
      <c r="E501" s="196"/>
      <c r="F501" s="196">
        <v>0.54900000000000004</v>
      </c>
      <c r="G501" s="196">
        <v>161.9</v>
      </c>
      <c r="H501" s="196"/>
      <c r="I501" s="196"/>
      <c r="J501" s="196"/>
      <c r="K501" s="196"/>
      <c r="L501" s="200">
        <v>501</v>
      </c>
      <c r="M501" s="200">
        <v>3</v>
      </c>
      <c r="N501" s="200">
        <v>23</v>
      </c>
    </row>
    <row r="502" spans="1:14" x14ac:dyDescent="0.25">
      <c r="A502" s="198" t="s">
        <v>32</v>
      </c>
      <c r="B502" s="198" t="s">
        <v>8231</v>
      </c>
      <c r="C502" s="198"/>
      <c r="D502" s="196">
        <v>3</v>
      </c>
      <c r="E502" s="196"/>
      <c r="F502" s="196">
        <v>0.249</v>
      </c>
      <c r="G502" s="196">
        <v>45.7</v>
      </c>
      <c r="H502" s="196"/>
      <c r="I502" s="196"/>
      <c r="J502" s="196"/>
      <c r="K502" s="196"/>
      <c r="L502" s="200">
        <v>502</v>
      </c>
      <c r="M502" s="200">
        <v>3</v>
      </c>
      <c r="N502" s="200">
        <v>23</v>
      </c>
    </row>
    <row r="503" spans="1:14" x14ac:dyDescent="0.25">
      <c r="A503" s="198" t="s">
        <v>32</v>
      </c>
      <c r="B503" s="198" t="s">
        <v>8232</v>
      </c>
      <c r="C503" s="198"/>
      <c r="D503" s="196">
        <v>2</v>
      </c>
      <c r="E503" s="196"/>
      <c r="F503" s="196">
        <v>0.19</v>
      </c>
      <c r="G503" s="196">
        <v>43.8</v>
      </c>
      <c r="H503" s="196"/>
      <c r="I503" s="196"/>
      <c r="J503" s="196"/>
      <c r="K503" s="196"/>
      <c r="L503" s="200">
        <v>503</v>
      </c>
      <c r="M503" s="200">
        <v>3</v>
      </c>
      <c r="N503" s="200">
        <v>23</v>
      </c>
    </row>
    <row r="504" spans="1:14" x14ac:dyDescent="0.25">
      <c r="A504" s="198" t="s">
        <v>32</v>
      </c>
      <c r="B504" s="198" t="s">
        <v>8233</v>
      </c>
      <c r="C504" s="198"/>
      <c r="D504" s="196">
        <v>2</v>
      </c>
      <c r="E504" s="196"/>
      <c r="F504" s="196">
        <v>0.374</v>
      </c>
      <c r="G504" s="196">
        <v>169.7</v>
      </c>
      <c r="H504" s="196"/>
      <c r="I504" s="196"/>
      <c r="J504" s="196"/>
      <c r="K504" s="196"/>
      <c r="L504" s="200">
        <v>504</v>
      </c>
      <c r="M504" s="200">
        <v>3</v>
      </c>
      <c r="N504" s="200">
        <v>23</v>
      </c>
    </row>
    <row r="505" spans="1:14" x14ac:dyDescent="0.25">
      <c r="A505" s="198" t="s">
        <v>32</v>
      </c>
      <c r="B505" s="198" t="s">
        <v>7696</v>
      </c>
      <c r="C505" s="198"/>
      <c r="D505" s="196">
        <v>2</v>
      </c>
      <c r="E505" s="196"/>
      <c r="F505" s="196">
        <v>0.22</v>
      </c>
      <c r="G505" s="196">
        <v>48.2</v>
      </c>
      <c r="H505" s="196"/>
      <c r="I505" s="196"/>
      <c r="J505" s="196"/>
      <c r="K505" s="196"/>
      <c r="L505" s="200">
        <v>505</v>
      </c>
      <c r="M505" s="200">
        <v>3</v>
      </c>
      <c r="N505" s="200">
        <v>23</v>
      </c>
    </row>
    <row r="506" spans="1:14" x14ac:dyDescent="0.25">
      <c r="A506" s="198" t="s">
        <v>32</v>
      </c>
      <c r="B506" s="198" t="s">
        <v>1884</v>
      </c>
      <c r="C506" s="198"/>
      <c r="D506" s="196">
        <v>4</v>
      </c>
      <c r="E506" s="196"/>
      <c r="F506" s="196">
        <v>0.33300000000000002</v>
      </c>
      <c r="G506" s="196">
        <v>153</v>
      </c>
      <c r="H506" s="196"/>
      <c r="I506" s="196"/>
      <c r="J506" s="196"/>
      <c r="K506" s="196"/>
      <c r="L506" s="200">
        <v>506</v>
      </c>
      <c r="M506" s="200">
        <v>1</v>
      </c>
      <c r="N506" s="200">
        <v>23</v>
      </c>
    </row>
    <row r="507" spans="1:14" x14ac:dyDescent="0.25">
      <c r="A507" s="198" t="s">
        <v>32</v>
      </c>
      <c r="B507" s="198" t="s">
        <v>8241</v>
      </c>
      <c r="C507" s="198"/>
      <c r="D507" s="196">
        <v>2</v>
      </c>
      <c r="E507" s="196"/>
      <c r="F507" s="196">
        <v>0.53600000000000003</v>
      </c>
      <c r="G507" s="196">
        <v>37.6</v>
      </c>
      <c r="H507" s="196"/>
      <c r="I507" s="196"/>
      <c r="J507" s="196"/>
      <c r="K507" s="196"/>
      <c r="L507" s="200">
        <v>507</v>
      </c>
      <c r="M507" s="200">
        <v>3</v>
      </c>
      <c r="N507" s="200">
        <v>23</v>
      </c>
    </row>
    <row r="508" spans="1:14" x14ac:dyDescent="0.25">
      <c r="A508" s="198" t="s">
        <v>32</v>
      </c>
      <c r="B508" s="198" t="s">
        <v>7698</v>
      </c>
      <c r="C508" s="198"/>
      <c r="D508" s="196">
        <v>3</v>
      </c>
      <c r="E508" s="196"/>
      <c r="F508" s="196">
        <v>0.27100000000000002</v>
      </c>
      <c r="G508" s="196">
        <v>166.995</v>
      </c>
      <c r="H508" s="196"/>
      <c r="I508" s="196"/>
      <c r="J508" s="196"/>
      <c r="K508" s="196"/>
      <c r="L508" s="200">
        <v>508</v>
      </c>
      <c r="M508" s="200">
        <v>3</v>
      </c>
      <c r="N508" s="200">
        <v>23</v>
      </c>
    </row>
    <row r="509" spans="1:14" x14ac:dyDescent="0.25">
      <c r="A509" s="198" t="s">
        <v>32</v>
      </c>
      <c r="B509" s="198" t="s">
        <v>8244</v>
      </c>
      <c r="C509" s="198"/>
      <c r="D509" s="196">
        <v>2</v>
      </c>
      <c r="E509" s="196"/>
      <c r="F509" s="196">
        <v>0.56499999999999995</v>
      </c>
      <c r="G509" s="196">
        <v>34.6</v>
      </c>
      <c r="H509" s="196"/>
      <c r="I509" s="196"/>
      <c r="J509" s="196"/>
      <c r="K509" s="196"/>
      <c r="L509" s="200">
        <v>509</v>
      </c>
      <c r="M509" s="200">
        <v>3</v>
      </c>
      <c r="N509" s="200">
        <v>23</v>
      </c>
    </row>
    <row r="510" spans="1:14" x14ac:dyDescent="0.25">
      <c r="A510" s="198" t="s">
        <v>32</v>
      </c>
      <c r="B510" s="198" t="s">
        <v>7700</v>
      </c>
      <c r="C510" s="198"/>
      <c r="D510" s="196">
        <v>2</v>
      </c>
      <c r="E510" s="196"/>
      <c r="F510" s="196">
        <v>0.16900000000000001</v>
      </c>
      <c r="G510" s="196">
        <v>166.5</v>
      </c>
      <c r="H510" s="196"/>
      <c r="I510" s="196"/>
      <c r="J510" s="196"/>
      <c r="K510" s="196"/>
      <c r="L510" s="200">
        <v>510</v>
      </c>
      <c r="M510" s="200">
        <v>3</v>
      </c>
      <c r="N510" s="200">
        <v>23</v>
      </c>
    </row>
    <row r="511" spans="1:14" x14ac:dyDescent="0.25">
      <c r="A511" s="198" t="s">
        <v>32</v>
      </c>
      <c r="B511" s="198" t="s">
        <v>8247</v>
      </c>
      <c r="C511" s="198"/>
      <c r="D511" s="196">
        <v>2</v>
      </c>
      <c r="E511" s="196"/>
      <c r="F511" s="196">
        <v>0.57699999999999996</v>
      </c>
      <c r="G511" s="196">
        <v>157.30000000000001</v>
      </c>
      <c r="H511" s="196"/>
      <c r="I511" s="196"/>
      <c r="J511" s="196"/>
      <c r="K511" s="196"/>
      <c r="L511" s="200">
        <v>511</v>
      </c>
      <c r="M511" s="200">
        <v>3</v>
      </c>
      <c r="N511" s="200">
        <v>23</v>
      </c>
    </row>
    <row r="512" spans="1:14" x14ac:dyDescent="0.25">
      <c r="A512" s="198" t="s">
        <v>32</v>
      </c>
      <c r="B512" s="198" t="s">
        <v>8248</v>
      </c>
      <c r="C512" s="198"/>
      <c r="D512" s="196">
        <v>2</v>
      </c>
      <c r="E512" s="196"/>
      <c r="F512" s="196">
        <v>0.30299999999999999</v>
      </c>
      <c r="G512" s="196">
        <v>158.80000000000001</v>
      </c>
      <c r="H512" s="196"/>
      <c r="I512" s="196"/>
      <c r="J512" s="196"/>
      <c r="K512" s="196"/>
      <c r="L512" s="200">
        <v>512</v>
      </c>
      <c r="M512" s="200">
        <v>3</v>
      </c>
      <c r="N512" s="200">
        <v>23</v>
      </c>
    </row>
    <row r="513" spans="1:14" x14ac:dyDescent="0.25">
      <c r="A513" s="198" t="s">
        <v>32</v>
      </c>
      <c r="B513" s="198" t="s">
        <v>8249</v>
      </c>
      <c r="C513" s="198"/>
      <c r="D513" s="196">
        <v>2</v>
      </c>
      <c r="E513" s="196"/>
      <c r="F513" s="196">
        <v>0.182</v>
      </c>
      <c r="G513" s="196">
        <v>47.5</v>
      </c>
      <c r="H513" s="196"/>
      <c r="I513" s="196"/>
      <c r="J513" s="196"/>
      <c r="K513" s="196"/>
      <c r="L513" s="200">
        <v>513</v>
      </c>
      <c r="M513" s="200">
        <v>3</v>
      </c>
      <c r="N513" s="200">
        <v>23</v>
      </c>
    </row>
    <row r="514" spans="1:14" x14ac:dyDescent="0.25">
      <c r="A514" s="198" t="s">
        <v>32</v>
      </c>
      <c r="B514" s="198" t="s">
        <v>1890</v>
      </c>
      <c r="C514" s="198"/>
      <c r="D514" s="196">
        <v>4</v>
      </c>
      <c r="E514" s="196"/>
      <c r="F514" s="196">
        <v>0.21</v>
      </c>
      <c r="G514" s="196">
        <v>168.4</v>
      </c>
      <c r="H514" s="196"/>
      <c r="I514" s="196"/>
      <c r="J514" s="196"/>
      <c r="K514" s="196"/>
      <c r="L514" s="200">
        <v>514</v>
      </c>
      <c r="M514" s="200">
        <v>1</v>
      </c>
      <c r="N514" s="200">
        <v>23</v>
      </c>
    </row>
    <row r="515" spans="1:14" x14ac:dyDescent="0.25">
      <c r="A515" s="198" t="s">
        <v>32</v>
      </c>
      <c r="B515" s="198" t="s">
        <v>8253</v>
      </c>
      <c r="C515" s="198"/>
      <c r="D515" s="196">
        <v>2</v>
      </c>
      <c r="E515" s="196"/>
      <c r="F515" s="196">
        <v>0.248</v>
      </c>
      <c r="G515" s="196">
        <v>171.9</v>
      </c>
      <c r="H515" s="196"/>
      <c r="I515" s="196"/>
      <c r="J515" s="196"/>
      <c r="K515" s="196"/>
      <c r="L515" s="200">
        <v>515</v>
      </c>
      <c r="M515" s="200">
        <v>3</v>
      </c>
      <c r="N515" s="200">
        <v>23</v>
      </c>
    </row>
    <row r="516" spans="1:14" x14ac:dyDescent="0.25">
      <c r="A516" s="198" t="s">
        <v>32</v>
      </c>
      <c r="B516" s="198" t="s">
        <v>1893</v>
      </c>
      <c r="C516" s="198"/>
      <c r="D516" s="196">
        <v>2</v>
      </c>
      <c r="E516" s="196"/>
      <c r="F516" s="196">
        <v>8.1000000000000003E-2</v>
      </c>
      <c r="G516" s="196">
        <v>154.62899999999999</v>
      </c>
      <c r="H516" s="196"/>
      <c r="I516" s="196"/>
      <c r="J516" s="196"/>
      <c r="K516" s="196"/>
      <c r="L516" s="200">
        <v>516</v>
      </c>
      <c r="M516" s="200">
        <v>3</v>
      </c>
      <c r="N516" s="200">
        <v>23</v>
      </c>
    </row>
    <row r="517" spans="1:14" x14ac:dyDescent="0.25">
      <c r="A517" s="198" t="s">
        <v>32</v>
      </c>
      <c r="B517" s="198" t="s">
        <v>8254</v>
      </c>
      <c r="C517" s="198"/>
      <c r="D517" s="196">
        <v>2</v>
      </c>
      <c r="E517" s="196"/>
      <c r="F517" s="196">
        <v>0.28899999999999998</v>
      </c>
      <c r="G517" s="196">
        <v>170.4</v>
      </c>
      <c r="H517" s="196"/>
      <c r="I517" s="196"/>
      <c r="J517" s="196"/>
      <c r="K517" s="196"/>
      <c r="L517" s="200">
        <v>517</v>
      </c>
      <c r="M517" s="200">
        <v>3</v>
      </c>
      <c r="N517" s="200">
        <v>23</v>
      </c>
    </row>
    <row r="518" spans="1:14" x14ac:dyDescent="0.25">
      <c r="A518" s="198" t="s">
        <v>32</v>
      </c>
      <c r="B518" s="198" t="s">
        <v>8257</v>
      </c>
      <c r="C518" s="198"/>
      <c r="D518" s="196">
        <v>2</v>
      </c>
      <c r="E518" s="196"/>
      <c r="F518" s="196">
        <v>0.35</v>
      </c>
      <c r="G518" s="196">
        <v>164.8</v>
      </c>
      <c r="H518" s="196"/>
      <c r="I518" s="196"/>
      <c r="J518" s="196"/>
      <c r="K518" s="196"/>
      <c r="L518" s="200">
        <v>518</v>
      </c>
      <c r="M518" s="200">
        <v>3</v>
      </c>
      <c r="N518" s="200">
        <v>23</v>
      </c>
    </row>
    <row r="519" spans="1:14" x14ac:dyDescent="0.25">
      <c r="A519" s="198" t="s">
        <v>32</v>
      </c>
      <c r="B519" s="198" t="s">
        <v>1899</v>
      </c>
      <c r="C519" s="198"/>
      <c r="D519" s="196">
        <v>2</v>
      </c>
      <c r="E519" s="196"/>
      <c r="F519" s="196">
        <v>0.216</v>
      </c>
      <c r="G519" s="196">
        <v>162.9</v>
      </c>
      <c r="H519" s="196"/>
      <c r="I519" s="196"/>
      <c r="J519" s="196"/>
      <c r="K519" s="196"/>
      <c r="L519" s="200">
        <v>519</v>
      </c>
      <c r="M519" s="200">
        <v>1</v>
      </c>
      <c r="N519" s="200">
        <v>23</v>
      </c>
    </row>
    <row r="520" spans="1:14" x14ac:dyDescent="0.25">
      <c r="A520" s="198" t="s">
        <v>32</v>
      </c>
      <c r="B520" s="198" t="s">
        <v>8259</v>
      </c>
      <c r="C520" s="198"/>
      <c r="D520" s="196">
        <v>2</v>
      </c>
      <c r="E520" s="196"/>
      <c r="F520" s="196">
        <v>0.307</v>
      </c>
      <c r="G520" s="196">
        <v>169.9</v>
      </c>
      <c r="H520" s="196"/>
      <c r="I520" s="196"/>
      <c r="J520" s="196"/>
      <c r="K520" s="196"/>
      <c r="L520" s="200">
        <v>520</v>
      </c>
      <c r="M520" s="200">
        <v>3</v>
      </c>
      <c r="N520" s="200">
        <v>23</v>
      </c>
    </row>
    <row r="521" spans="1:14" x14ac:dyDescent="0.25">
      <c r="A521" s="198" t="s">
        <v>32</v>
      </c>
      <c r="B521" s="198" t="s">
        <v>7702</v>
      </c>
      <c r="C521" s="198"/>
      <c r="D521" s="196">
        <v>2</v>
      </c>
      <c r="E521" s="196"/>
      <c r="F521" s="196">
        <v>0.432</v>
      </c>
      <c r="G521" s="196">
        <v>171.1</v>
      </c>
      <c r="H521" s="196"/>
      <c r="I521" s="196"/>
      <c r="J521" s="196"/>
      <c r="K521" s="196"/>
      <c r="L521" s="200">
        <v>521</v>
      </c>
      <c r="M521" s="200">
        <v>3</v>
      </c>
      <c r="N521" s="200">
        <v>23</v>
      </c>
    </row>
    <row r="522" spans="1:14" x14ac:dyDescent="0.25">
      <c r="A522" s="198" t="s">
        <v>32</v>
      </c>
      <c r="B522" s="198" t="s">
        <v>7705</v>
      </c>
      <c r="C522" s="198"/>
      <c r="D522" s="196">
        <v>2</v>
      </c>
      <c r="E522" s="196"/>
      <c r="F522" s="196">
        <v>0.151</v>
      </c>
      <c r="G522" s="196">
        <v>161.6</v>
      </c>
      <c r="H522" s="196"/>
      <c r="I522" s="196"/>
      <c r="J522" s="196"/>
      <c r="K522" s="196"/>
      <c r="L522" s="200">
        <v>522</v>
      </c>
      <c r="M522" s="200">
        <v>3</v>
      </c>
      <c r="N522" s="200">
        <v>23</v>
      </c>
    </row>
    <row r="523" spans="1:14" x14ac:dyDescent="0.25">
      <c r="A523" s="198" t="s">
        <v>32</v>
      </c>
      <c r="B523" s="198" t="s">
        <v>7708</v>
      </c>
      <c r="C523" s="198"/>
      <c r="D523" s="196">
        <v>2</v>
      </c>
      <c r="E523" s="196"/>
      <c r="F523" s="196">
        <v>0.216</v>
      </c>
      <c r="G523" s="196">
        <v>158.80000000000001</v>
      </c>
      <c r="H523" s="196"/>
      <c r="I523" s="196"/>
      <c r="J523" s="196"/>
      <c r="K523" s="196"/>
      <c r="L523" s="200">
        <v>523</v>
      </c>
      <c r="M523" s="200">
        <v>3</v>
      </c>
      <c r="N523" s="200">
        <v>23</v>
      </c>
    </row>
    <row r="524" spans="1:14" x14ac:dyDescent="0.25">
      <c r="A524" s="198" t="s">
        <v>32</v>
      </c>
      <c r="B524" s="198" t="s">
        <v>8262</v>
      </c>
      <c r="C524" s="198"/>
      <c r="D524" s="196">
        <v>2</v>
      </c>
      <c r="E524" s="196"/>
      <c r="F524" s="196">
        <v>0.28100000000000003</v>
      </c>
      <c r="G524" s="196">
        <v>166.4</v>
      </c>
      <c r="H524" s="196"/>
      <c r="I524" s="196"/>
      <c r="J524" s="196"/>
      <c r="K524" s="196"/>
      <c r="L524" s="200">
        <v>524</v>
      </c>
      <c r="M524" s="200">
        <v>3</v>
      </c>
      <c r="N524" s="200">
        <v>23</v>
      </c>
    </row>
    <row r="525" spans="1:14" x14ac:dyDescent="0.25">
      <c r="A525" s="198" t="s">
        <v>32</v>
      </c>
      <c r="B525" s="198" t="s">
        <v>8263</v>
      </c>
      <c r="C525" s="198"/>
      <c r="D525" s="196">
        <v>2</v>
      </c>
      <c r="E525" s="196"/>
      <c r="F525" s="196">
        <v>0.26200000000000001</v>
      </c>
      <c r="G525" s="196">
        <v>167.3</v>
      </c>
      <c r="H525" s="196"/>
      <c r="I525" s="196"/>
      <c r="J525" s="196"/>
      <c r="K525" s="196"/>
      <c r="L525" s="200">
        <v>525</v>
      </c>
      <c r="M525" s="200">
        <v>3</v>
      </c>
      <c r="N525" s="200">
        <v>23</v>
      </c>
    </row>
    <row r="526" spans="1:14" x14ac:dyDescent="0.25">
      <c r="A526" s="198" t="s">
        <v>32</v>
      </c>
      <c r="B526" s="198" t="s">
        <v>8264</v>
      </c>
      <c r="C526" s="198"/>
      <c r="D526" s="196">
        <v>2</v>
      </c>
      <c r="E526" s="196"/>
      <c r="F526" s="196">
        <v>0.14000000000000001</v>
      </c>
      <c r="G526" s="196">
        <v>170.5</v>
      </c>
      <c r="H526" s="196"/>
      <c r="I526" s="196"/>
      <c r="J526" s="196"/>
      <c r="K526" s="196"/>
      <c r="L526" s="200">
        <v>526</v>
      </c>
      <c r="M526" s="200">
        <v>3</v>
      </c>
      <c r="N526" s="200">
        <v>23</v>
      </c>
    </row>
    <row r="527" spans="1:14" x14ac:dyDescent="0.25">
      <c r="A527" s="198" t="s">
        <v>32</v>
      </c>
      <c r="B527" s="198" t="s">
        <v>7710</v>
      </c>
      <c r="C527" s="198"/>
      <c r="D527" s="196">
        <v>2</v>
      </c>
      <c r="E527" s="196"/>
      <c r="F527" s="196">
        <v>0.20399999999999999</v>
      </c>
      <c r="G527" s="196">
        <v>163.1</v>
      </c>
      <c r="H527" s="196"/>
      <c r="I527" s="196"/>
      <c r="J527" s="196"/>
      <c r="K527" s="196"/>
      <c r="L527" s="200">
        <v>527</v>
      </c>
      <c r="M527" s="200">
        <v>1</v>
      </c>
      <c r="N527" s="200">
        <v>23</v>
      </c>
    </row>
    <row r="528" spans="1:14" x14ac:dyDescent="0.25">
      <c r="A528" s="198" t="s">
        <v>32</v>
      </c>
      <c r="B528" s="198" t="s">
        <v>1902</v>
      </c>
      <c r="C528" s="198"/>
      <c r="D528" s="196">
        <v>4</v>
      </c>
      <c r="E528" s="196"/>
      <c r="F528" s="196">
        <v>0.29899999999999999</v>
      </c>
      <c r="G528" s="196">
        <v>136.803</v>
      </c>
      <c r="H528" s="196"/>
      <c r="I528" s="196"/>
      <c r="J528" s="196"/>
      <c r="K528" s="196"/>
      <c r="L528" s="200">
        <v>528</v>
      </c>
      <c r="M528" s="200">
        <v>1</v>
      </c>
      <c r="N528" s="200">
        <v>23</v>
      </c>
    </row>
    <row r="529" spans="1:14" x14ac:dyDescent="0.25">
      <c r="A529" s="198" t="s">
        <v>32</v>
      </c>
      <c r="B529" s="198" t="s">
        <v>8270</v>
      </c>
      <c r="C529" s="198"/>
      <c r="D529" s="196">
        <v>2</v>
      </c>
      <c r="E529" s="196"/>
      <c r="F529" s="196">
        <v>0.434</v>
      </c>
      <c r="G529" s="196">
        <v>167.4</v>
      </c>
      <c r="H529" s="196"/>
      <c r="I529" s="196"/>
      <c r="J529" s="196"/>
      <c r="K529" s="196"/>
      <c r="L529" s="200">
        <v>529</v>
      </c>
      <c r="M529" s="200">
        <v>3</v>
      </c>
      <c r="N529" s="200">
        <v>23</v>
      </c>
    </row>
    <row r="530" spans="1:14" x14ac:dyDescent="0.25">
      <c r="A530" s="198" t="s">
        <v>32</v>
      </c>
      <c r="B530" s="198" t="s">
        <v>1896</v>
      </c>
      <c r="C530" s="198"/>
      <c r="D530" s="196">
        <v>3</v>
      </c>
      <c r="E530" s="196"/>
      <c r="F530" s="196">
        <v>0.14199999999999999</v>
      </c>
      <c r="G530" s="196">
        <v>157</v>
      </c>
      <c r="H530" s="196"/>
      <c r="I530" s="196"/>
      <c r="J530" s="196"/>
      <c r="K530" s="196"/>
      <c r="L530" s="200">
        <v>530</v>
      </c>
      <c r="M530" s="200">
        <v>1</v>
      </c>
      <c r="N530" s="200">
        <v>23</v>
      </c>
    </row>
    <row r="531" spans="1:14" x14ac:dyDescent="0.25">
      <c r="A531" s="198" t="s">
        <v>32</v>
      </c>
      <c r="B531" s="198" t="s">
        <v>1908</v>
      </c>
      <c r="C531" s="198"/>
      <c r="D531" s="196">
        <v>3</v>
      </c>
      <c r="E531" s="196"/>
      <c r="F531" s="196">
        <v>0.14299999999999999</v>
      </c>
      <c r="G531" s="196">
        <v>176.62899999999999</v>
      </c>
      <c r="H531" s="196"/>
      <c r="I531" s="196"/>
      <c r="J531" s="196"/>
      <c r="K531" s="196"/>
      <c r="L531" s="200">
        <v>531</v>
      </c>
      <c r="M531" s="200">
        <v>3</v>
      </c>
      <c r="N531" s="200">
        <v>23</v>
      </c>
    </row>
    <row r="532" spans="1:14" x14ac:dyDescent="0.25">
      <c r="A532" s="198" t="s">
        <v>32</v>
      </c>
      <c r="B532" s="198" t="s">
        <v>8273</v>
      </c>
      <c r="C532" s="198"/>
      <c r="D532" s="196">
        <v>2</v>
      </c>
      <c r="E532" s="196"/>
      <c r="F532" s="196">
        <v>5.8999999999999997E-2</v>
      </c>
      <c r="G532" s="196">
        <v>161.30000000000001</v>
      </c>
      <c r="H532" s="196"/>
      <c r="I532" s="196"/>
      <c r="J532" s="196"/>
      <c r="K532" s="196"/>
      <c r="L532" s="200">
        <v>532</v>
      </c>
      <c r="M532" s="200">
        <v>3</v>
      </c>
      <c r="N532" s="200">
        <v>23</v>
      </c>
    </row>
    <row r="533" spans="1:14" x14ac:dyDescent="0.25">
      <c r="A533" s="198" t="s">
        <v>32</v>
      </c>
      <c r="B533" s="198" t="s">
        <v>1905</v>
      </c>
      <c r="C533" s="198"/>
      <c r="D533" s="196">
        <v>4</v>
      </c>
      <c r="E533" s="196"/>
      <c r="F533" s="196">
        <v>0.114</v>
      </c>
      <c r="G533" s="196">
        <v>174</v>
      </c>
      <c r="H533" s="196"/>
      <c r="I533" s="196"/>
      <c r="J533" s="196"/>
      <c r="K533" s="196"/>
      <c r="L533" s="200">
        <v>533</v>
      </c>
      <c r="M533" s="200">
        <v>1</v>
      </c>
      <c r="N533" s="200">
        <v>23</v>
      </c>
    </row>
    <row r="534" spans="1:14" x14ac:dyDescent="0.25">
      <c r="A534" s="198" t="s">
        <v>32</v>
      </c>
      <c r="B534" s="198" t="s">
        <v>7713</v>
      </c>
      <c r="C534" s="198"/>
      <c r="D534" s="196">
        <v>3</v>
      </c>
      <c r="E534" s="196"/>
      <c r="F534" s="196">
        <v>0.129</v>
      </c>
      <c r="G534" s="196">
        <v>167.7</v>
      </c>
      <c r="H534" s="196"/>
      <c r="I534" s="196"/>
      <c r="J534" s="196"/>
      <c r="K534" s="196"/>
      <c r="L534" s="200">
        <v>534</v>
      </c>
      <c r="M534" s="200">
        <v>3</v>
      </c>
      <c r="N534" s="200">
        <v>23</v>
      </c>
    </row>
    <row r="535" spans="1:14" x14ac:dyDescent="0.25">
      <c r="A535" s="198" t="s">
        <v>32</v>
      </c>
      <c r="B535" s="198" t="s">
        <v>8276</v>
      </c>
      <c r="C535" s="198"/>
      <c r="D535" s="196">
        <v>2</v>
      </c>
      <c r="E535" s="196"/>
      <c r="F535" s="196">
        <v>0.28000000000000003</v>
      </c>
      <c r="G535" s="196">
        <v>173.8</v>
      </c>
      <c r="H535" s="196"/>
      <c r="I535" s="196"/>
      <c r="J535" s="196"/>
      <c r="K535" s="196"/>
      <c r="L535" s="200">
        <v>535</v>
      </c>
      <c r="M535" s="200">
        <v>3</v>
      </c>
      <c r="N535" s="200">
        <v>23</v>
      </c>
    </row>
    <row r="536" spans="1:14" x14ac:dyDescent="0.25">
      <c r="A536" s="198" t="s">
        <v>32</v>
      </c>
      <c r="B536" s="198" t="s">
        <v>7716</v>
      </c>
      <c r="C536" s="198"/>
      <c r="D536" s="196">
        <v>2</v>
      </c>
      <c r="E536" s="196"/>
      <c r="F536" s="196">
        <v>0.54200000000000004</v>
      </c>
      <c r="G536" s="196">
        <v>38.6</v>
      </c>
      <c r="H536" s="196"/>
      <c r="I536" s="196"/>
      <c r="J536" s="196"/>
      <c r="K536" s="196"/>
      <c r="L536" s="200">
        <v>536</v>
      </c>
      <c r="M536" s="200">
        <v>3</v>
      </c>
      <c r="N536" s="200">
        <v>23</v>
      </c>
    </row>
    <row r="537" spans="1:14" x14ac:dyDescent="0.25">
      <c r="A537" s="198" t="s">
        <v>32</v>
      </c>
      <c r="B537" s="198" t="s">
        <v>7718</v>
      </c>
      <c r="C537" s="198"/>
      <c r="D537" s="196">
        <v>2</v>
      </c>
      <c r="E537" s="196"/>
      <c r="F537" s="196">
        <v>0.55100000000000005</v>
      </c>
      <c r="G537" s="196">
        <v>154</v>
      </c>
      <c r="H537" s="196"/>
      <c r="I537" s="196"/>
      <c r="J537" s="196"/>
      <c r="K537" s="196"/>
      <c r="L537" s="200">
        <v>537</v>
      </c>
      <c r="M537" s="200">
        <v>3</v>
      </c>
      <c r="N537" s="200">
        <v>23</v>
      </c>
    </row>
    <row r="538" spans="1:14" x14ac:dyDescent="0.25">
      <c r="A538" s="198" t="s">
        <v>32</v>
      </c>
      <c r="B538" s="198" t="s">
        <v>1911</v>
      </c>
      <c r="C538" s="198"/>
      <c r="D538" s="196">
        <v>3</v>
      </c>
      <c r="E538" s="196"/>
      <c r="F538" s="196">
        <v>0.375</v>
      </c>
      <c r="G538" s="196">
        <v>164.1</v>
      </c>
      <c r="H538" s="196"/>
      <c r="I538" s="196"/>
      <c r="J538" s="196"/>
      <c r="K538" s="196"/>
      <c r="L538" s="200">
        <v>538</v>
      </c>
      <c r="M538" s="200">
        <v>1</v>
      </c>
      <c r="N538" s="200">
        <v>23</v>
      </c>
    </row>
    <row r="539" spans="1:14" x14ac:dyDescent="0.25">
      <c r="A539" s="198" t="s">
        <v>32</v>
      </c>
      <c r="B539" s="198" t="s">
        <v>7723</v>
      </c>
      <c r="C539" s="198"/>
      <c r="D539" s="196">
        <v>2</v>
      </c>
      <c r="E539" s="196"/>
      <c r="F539" s="196">
        <v>0.14299999999999999</v>
      </c>
      <c r="G539" s="196">
        <v>174.1</v>
      </c>
      <c r="H539" s="196"/>
      <c r="I539" s="196"/>
      <c r="J539" s="196"/>
      <c r="K539" s="196"/>
      <c r="L539" s="200">
        <v>539</v>
      </c>
      <c r="M539" s="200">
        <v>3</v>
      </c>
      <c r="N539" s="200">
        <v>23</v>
      </c>
    </row>
    <row r="540" spans="1:14" x14ac:dyDescent="0.25">
      <c r="A540" s="198" t="s">
        <v>32</v>
      </c>
      <c r="B540" s="198" t="s">
        <v>1914</v>
      </c>
      <c r="C540" s="198"/>
      <c r="D540" s="196">
        <v>3</v>
      </c>
      <c r="E540" s="196"/>
      <c r="F540" s="196">
        <v>0.12</v>
      </c>
      <c r="G540" s="196">
        <v>168</v>
      </c>
      <c r="H540" s="196"/>
      <c r="I540" s="196"/>
      <c r="J540" s="196"/>
      <c r="K540" s="196"/>
      <c r="L540" s="200">
        <v>540</v>
      </c>
      <c r="M540" s="200">
        <v>1</v>
      </c>
      <c r="N540" s="200">
        <v>23</v>
      </c>
    </row>
    <row r="541" spans="1:14" x14ac:dyDescent="0.25">
      <c r="A541" s="198" t="s">
        <v>32</v>
      </c>
      <c r="B541" s="198" t="s">
        <v>8278</v>
      </c>
      <c r="C541" s="198"/>
      <c r="D541" s="196">
        <v>2</v>
      </c>
      <c r="E541" s="196"/>
      <c r="F541" s="196">
        <v>8.8999999999999996E-2</v>
      </c>
      <c r="G541" s="196">
        <v>165</v>
      </c>
      <c r="H541" s="196"/>
      <c r="I541" s="196"/>
      <c r="J541" s="196"/>
      <c r="K541" s="196"/>
      <c r="L541" s="200">
        <v>541</v>
      </c>
      <c r="M541" s="200">
        <v>3</v>
      </c>
      <c r="N541" s="200">
        <v>23</v>
      </c>
    </row>
    <row r="542" spans="1:14" x14ac:dyDescent="0.25">
      <c r="A542" s="198" t="s">
        <v>32</v>
      </c>
      <c r="B542" s="198" t="s">
        <v>8279</v>
      </c>
      <c r="C542" s="198"/>
      <c r="D542" s="196">
        <v>2</v>
      </c>
      <c r="E542" s="196"/>
      <c r="F542" s="196">
        <v>0.65200000000000002</v>
      </c>
      <c r="G542" s="196">
        <v>151.1</v>
      </c>
      <c r="H542" s="196"/>
      <c r="I542" s="196"/>
      <c r="J542" s="196"/>
      <c r="K542" s="196"/>
      <c r="L542" s="200">
        <v>542</v>
      </c>
      <c r="M542" s="200">
        <v>3</v>
      </c>
      <c r="N542" s="200">
        <v>23</v>
      </c>
    </row>
    <row r="543" spans="1:14" x14ac:dyDescent="0.25">
      <c r="A543" s="198" t="s">
        <v>32</v>
      </c>
      <c r="B543" s="198" t="s">
        <v>7720</v>
      </c>
      <c r="C543" s="198"/>
      <c r="D543" s="196">
        <v>2</v>
      </c>
      <c r="E543" s="196"/>
      <c r="F543" s="196">
        <v>0.16500000000000001</v>
      </c>
      <c r="G543" s="196">
        <v>168.11799999999999</v>
      </c>
      <c r="H543" s="196"/>
      <c r="I543" s="196"/>
      <c r="J543" s="196"/>
      <c r="K543" s="196"/>
      <c r="L543" s="200">
        <v>543</v>
      </c>
      <c r="M543" s="200">
        <v>3</v>
      </c>
      <c r="N543" s="200">
        <v>23</v>
      </c>
    </row>
    <row r="544" spans="1:14" x14ac:dyDescent="0.25">
      <c r="A544" s="198" t="s">
        <v>32</v>
      </c>
      <c r="B544" s="198" t="s">
        <v>7726</v>
      </c>
      <c r="C544" s="198"/>
      <c r="D544" s="196">
        <v>3</v>
      </c>
      <c r="E544" s="196"/>
      <c r="F544" s="196">
        <v>0.371</v>
      </c>
      <c r="G544" s="196">
        <v>163.857</v>
      </c>
      <c r="H544" s="196"/>
      <c r="I544" s="196"/>
      <c r="J544" s="196"/>
      <c r="K544" s="196"/>
      <c r="L544" s="200">
        <v>544</v>
      </c>
      <c r="M544" s="200">
        <v>3</v>
      </c>
      <c r="N544" s="200">
        <v>23</v>
      </c>
    </row>
    <row r="545" spans="1:14" x14ac:dyDescent="0.25">
      <c r="A545" s="198" t="s">
        <v>32</v>
      </c>
      <c r="B545" s="198" t="s">
        <v>8283</v>
      </c>
      <c r="C545" s="198"/>
      <c r="D545" s="196">
        <v>2</v>
      </c>
      <c r="E545" s="196"/>
      <c r="F545" s="196">
        <v>0.57499999999999996</v>
      </c>
      <c r="G545" s="196">
        <v>168.7</v>
      </c>
      <c r="H545" s="196"/>
      <c r="I545" s="196"/>
      <c r="J545" s="196"/>
      <c r="K545" s="196"/>
      <c r="L545" s="200">
        <v>545</v>
      </c>
      <c r="M545" s="200">
        <v>3</v>
      </c>
      <c r="N545" s="200">
        <v>23</v>
      </c>
    </row>
    <row r="546" spans="1:14" x14ac:dyDescent="0.25">
      <c r="A546" s="198" t="s">
        <v>32</v>
      </c>
      <c r="B546" s="198" t="s">
        <v>8284</v>
      </c>
      <c r="C546" s="198"/>
      <c r="D546" s="196">
        <v>2</v>
      </c>
      <c r="E546" s="196"/>
      <c r="F546" s="196">
        <v>0.215</v>
      </c>
      <c r="G546" s="196">
        <v>172.3</v>
      </c>
      <c r="H546" s="196"/>
      <c r="I546" s="196"/>
      <c r="J546" s="196"/>
      <c r="K546" s="196"/>
      <c r="L546" s="200">
        <v>546</v>
      </c>
      <c r="M546" s="200">
        <v>3</v>
      </c>
      <c r="N546" s="200">
        <v>23</v>
      </c>
    </row>
    <row r="547" spans="1:14" x14ac:dyDescent="0.25">
      <c r="A547" s="198" t="s">
        <v>32</v>
      </c>
      <c r="B547" s="198" t="s">
        <v>8285</v>
      </c>
      <c r="C547" s="198"/>
      <c r="D547" s="196">
        <v>2</v>
      </c>
      <c r="E547" s="196"/>
      <c r="F547" s="196">
        <v>0.30599999999999999</v>
      </c>
      <c r="G547" s="196">
        <v>163.9</v>
      </c>
      <c r="H547" s="196"/>
      <c r="I547" s="196"/>
      <c r="J547" s="196"/>
      <c r="K547" s="196"/>
      <c r="L547" s="200">
        <v>547</v>
      </c>
      <c r="M547" s="200">
        <v>3</v>
      </c>
      <c r="N547" s="200">
        <v>23</v>
      </c>
    </row>
    <row r="548" spans="1:14" x14ac:dyDescent="0.25">
      <c r="A548" s="198" t="s">
        <v>32</v>
      </c>
      <c r="B548" s="198" t="s">
        <v>8286</v>
      </c>
      <c r="C548" s="198"/>
      <c r="D548" s="196">
        <v>2</v>
      </c>
      <c r="E548" s="196"/>
      <c r="F548" s="196">
        <v>0.161</v>
      </c>
      <c r="G548" s="196">
        <v>166.9</v>
      </c>
      <c r="H548" s="196"/>
      <c r="I548" s="196"/>
      <c r="J548" s="196"/>
      <c r="K548" s="196"/>
      <c r="L548" s="200">
        <v>548</v>
      </c>
      <c r="M548" s="200">
        <v>3</v>
      </c>
      <c r="N548" s="200">
        <v>23</v>
      </c>
    </row>
    <row r="549" spans="1:14" x14ac:dyDescent="0.25">
      <c r="A549" s="198" t="s">
        <v>32</v>
      </c>
      <c r="B549" s="198" t="s">
        <v>7729</v>
      </c>
      <c r="C549" s="198"/>
      <c r="D549" s="196">
        <v>2</v>
      </c>
      <c r="E549" s="196"/>
      <c r="F549" s="196">
        <v>0.313</v>
      </c>
      <c r="G549" s="196">
        <v>162</v>
      </c>
      <c r="H549" s="196"/>
      <c r="I549" s="196"/>
      <c r="J549" s="196"/>
      <c r="K549" s="196"/>
      <c r="L549" s="200">
        <v>549</v>
      </c>
      <c r="M549" s="200">
        <v>3</v>
      </c>
      <c r="N549" s="200">
        <v>23</v>
      </c>
    </row>
    <row r="550" spans="1:14" x14ac:dyDescent="0.25">
      <c r="A550" s="198" t="s">
        <v>32</v>
      </c>
      <c r="B550" s="198" t="s">
        <v>8292</v>
      </c>
      <c r="C550" s="198"/>
      <c r="D550" s="196">
        <v>2</v>
      </c>
      <c r="E550" s="196"/>
      <c r="F550" s="196">
        <v>0.40400000000000003</v>
      </c>
      <c r="G550" s="196">
        <v>149.9</v>
      </c>
      <c r="H550" s="196"/>
      <c r="I550" s="196"/>
      <c r="J550" s="196"/>
      <c r="K550" s="196"/>
      <c r="L550" s="200">
        <v>550</v>
      </c>
      <c r="M550" s="200">
        <v>3</v>
      </c>
      <c r="N550" s="200">
        <v>23</v>
      </c>
    </row>
    <row r="551" spans="1:14" x14ac:dyDescent="0.25">
      <c r="A551" s="198" t="s">
        <v>32</v>
      </c>
      <c r="B551" s="198" t="s">
        <v>8293</v>
      </c>
      <c r="C551" s="198"/>
      <c r="D551" s="196">
        <v>2</v>
      </c>
      <c r="E551" s="196"/>
      <c r="F551" s="196">
        <v>2.1999999999999999E-2</v>
      </c>
      <c r="G551" s="196">
        <v>169.7</v>
      </c>
      <c r="H551" s="196"/>
      <c r="I551" s="196"/>
      <c r="J551" s="196"/>
      <c r="K551" s="196"/>
      <c r="L551" s="200">
        <v>551</v>
      </c>
      <c r="M551" s="200">
        <v>3</v>
      </c>
      <c r="N551" s="200">
        <v>23</v>
      </c>
    </row>
    <row r="552" spans="1:14" x14ac:dyDescent="0.25">
      <c r="A552" s="198" t="s">
        <v>32</v>
      </c>
      <c r="B552" s="198" t="s">
        <v>8294</v>
      </c>
      <c r="C552" s="198"/>
      <c r="D552" s="196">
        <v>2</v>
      </c>
      <c r="E552" s="196"/>
      <c r="F552" s="196">
        <v>0.14099999999999999</v>
      </c>
      <c r="G552" s="196">
        <v>172.2</v>
      </c>
      <c r="H552" s="196"/>
      <c r="I552" s="196"/>
      <c r="J552" s="196"/>
      <c r="K552" s="196"/>
      <c r="L552" s="200">
        <v>552</v>
      </c>
      <c r="M552" s="200">
        <v>3</v>
      </c>
      <c r="N552" s="200">
        <v>23</v>
      </c>
    </row>
    <row r="553" spans="1:14" x14ac:dyDescent="0.25">
      <c r="A553" s="198" t="s">
        <v>32</v>
      </c>
      <c r="B553" s="198" t="s">
        <v>7731</v>
      </c>
      <c r="C553" s="198"/>
      <c r="D553" s="196">
        <v>2</v>
      </c>
      <c r="E553" s="196"/>
      <c r="F553" s="196">
        <v>0.36</v>
      </c>
      <c r="G553" s="196">
        <v>159.30000000000001</v>
      </c>
      <c r="H553" s="196"/>
      <c r="I553" s="196"/>
      <c r="J553" s="196"/>
      <c r="K553" s="196"/>
      <c r="L553" s="200">
        <v>553</v>
      </c>
      <c r="M553" s="200">
        <v>3</v>
      </c>
      <c r="N553" s="200">
        <v>23</v>
      </c>
    </row>
    <row r="554" spans="1:14" x14ac:dyDescent="0.25">
      <c r="A554" s="198" t="s">
        <v>32</v>
      </c>
      <c r="B554" s="198" t="s">
        <v>7734</v>
      </c>
      <c r="C554" s="198"/>
      <c r="D554" s="196">
        <v>2</v>
      </c>
      <c r="E554" s="196"/>
      <c r="F554" s="196">
        <v>0.23200000000000001</v>
      </c>
      <c r="G554" s="196">
        <v>174.2</v>
      </c>
      <c r="H554" s="196"/>
      <c r="I554" s="196"/>
      <c r="J554" s="196"/>
      <c r="K554" s="196"/>
      <c r="L554" s="200">
        <v>554</v>
      </c>
      <c r="M554" s="200">
        <v>3</v>
      </c>
      <c r="N554" s="200">
        <v>23</v>
      </c>
    </row>
    <row r="555" spans="1:14" x14ac:dyDescent="0.25">
      <c r="A555" s="198" t="s">
        <v>32</v>
      </c>
      <c r="B555" s="198" t="s">
        <v>7737</v>
      </c>
      <c r="C555" s="198"/>
      <c r="D555" s="196">
        <v>2</v>
      </c>
      <c r="E555" s="196"/>
      <c r="F555" s="196">
        <v>0.311</v>
      </c>
      <c r="G555" s="196">
        <v>172.8</v>
      </c>
      <c r="H555" s="196"/>
      <c r="I555" s="196"/>
      <c r="J555" s="196"/>
      <c r="K555" s="196"/>
      <c r="L555" s="200">
        <v>555</v>
      </c>
      <c r="M555" s="200">
        <v>3</v>
      </c>
      <c r="N555" s="200">
        <v>23</v>
      </c>
    </row>
    <row r="556" spans="1:14" x14ac:dyDescent="0.25">
      <c r="A556" s="198" t="s">
        <v>32</v>
      </c>
      <c r="B556" s="198" t="s">
        <v>1923</v>
      </c>
      <c r="C556" s="198"/>
      <c r="D556" s="196">
        <v>4</v>
      </c>
      <c r="E556" s="196"/>
      <c r="F556" s="196">
        <v>0.46100000000000002</v>
      </c>
      <c r="G556" s="196">
        <v>136.30000000000001</v>
      </c>
      <c r="H556" s="196"/>
      <c r="I556" s="196"/>
      <c r="J556" s="196"/>
      <c r="K556" s="196"/>
      <c r="L556" s="200">
        <v>556</v>
      </c>
      <c r="M556" s="200">
        <v>1</v>
      </c>
      <c r="N556" s="200">
        <v>23</v>
      </c>
    </row>
    <row r="557" spans="1:14" x14ac:dyDescent="0.25">
      <c r="A557" s="198" t="s">
        <v>32</v>
      </c>
      <c r="B557" s="198" t="s">
        <v>7740</v>
      </c>
      <c r="C557" s="198"/>
      <c r="D557" s="196">
        <v>2</v>
      </c>
      <c r="E557" s="196"/>
      <c r="F557" s="196">
        <v>0.433</v>
      </c>
      <c r="G557" s="196">
        <v>159.5</v>
      </c>
      <c r="H557" s="196"/>
      <c r="I557" s="196"/>
      <c r="J557" s="196"/>
      <c r="K557" s="196"/>
      <c r="L557" s="200">
        <v>557</v>
      </c>
      <c r="M557" s="200">
        <v>3</v>
      </c>
      <c r="N557" s="200">
        <v>23</v>
      </c>
    </row>
    <row r="558" spans="1:14" x14ac:dyDescent="0.25">
      <c r="A558" s="198" t="s">
        <v>32</v>
      </c>
      <c r="B558" s="198" t="s">
        <v>7746</v>
      </c>
      <c r="C558" s="198"/>
      <c r="D558" s="196">
        <v>2</v>
      </c>
      <c r="E558" s="196"/>
      <c r="F558" s="196">
        <v>0.25700000000000001</v>
      </c>
      <c r="G558" s="196">
        <v>177.4</v>
      </c>
      <c r="H558" s="196"/>
      <c r="I558" s="196"/>
      <c r="J558" s="196"/>
      <c r="K558" s="196"/>
      <c r="L558" s="200">
        <v>558</v>
      </c>
      <c r="M558" s="200">
        <v>1</v>
      </c>
      <c r="N558" s="200">
        <v>23</v>
      </c>
    </row>
    <row r="559" spans="1:14" x14ac:dyDescent="0.25">
      <c r="A559" s="198" t="s">
        <v>32</v>
      </c>
      <c r="B559" s="198" t="s">
        <v>1917</v>
      </c>
      <c r="C559" s="198"/>
      <c r="D559" s="196">
        <v>2</v>
      </c>
      <c r="E559" s="196"/>
      <c r="F559" s="196">
        <v>0.20599999999999999</v>
      </c>
      <c r="G559" s="196">
        <v>158</v>
      </c>
      <c r="H559" s="196"/>
      <c r="I559" s="196"/>
      <c r="J559" s="196"/>
      <c r="K559" s="196"/>
      <c r="L559" s="200">
        <v>559</v>
      </c>
      <c r="M559" s="200">
        <v>1</v>
      </c>
      <c r="N559" s="200">
        <v>23</v>
      </c>
    </row>
    <row r="560" spans="1:14" x14ac:dyDescent="0.25">
      <c r="A560" s="198" t="s">
        <v>32</v>
      </c>
      <c r="B560" s="198" t="s">
        <v>7755</v>
      </c>
      <c r="C560" s="198"/>
      <c r="D560" s="196">
        <v>2</v>
      </c>
      <c r="E560" s="196"/>
      <c r="F560" s="196">
        <v>0.113</v>
      </c>
      <c r="G560" s="196">
        <v>157.5</v>
      </c>
      <c r="H560" s="196"/>
      <c r="I560" s="196"/>
      <c r="J560" s="196"/>
      <c r="K560" s="196"/>
      <c r="L560" s="200">
        <v>560</v>
      </c>
      <c r="M560" s="200">
        <v>1</v>
      </c>
      <c r="N560" s="200">
        <v>23</v>
      </c>
    </row>
    <row r="561" spans="1:14" x14ac:dyDescent="0.25">
      <c r="A561" s="198" t="s">
        <v>32</v>
      </c>
      <c r="B561" s="198" t="s">
        <v>8299</v>
      </c>
      <c r="C561" s="198"/>
      <c r="D561" s="196">
        <v>1</v>
      </c>
      <c r="E561" s="196"/>
      <c r="F561" s="196">
        <v>3.6999999999999998E-2</v>
      </c>
      <c r="G561" s="196">
        <v>169.8</v>
      </c>
      <c r="H561" s="196"/>
      <c r="I561" s="196"/>
      <c r="J561" s="196"/>
      <c r="K561" s="196"/>
      <c r="L561" s="200">
        <v>561</v>
      </c>
      <c r="M561" s="200">
        <v>3</v>
      </c>
      <c r="N561" s="200">
        <v>23</v>
      </c>
    </row>
    <row r="562" spans="1:14" x14ac:dyDescent="0.25">
      <c r="A562" s="198" t="s">
        <v>32</v>
      </c>
      <c r="B562" s="198" t="s">
        <v>1920</v>
      </c>
      <c r="C562" s="198"/>
      <c r="D562" s="196">
        <v>4</v>
      </c>
      <c r="E562" s="196"/>
      <c r="F562" s="196">
        <v>0.47</v>
      </c>
      <c r="G562" s="196">
        <v>175</v>
      </c>
      <c r="H562" s="196"/>
      <c r="I562" s="196"/>
      <c r="J562" s="196"/>
      <c r="K562" s="196"/>
      <c r="L562" s="200">
        <v>562</v>
      </c>
      <c r="M562" s="200">
        <v>1</v>
      </c>
      <c r="N562" s="200">
        <v>23</v>
      </c>
    </row>
    <row r="563" spans="1:14" x14ac:dyDescent="0.25">
      <c r="A563" s="198" t="s">
        <v>32</v>
      </c>
      <c r="B563" s="198" t="s">
        <v>7743</v>
      </c>
      <c r="C563" s="198"/>
      <c r="D563" s="196">
        <v>2</v>
      </c>
      <c r="E563" s="196"/>
      <c r="F563" s="196">
        <v>0.249</v>
      </c>
      <c r="G563" s="196">
        <v>177.2</v>
      </c>
      <c r="H563" s="196"/>
      <c r="I563" s="196"/>
      <c r="J563" s="196"/>
      <c r="K563" s="196"/>
      <c r="L563" s="200">
        <v>563</v>
      </c>
      <c r="M563" s="200">
        <v>3</v>
      </c>
      <c r="N563" s="200">
        <v>23</v>
      </c>
    </row>
    <row r="564" spans="1:14" x14ac:dyDescent="0.25">
      <c r="A564" s="198" t="s">
        <v>32</v>
      </c>
      <c r="B564" s="198" t="s">
        <v>7761</v>
      </c>
      <c r="C564" s="198"/>
      <c r="D564" s="196">
        <v>2</v>
      </c>
      <c r="E564" s="196"/>
      <c r="F564" s="196">
        <v>0.45700000000000002</v>
      </c>
      <c r="G564" s="196">
        <v>173.3</v>
      </c>
      <c r="H564" s="196"/>
      <c r="I564" s="196"/>
      <c r="J564" s="196"/>
      <c r="K564" s="196"/>
      <c r="L564" s="200">
        <v>564</v>
      </c>
      <c r="M564" s="200">
        <v>1</v>
      </c>
      <c r="N564" s="200">
        <v>23</v>
      </c>
    </row>
    <row r="565" spans="1:14" x14ac:dyDescent="0.25">
      <c r="A565" s="198" t="s">
        <v>32</v>
      </c>
      <c r="B565" s="198" t="s">
        <v>8301</v>
      </c>
      <c r="C565" s="198"/>
      <c r="D565" s="196">
        <v>2</v>
      </c>
      <c r="E565" s="196"/>
      <c r="F565" s="196">
        <v>0.23</v>
      </c>
      <c r="G565" s="196">
        <v>159.6</v>
      </c>
      <c r="H565" s="196"/>
      <c r="I565" s="196"/>
      <c r="J565" s="196"/>
      <c r="K565" s="196"/>
      <c r="L565" s="200">
        <v>565</v>
      </c>
      <c r="M565" s="200">
        <v>3</v>
      </c>
      <c r="N565" s="200">
        <v>23</v>
      </c>
    </row>
    <row r="566" spans="1:14" x14ac:dyDescent="0.25">
      <c r="A566" s="198" t="s">
        <v>32</v>
      </c>
      <c r="B566" s="198" t="s">
        <v>7749</v>
      </c>
      <c r="C566" s="198"/>
      <c r="D566" s="196">
        <v>2</v>
      </c>
      <c r="E566" s="196"/>
      <c r="F566" s="196">
        <v>0.51300000000000001</v>
      </c>
      <c r="G566" s="196">
        <v>144.6</v>
      </c>
      <c r="H566" s="196"/>
      <c r="I566" s="196"/>
      <c r="J566" s="196"/>
      <c r="K566" s="196"/>
      <c r="L566" s="200">
        <v>566</v>
      </c>
      <c r="M566" s="200">
        <v>3</v>
      </c>
      <c r="N566" s="200">
        <v>23</v>
      </c>
    </row>
    <row r="567" spans="1:14" x14ac:dyDescent="0.25">
      <c r="A567" s="198" t="s">
        <v>32</v>
      </c>
      <c r="B567" s="198" t="s">
        <v>7752</v>
      </c>
      <c r="C567" s="198"/>
      <c r="D567" s="196">
        <v>2</v>
      </c>
      <c r="E567" s="196"/>
      <c r="F567" s="196">
        <v>0.248</v>
      </c>
      <c r="G567" s="196">
        <v>163.9</v>
      </c>
      <c r="H567" s="196"/>
      <c r="I567" s="196"/>
      <c r="J567" s="196"/>
      <c r="K567" s="196"/>
      <c r="L567" s="200">
        <v>567</v>
      </c>
      <c r="M567" s="200">
        <v>3</v>
      </c>
      <c r="N567" s="200">
        <v>23</v>
      </c>
    </row>
    <row r="568" spans="1:14" x14ac:dyDescent="0.25">
      <c r="A568" s="198" t="s">
        <v>32</v>
      </c>
      <c r="B568" s="198" t="s">
        <v>8304</v>
      </c>
      <c r="C568" s="198"/>
      <c r="D568" s="196">
        <v>2</v>
      </c>
      <c r="E568" s="196"/>
      <c r="F568" s="196">
        <v>0.182</v>
      </c>
      <c r="G568" s="196">
        <v>163</v>
      </c>
      <c r="H568" s="196"/>
      <c r="I568" s="196"/>
      <c r="J568" s="196"/>
      <c r="K568" s="196"/>
      <c r="L568" s="200">
        <v>568</v>
      </c>
      <c r="M568" s="200">
        <v>3</v>
      </c>
      <c r="N568" s="200">
        <v>23</v>
      </c>
    </row>
    <row r="569" spans="1:14" x14ac:dyDescent="0.25">
      <c r="A569" s="198" t="s">
        <v>32</v>
      </c>
      <c r="B569" s="198" t="s">
        <v>1926</v>
      </c>
      <c r="C569" s="198"/>
      <c r="D569" s="196">
        <v>2</v>
      </c>
      <c r="E569" s="196"/>
      <c r="F569" s="196">
        <v>0.252</v>
      </c>
      <c r="G569" s="196">
        <v>166.7</v>
      </c>
      <c r="H569" s="196"/>
      <c r="I569" s="196"/>
      <c r="J569" s="196"/>
      <c r="K569" s="196"/>
      <c r="L569" s="200">
        <v>569</v>
      </c>
      <c r="M569" s="200">
        <v>1</v>
      </c>
      <c r="N569" s="200">
        <v>23</v>
      </c>
    </row>
    <row r="570" spans="1:14" x14ac:dyDescent="0.25">
      <c r="A570" s="198" t="s">
        <v>32</v>
      </c>
      <c r="B570" s="198" t="s">
        <v>8306</v>
      </c>
      <c r="C570" s="198"/>
      <c r="D570" s="196">
        <v>2</v>
      </c>
      <c r="E570" s="196"/>
      <c r="F570" s="196">
        <v>0.316</v>
      </c>
      <c r="G570" s="196">
        <v>171.8</v>
      </c>
      <c r="H570" s="196"/>
      <c r="I570" s="196"/>
      <c r="J570" s="196"/>
      <c r="K570" s="196"/>
      <c r="L570" s="200">
        <v>570</v>
      </c>
      <c r="M570" s="200">
        <v>3</v>
      </c>
      <c r="N570" s="200">
        <v>23</v>
      </c>
    </row>
    <row r="571" spans="1:14" x14ac:dyDescent="0.25">
      <c r="A571" s="198" t="s">
        <v>32</v>
      </c>
      <c r="B571" s="198" t="s">
        <v>8307</v>
      </c>
      <c r="C571" s="198"/>
      <c r="D571" s="196">
        <v>2</v>
      </c>
      <c r="E571" s="196"/>
      <c r="F571" s="196">
        <v>0.56999999999999995</v>
      </c>
      <c r="G571" s="196">
        <v>168.4</v>
      </c>
      <c r="H571" s="196"/>
      <c r="I571" s="196"/>
      <c r="J571" s="196"/>
      <c r="K571" s="196"/>
      <c r="L571" s="200">
        <v>571</v>
      </c>
      <c r="M571" s="200">
        <v>3</v>
      </c>
      <c r="N571" s="200">
        <v>23</v>
      </c>
    </row>
    <row r="572" spans="1:14" x14ac:dyDescent="0.25">
      <c r="A572" s="198" t="s">
        <v>32</v>
      </c>
      <c r="B572" s="198" t="s">
        <v>8308</v>
      </c>
      <c r="C572" s="198"/>
      <c r="D572" s="196">
        <v>2</v>
      </c>
      <c r="E572" s="196"/>
      <c r="F572" s="196">
        <v>0.124</v>
      </c>
      <c r="G572" s="196">
        <v>164.8</v>
      </c>
      <c r="H572" s="196"/>
      <c r="I572" s="196"/>
      <c r="J572" s="196"/>
      <c r="K572" s="196"/>
      <c r="L572" s="200">
        <v>572</v>
      </c>
      <c r="M572" s="200">
        <v>3</v>
      </c>
      <c r="N572" s="200">
        <v>23</v>
      </c>
    </row>
    <row r="573" spans="1:14" x14ac:dyDescent="0.25">
      <c r="A573" s="198" t="s">
        <v>32</v>
      </c>
      <c r="B573" s="198" t="s">
        <v>7758</v>
      </c>
      <c r="C573" s="198"/>
      <c r="D573" s="196">
        <v>2</v>
      </c>
      <c r="E573" s="196"/>
      <c r="F573" s="196">
        <v>0.47499999999999998</v>
      </c>
      <c r="G573" s="196">
        <v>167.1</v>
      </c>
      <c r="H573" s="196"/>
      <c r="I573" s="196"/>
      <c r="J573" s="196"/>
      <c r="K573" s="196"/>
      <c r="L573" s="200">
        <v>573</v>
      </c>
      <c r="M573" s="200">
        <v>3</v>
      </c>
      <c r="N573" s="200">
        <v>23</v>
      </c>
    </row>
    <row r="574" spans="1:14" x14ac:dyDescent="0.25">
      <c r="A574" s="198" t="s">
        <v>32</v>
      </c>
      <c r="B574" s="198" t="s">
        <v>7763</v>
      </c>
      <c r="C574" s="198"/>
      <c r="D574" s="196">
        <v>2</v>
      </c>
      <c r="E574" s="196"/>
      <c r="F574" s="196">
        <v>0.318</v>
      </c>
      <c r="G574" s="196">
        <v>177.3</v>
      </c>
      <c r="H574" s="196"/>
      <c r="I574" s="196"/>
      <c r="J574" s="196"/>
      <c r="K574" s="196"/>
      <c r="L574" s="200">
        <v>574</v>
      </c>
      <c r="M574" s="200">
        <v>3</v>
      </c>
      <c r="N574" s="200">
        <v>23</v>
      </c>
    </row>
    <row r="575" spans="1:14" x14ac:dyDescent="0.25">
      <c r="A575" s="198" t="s">
        <v>32</v>
      </c>
      <c r="B575" s="198" t="s">
        <v>8313</v>
      </c>
      <c r="C575" s="198"/>
      <c r="D575" s="196">
        <v>2</v>
      </c>
      <c r="E575" s="196"/>
      <c r="F575" s="196">
        <v>0.46600000000000003</v>
      </c>
      <c r="G575" s="196">
        <v>168.4</v>
      </c>
      <c r="H575" s="196"/>
      <c r="I575" s="196"/>
      <c r="J575" s="196"/>
      <c r="K575" s="196"/>
      <c r="L575" s="200">
        <v>575</v>
      </c>
      <c r="M575" s="200">
        <v>3</v>
      </c>
      <c r="N575" s="200">
        <v>23</v>
      </c>
    </row>
    <row r="576" spans="1:14" x14ac:dyDescent="0.25">
      <c r="A576" s="198" t="s">
        <v>32</v>
      </c>
      <c r="B576" s="198" t="s">
        <v>7766</v>
      </c>
      <c r="C576" s="198"/>
      <c r="D576" s="196">
        <v>2</v>
      </c>
      <c r="E576" s="196"/>
      <c r="F576" s="196">
        <v>0.06</v>
      </c>
      <c r="G576" s="196">
        <v>166.7</v>
      </c>
      <c r="H576" s="196"/>
      <c r="I576" s="196"/>
      <c r="J576" s="196"/>
      <c r="K576" s="196"/>
      <c r="L576" s="200">
        <v>576</v>
      </c>
      <c r="M576" s="200">
        <v>3</v>
      </c>
      <c r="N576" s="200">
        <v>23</v>
      </c>
    </row>
    <row r="577" spans="1:14" x14ac:dyDescent="0.25">
      <c r="A577" s="198" t="s">
        <v>32</v>
      </c>
      <c r="B577" s="198" t="s">
        <v>8315</v>
      </c>
      <c r="C577" s="198"/>
      <c r="D577" s="196">
        <v>2</v>
      </c>
      <c r="E577" s="196"/>
      <c r="F577" s="196">
        <v>0.34200000000000003</v>
      </c>
      <c r="G577" s="196">
        <v>169.6</v>
      </c>
      <c r="H577" s="196"/>
      <c r="I577" s="196"/>
      <c r="J577" s="196"/>
      <c r="K577" s="196"/>
      <c r="L577" s="200">
        <v>577</v>
      </c>
      <c r="M577" s="200">
        <v>3</v>
      </c>
      <c r="N577" s="200">
        <v>23</v>
      </c>
    </row>
    <row r="578" spans="1:14" x14ac:dyDescent="0.25">
      <c r="A578" s="198" t="s">
        <v>32</v>
      </c>
      <c r="B578" s="198" t="s">
        <v>7771</v>
      </c>
      <c r="C578" s="198"/>
      <c r="D578" s="196">
        <v>2</v>
      </c>
      <c r="E578" s="196"/>
      <c r="F578" s="196">
        <v>0.25700000000000001</v>
      </c>
      <c r="G578" s="196">
        <v>157.80000000000001</v>
      </c>
      <c r="H578" s="196"/>
      <c r="I578" s="196"/>
      <c r="J578" s="196"/>
      <c r="K578" s="196"/>
      <c r="L578" s="200">
        <v>578</v>
      </c>
      <c r="M578" s="200">
        <v>3</v>
      </c>
      <c r="N578" s="200">
        <v>23</v>
      </c>
    </row>
    <row r="579" spans="1:14" x14ac:dyDescent="0.25">
      <c r="A579" s="198" t="s">
        <v>32</v>
      </c>
      <c r="B579" s="198" t="s">
        <v>7774</v>
      </c>
      <c r="C579" s="198"/>
      <c r="D579" s="196">
        <v>2</v>
      </c>
      <c r="E579" s="196"/>
      <c r="F579" s="196">
        <v>0.48</v>
      </c>
      <c r="G579" s="196">
        <v>166.9</v>
      </c>
      <c r="H579" s="196"/>
      <c r="I579" s="196"/>
      <c r="J579" s="196"/>
      <c r="K579" s="196"/>
      <c r="L579" s="200">
        <v>579</v>
      </c>
      <c r="M579" s="200">
        <v>3</v>
      </c>
      <c r="N579" s="200">
        <v>23</v>
      </c>
    </row>
    <row r="580" spans="1:14" x14ac:dyDescent="0.25">
      <c r="A580" s="198" t="s">
        <v>32</v>
      </c>
      <c r="B580" s="198" t="s">
        <v>8318</v>
      </c>
      <c r="C580" s="198"/>
      <c r="D580" s="196">
        <v>2</v>
      </c>
      <c r="E580" s="196"/>
      <c r="F580" s="196">
        <v>0.27300000000000002</v>
      </c>
      <c r="G580" s="196">
        <v>163.19999999999999</v>
      </c>
      <c r="H580" s="196"/>
      <c r="I580" s="196"/>
      <c r="J580" s="196"/>
      <c r="K580" s="196"/>
      <c r="L580" s="200">
        <v>580</v>
      </c>
      <c r="M580" s="200">
        <v>3</v>
      </c>
      <c r="N580" s="200">
        <v>23</v>
      </c>
    </row>
    <row r="581" spans="1:14" x14ac:dyDescent="0.25">
      <c r="A581" s="198" t="s">
        <v>32</v>
      </c>
      <c r="B581" s="198" t="s">
        <v>8319</v>
      </c>
      <c r="C581" s="198"/>
      <c r="D581" s="196">
        <v>2</v>
      </c>
      <c r="E581" s="196"/>
      <c r="F581" s="196">
        <v>0.27900000000000003</v>
      </c>
      <c r="G581" s="196">
        <v>172.1</v>
      </c>
      <c r="H581" s="196"/>
      <c r="I581" s="196"/>
      <c r="J581" s="196"/>
      <c r="K581" s="196"/>
      <c r="L581" s="200">
        <v>581</v>
      </c>
      <c r="M581" s="200">
        <v>3</v>
      </c>
      <c r="N581" s="200">
        <v>23</v>
      </c>
    </row>
    <row r="582" spans="1:14" x14ac:dyDescent="0.25">
      <c r="A582" s="198" t="s">
        <v>32</v>
      </c>
      <c r="B582" s="198" t="s">
        <v>7776</v>
      </c>
      <c r="C582" s="198"/>
      <c r="D582" s="196">
        <v>2</v>
      </c>
      <c r="E582" s="196"/>
      <c r="F582" s="196">
        <v>0.58799999999999997</v>
      </c>
      <c r="G582" s="196">
        <v>169.5</v>
      </c>
      <c r="H582" s="196"/>
      <c r="I582" s="196"/>
      <c r="J582" s="196"/>
      <c r="K582" s="196"/>
      <c r="L582" s="200">
        <v>582</v>
      </c>
      <c r="M582" s="200">
        <v>3</v>
      </c>
      <c r="N582" s="200">
        <v>23</v>
      </c>
    </row>
    <row r="583" spans="1:14" x14ac:dyDescent="0.25">
      <c r="A583" s="198" t="s">
        <v>32</v>
      </c>
      <c r="B583" s="198" t="s">
        <v>1932</v>
      </c>
      <c r="C583" s="198"/>
      <c r="D583" s="196">
        <v>2</v>
      </c>
      <c r="E583" s="196"/>
      <c r="F583" s="196">
        <v>0.434</v>
      </c>
      <c r="G583" s="196">
        <v>151.69999999999999</v>
      </c>
      <c r="H583" s="196"/>
      <c r="I583" s="196"/>
      <c r="J583" s="196"/>
      <c r="K583" s="196"/>
      <c r="L583" s="200">
        <v>583</v>
      </c>
      <c r="M583" s="200">
        <v>3</v>
      </c>
      <c r="N583" s="200">
        <v>23</v>
      </c>
    </row>
    <row r="584" spans="1:14" x14ac:dyDescent="0.25">
      <c r="A584" s="198" t="s">
        <v>32</v>
      </c>
      <c r="B584" s="198" t="s">
        <v>7779</v>
      </c>
      <c r="C584" s="198"/>
      <c r="D584" s="196">
        <v>2</v>
      </c>
      <c r="E584" s="196"/>
      <c r="F584" s="196">
        <v>0.39900000000000002</v>
      </c>
      <c r="G584" s="196">
        <v>177.7</v>
      </c>
      <c r="H584" s="196"/>
      <c r="I584" s="196"/>
      <c r="J584" s="196"/>
      <c r="K584" s="196"/>
      <c r="L584" s="200">
        <v>584</v>
      </c>
      <c r="M584" s="200">
        <v>1</v>
      </c>
      <c r="N584" s="200">
        <v>23</v>
      </c>
    </row>
    <row r="585" spans="1:14" x14ac:dyDescent="0.25">
      <c r="A585" s="198" t="s">
        <v>32</v>
      </c>
      <c r="B585" s="198" t="s">
        <v>1929</v>
      </c>
      <c r="C585" s="198"/>
      <c r="D585" s="196">
        <v>3</v>
      </c>
      <c r="E585" s="196"/>
      <c r="F585" s="196">
        <v>0.57399999999999995</v>
      </c>
      <c r="G585" s="196">
        <v>165.05</v>
      </c>
      <c r="H585" s="196"/>
      <c r="I585" s="196"/>
      <c r="J585" s="196"/>
      <c r="K585" s="196"/>
      <c r="L585" s="200">
        <v>585</v>
      </c>
      <c r="M585" s="200">
        <v>3</v>
      </c>
      <c r="N585" s="200">
        <v>23</v>
      </c>
    </row>
    <row r="586" spans="1:14" x14ac:dyDescent="0.25">
      <c r="A586" s="198" t="s">
        <v>32</v>
      </c>
      <c r="B586" s="198" t="s">
        <v>7768</v>
      </c>
      <c r="C586" s="198"/>
      <c r="D586" s="196">
        <v>2</v>
      </c>
      <c r="E586" s="196"/>
      <c r="F586" s="196">
        <v>0.26200000000000001</v>
      </c>
      <c r="G586" s="196">
        <v>159</v>
      </c>
      <c r="H586" s="196"/>
      <c r="I586" s="196"/>
      <c r="J586" s="196"/>
      <c r="K586" s="196"/>
      <c r="L586" s="200">
        <v>586</v>
      </c>
      <c r="M586" s="200">
        <v>1</v>
      </c>
      <c r="N586" s="200">
        <v>23</v>
      </c>
    </row>
    <row r="587" spans="1:14" x14ac:dyDescent="0.25">
      <c r="A587" s="198" t="s">
        <v>32</v>
      </c>
      <c r="B587" s="198" t="s">
        <v>8325</v>
      </c>
      <c r="C587" s="198"/>
      <c r="D587" s="196">
        <v>2</v>
      </c>
      <c r="E587" s="196"/>
      <c r="F587" s="196">
        <v>0.66500000000000004</v>
      </c>
      <c r="G587" s="196">
        <v>155.80000000000001</v>
      </c>
      <c r="H587" s="196"/>
      <c r="I587" s="196"/>
      <c r="J587" s="196"/>
      <c r="K587" s="196"/>
      <c r="L587" s="200">
        <v>587</v>
      </c>
      <c r="M587" s="200">
        <v>3</v>
      </c>
      <c r="N587" s="200">
        <v>23</v>
      </c>
    </row>
    <row r="588" spans="1:14" x14ac:dyDescent="0.25">
      <c r="A588" s="198" t="s">
        <v>32</v>
      </c>
      <c r="B588" s="198" t="s">
        <v>7782</v>
      </c>
      <c r="C588" s="198"/>
      <c r="D588" s="196">
        <v>2</v>
      </c>
      <c r="E588" s="196"/>
      <c r="F588" s="196">
        <v>0.20399999999999999</v>
      </c>
      <c r="G588" s="196">
        <v>164.1</v>
      </c>
      <c r="H588" s="196"/>
      <c r="I588" s="196"/>
      <c r="J588" s="196"/>
      <c r="K588" s="196"/>
      <c r="L588" s="200">
        <v>588</v>
      </c>
      <c r="M588" s="200">
        <v>3</v>
      </c>
      <c r="N588" s="200">
        <v>23</v>
      </c>
    </row>
    <row r="589" spans="1:14" x14ac:dyDescent="0.25">
      <c r="A589" s="198" t="s">
        <v>32</v>
      </c>
      <c r="B589" s="198" t="s">
        <v>8328</v>
      </c>
      <c r="C589" s="198"/>
      <c r="D589" s="196">
        <v>2</v>
      </c>
      <c r="E589" s="196"/>
      <c r="F589" s="196">
        <v>2.5999999999999999E-2</v>
      </c>
      <c r="G589" s="196">
        <v>171.7</v>
      </c>
      <c r="H589" s="196"/>
      <c r="I589" s="196"/>
      <c r="J589" s="196"/>
      <c r="K589" s="196"/>
      <c r="L589" s="200">
        <v>589</v>
      </c>
      <c r="M589" s="200">
        <v>3</v>
      </c>
      <c r="N589" s="200">
        <v>23</v>
      </c>
    </row>
    <row r="590" spans="1:14" x14ac:dyDescent="0.25">
      <c r="A590" s="198" t="s">
        <v>32</v>
      </c>
      <c r="B590" s="198" t="s">
        <v>8329</v>
      </c>
      <c r="C590" s="198"/>
      <c r="D590" s="196">
        <v>2</v>
      </c>
      <c r="E590" s="196"/>
      <c r="F590" s="196">
        <v>0.60099999999999998</v>
      </c>
      <c r="G590" s="196">
        <v>154.19999999999999</v>
      </c>
      <c r="H590" s="196"/>
      <c r="I590" s="196"/>
      <c r="J590" s="196"/>
      <c r="K590" s="196"/>
      <c r="L590" s="200">
        <v>590</v>
      </c>
      <c r="M590" s="200">
        <v>3</v>
      </c>
      <c r="N590" s="200">
        <v>23</v>
      </c>
    </row>
    <row r="591" spans="1:14" x14ac:dyDescent="0.25">
      <c r="A591" s="198" t="s">
        <v>32</v>
      </c>
      <c r="B591" s="198" t="s">
        <v>1934</v>
      </c>
      <c r="C591" s="198"/>
      <c r="D591" s="196">
        <v>2</v>
      </c>
      <c r="E591" s="196"/>
      <c r="F591" s="196">
        <v>0.13300000000000001</v>
      </c>
      <c r="G591" s="196">
        <v>170</v>
      </c>
      <c r="H591" s="196"/>
      <c r="I591" s="196"/>
      <c r="J591" s="196"/>
      <c r="K591" s="196"/>
      <c r="L591" s="200">
        <v>591</v>
      </c>
      <c r="M591" s="200">
        <v>3</v>
      </c>
      <c r="N591" s="200">
        <v>23</v>
      </c>
    </row>
    <row r="592" spans="1:14" x14ac:dyDescent="0.25">
      <c r="A592" s="198" t="s">
        <v>32</v>
      </c>
      <c r="B592" s="198" t="s">
        <v>7784</v>
      </c>
      <c r="C592" s="198"/>
      <c r="D592" s="196">
        <v>2</v>
      </c>
      <c r="E592" s="196"/>
      <c r="F592" s="196">
        <v>0.11700000000000001</v>
      </c>
      <c r="G592" s="196">
        <v>161.1</v>
      </c>
      <c r="H592" s="196"/>
      <c r="I592" s="196"/>
      <c r="J592" s="196"/>
      <c r="K592" s="196"/>
      <c r="L592" s="200">
        <v>592</v>
      </c>
      <c r="M592" s="200">
        <v>3</v>
      </c>
      <c r="N592" s="200">
        <v>23</v>
      </c>
    </row>
    <row r="593" spans="1:14" x14ac:dyDescent="0.25">
      <c r="A593" s="198" t="s">
        <v>32</v>
      </c>
      <c r="B593" s="198" t="s">
        <v>8334</v>
      </c>
      <c r="C593" s="198"/>
      <c r="D593" s="196">
        <v>2</v>
      </c>
      <c r="E593" s="196"/>
      <c r="F593" s="196">
        <v>0.255</v>
      </c>
      <c r="G593" s="196">
        <v>145.30000000000001</v>
      </c>
      <c r="H593" s="196"/>
      <c r="I593" s="196"/>
      <c r="J593" s="196"/>
      <c r="K593" s="196"/>
      <c r="L593" s="200">
        <v>593</v>
      </c>
      <c r="M593" s="200">
        <v>3</v>
      </c>
      <c r="N593" s="200">
        <v>23</v>
      </c>
    </row>
    <row r="594" spans="1:14" x14ac:dyDescent="0.25">
      <c r="A594" s="198" t="s">
        <v>32</v>
      </c>
      <c r="B594" s="198" t="s">
        <v>8335</v>
      </c>
      <c r="C594" s="198"/>
      <c r="D594" s="196">
        <v>2</v>
      </c>
      <c r="E594" s="196"/>
      <c r="F594" s="196">
        <v>5.8999999999999997E-2</v>
      </c>
      <c r="G594" s="196">
        <v>166.7</v>
      </c>
      <c r="H594" s="196"/>
      <c r="I594" s="196"/>
      <c r="J594" s="196"/>
      <c r="K594" s="196"/>
      <c r="L594" s="200">
        <v>594</v>
      </c>
      <c r="M594" s="200">
        <v>3</v>
      </c>
      <c r="N594" s="200">
        <v>23</v>
      </c>
    </row>
    <row r="595" spans="1:14" x14ac:dyDescent="0.25">
      <c r="A595" s="198" t="s">
        <v>32</v>
      </c>
      <c r="B595" s="198" t="s">
        <v>8339</v>
      </c>
      <c r="C595" s="198"/>
      <c r="D595" s="196">
        <v>2</v>
      </c>
      <c r="E595" s="196"/>
      <c r="F595" s="196">
        <v>0.502</v>
      </c>
      <c r="G595" s="196">
        <v>169.1</v>
      </c>
      <c r="H595" s="196"/>
      <c r="I595" s="196"/>
      <c r="J595" s="196"/>
      <c r="K595" s="196"/>
      <c r="L595" s="200">
        <v>595</v>
      </c>
      <c r="M595" s="200">
        <v>3</v>
      </c>
      <c r="N595" s="200">
        <v>23</v>
      </c>
    </row>
    <row r="596" spans="1:14" x14ac:dyDescent="0.25">
      <c r="A596" s="198" t="s">
        <v>32</v>
      </c>
      <c r="B596" s="198" t="s">
        <v>1936</v>
      </c>
      <c r="C596" s="198"/>
      <c r="D596" s="196">
        <v>3</v>
      </c>
      <c r="E596" s="196"/>
      <c r="F596" s="196">
        <v>0.182</v>
      </c>
      <c r="G596" s="196">
        <v>176.4</v>
      </c>
      <c r="H596" s="196"/>
      <c r="I596" s="196"/>
      <c r="J596" s="196"/>
      <c r="K596" s="196"/>
      <c r="L596" s="200">
        <v>596</v>
      </c>
      <c r="M596" s="200">
        <v>1</v>
      </c>
      <c r="N596" s="200">
        <v>23</v>
      </c>
    </row>
    <row r="597" spans="1:14" x14ac:dyDescent="0.25">
      <c r="A597" s="198" t="s">
        <v>32</v>
      </c>
      <c r="B597" s="198" t="s">
        <v>8340</v>
      </c>
      <c r="C597" s="198"/>
      <c r="D597" s="196">
        <v>2</v>
      </c>
      <c r="E597" s="196"/>
      <c r="F597" s="196">
        <v>0.21</v>
      </c>
      <c r="G597" s="196">
        <v>172.9</v>
      </c>
      <c r="H597" s="196"/>
      <c r="I597" s="196"/>
      <c r="J597" s="196"/>
      <c r="K597" s="196"/>
      <c r="L597" s="200">
        <v>597</v>
      </c>
      <c r="M597" s="200">
        <v>3</v>
      </c>
      <c r="N597" s="200">
        <v>23</v>
      </c>
    </row>
    <row r="598" spans="1:14" x14ac:dyDescent="0.25">
      <c r="A598" s="198" t="s">
        <v>32</v>
      </c>
      <c r="B598" s="198" t="s">
        <v>7787</v>
      </c>
      <c r="C598" s="198"/>
      <c r="D598" s="196">
        <v>2</v>
      </c>
      <c r="E598" s="196"/>
      <c r="F598" s="196">
        <v>0.252</v>
      </c>
      <c r="G598" s="196">
        <v>161.80000000000001</v>
      </c>
      <c r="H598" s="196"/>
      <c r="I598" s="196"/>
      <c r="J598" s="196"/>
      <c r="K598" s="196"/>
      <c r="L598" s="200">
        <v>598</v>
      </c>
      <c r="M598" s="200">
        <v>3</v>
      </c>
      <c r="N598" s="200">
        <v>23</v>
      </c>
    </row>
    <row r="599" spans="1:14" x14ac:dyDescent="0.25">
      <c r="A599" s="198" t="s">
        <v>32</v>
      </c>
      <c r="B599" s="198" t="s">
        <v>8345</v>
      </c>
      <c r="C599" s="198"/>
      <c r="D599" s="196">
        <v>2</v>
      </c>
      <c r="E599" s="196"/>
      <c r="F599" s="196">
        <v>0.47399999999999998</v>
      </c>
      <c r="G599" s="196">
        <v>160.1</v>
      </c>
      <c r="H599" s="196"/>
      <c r="I599" s="196"/>
      <c r="J599" s="196"/>
      <c r="K599" s="196"/>
      <c r="L599" s="200">
        <v>599</v>
      </c>
      <c r="M599" s="200">
        <v>3</v>
      </c>
      <c r="N599" s="200">
        <v>23</v>
      </c>
    </row>
    <row r="600" spans="1:14" x14ac:dyDescent="0.25">
      <c r="A600" s="198" t="s">
        <v>32</v>
      </c>
      <c r="B600" s="198" t="s">
        <v>8348</v>
      </c>
      <c r="C600" s="198"/>
      <c r="D600" s="196">
        <v>2</v>
      </c>
      <c r="E600" s="196"/>
      <c r="F600" s="196">
        <v>0.39900000000000002</v>
      </c>
      <c r="G600" s="196">
        <v>163</v>
      </c>
      <c r="H600" s="196"/>
      <c r="I600" s="196"/>
      <c r="J600" s="196"/>
      <c r="K600" s="196"/>
      <c r="L600" s="200">
        <v>600</v>
      </c>
      <c r="M600" s="200">
        <v>3</v>
      </c>
      <c r="N600" s="200">
        <v>23</v>
      </c>
    </row>
    <row r="601" spans="1:14" x14ac:dyDescent="0.25">
      <c r="A601" s="198" t="s">
        <v>32</v>
      </c>
      <c r="B601" s="198" t="s">
        <v>1939</v>
      </c>
      <c r="C601" s="198"/>
      <c r="D601" s="196">
        <v>3</v>
      </c>
      <c r="E601" s="196"/>
      <c r="F601" s="196">
        <v>0.47799999999999998</v>
      </c>
      <c r="G601" s="196">
        <v>148.4</v>
      </c>
      <c r="H601" s="196"/>
      <c r="I601" s="196"/>
      <c r="J601" s="196"/>
      <c r="K601" s="196"/>
      <c r="L601" s="200">
        <v>601</v>
      </c>
      <c r="M601" s="200">
        <v>1</v>
      </c>
      <c r="N601" s="200">
        <v>23</v>
      </c>
    </row>
    <row r="602" spans="1:14" x14ac:dyDescent="0.25">
      <c r="A602" s="198" t="s">
        <v>32</v>
      </c>
      <c r="B602" s="198" t="s">
        <v>7790</v>
      </c>
      <c r="C602" s="198"/>
      <c r="D602" s="196">
        <v>2</v>
      </c>
      <c r="E602" s="196"/>
      <c r="F602" s="196">
        <v>0.374</v>
      </c>
      <c r="G602" s="196">
        <v>161.9</v>
      </c>
      <c r="H602" s="196"/>
      <c r="I602" s="196"/>
      <c r="J602" s="196"/>
      <c r="K602" s="196"/>
      <c r="L602" s="200">
        <v>602</v>
      </c>
      <c r="M602" s="200">
        <v>3</v>
      </c>
      <c r="N602" s="200">
        <v>23</v>
      </c>
    </row>
    <row r="603" spans="1:14" x14ac:dyDescent="0.25">
      <c r="A603" s="198" t="s">
        <v>32</v>
      </c>
      <c r="B603" s="198" t="s">
        <v>8350</v>
      </c>
      <c r="C603" s="198"/>
      <c r="D603" s="196">
        <v>2</v>
      </c>
      <c r="E603" s="196"/>
      <c r="F603" s="196">
        <v>0.35899999999999999</v>
      </c>
      <c r="G603" s="196">
        <v>166.3</v>
      </c>
      <c r="H603" s="196"/>
      <c r="I603" s="196"/>
      <c r="J603" s="196"/>
      <c r="K603" s="196"/>
      <c r="L603" s="200">
        <v>603</v>
      </c>
      <c r="M603" s="200">
        <v>3</v>
      </c>
      <c r="N603" s="200">
        <v>23</v>
      </c>
    </row>
    <row r="604" spans="1:14" x14ac:dyDescent="0.25">
      <c r="A604" s="198" t="s">
        <v>32</v>
      </c>
      <c r="B604" s="198" t="s">
        <v>8353</v>
      </c>
      <c r="C604" s="198"/>
      <c r="D604" s="196">
        <v>2</v>
      </c>
      <c r="E604" s="196"/>
      <c r="F604" s="196">
        <v>0.151</v>
      </c>
      <c r="G604" s="196">
        <v>168.5</v>
      </c>
      <c r="H604" s="196"/>
      <c r="I604" s="196"/>
      <c r="J604" s="196"/>
      <c r="K604" s="196"/>
      <c r="L604" s="200">
        <v>604</v>
      </c>
      <c r="M604" s="200">
        <v>3</v>
      </c>
      <c r="N604" s="200">
        <v>23</v>
      </c>
    </row>
    <row r="605" spans="1:14" x14ac:dyDescent="0.25">
      <c r="A605" s="198" t="s">
        <v>32</v>
      </c>
      <c r="B605" s="198" t="s">
        <v>8354</v>
      </c>
      <c r="C605" s="198"/>
      <c r="D605" s="196">
        <v>2</v>
      </c>
      <c r="E605" s="196"/>
      <c r="F605" s="196">
        <v>4.7E-2</v>
      </c>
      <c r="G605" s="196">
        <v>169.1</v>
      </c>
      <c r="H605" s="196"/>
      <c r="I605" s="196"/>
      <c r="J605" s="196"/>
      <c r="K605" s="196"/>
      <c r="L605" s="200">
        <v>605</v>
      </c>
      <c r="M605" s="200">
        <v>3</v>
      </c>
      <c r="N605" s="200">
        <v>23</v>
      </c>
    </row>
    <row r="606" spans="1:14" x14ac:dyDescent="0.25">
      <c r="A606" s="198" t="s">
        <v>32</v>
      </c>
      <c r="B606" s="198" t="s">
        <v>7794</v>
      </c>
      <c r="C606" s="198"/>
      <c r="D606" s="196">
        <v>2</v>
      </c>
      <c r="E606" s="196"/>
      <c r="F606" s="196">
        <v>0.45</v>
      </c>
      <c r="G606" s="196">
        <v>164</v>
      </c>
      <c r="H606" s="196"/>
      <c r="I606" s="196"/>
      <c r="J606" s="196"/>
      <c r="K606" s="196"/>
      <c r="L606" s="200">
        <v>606</v>
      </c>
      <c r="M606" s="200">
        <v>3</v>
      </c>
      <c r="N606" s="200">
        <v>23</v>
      </c>
    </row>
    <row r="607" spans="1:14" x14ac:dyDescent="0.25">
      <c r="A607" s="198" t="s">
        <v>32</v>
      </c>
      <c r="B607" s="198" t="s">
        <v>7796</v>
      </c>
      <c r="C607" s="198"/>
      <c r="D607" s="196">
        <v>2</v>
      </c>
      <c r="E607" s="196"/>
      <c r="F607" s="196">
        <v>0.42499999999999999</v>
      </c>
      <c r="G607" s="196">
        <v>168.7</v>
      </c>
      <c r="H607" s="196"/>
      <c r="I607" s="196"/>
      <c r="J607" s="196"/>
      <c r="K607" s="196"/>
      <c r="L607" s="200">
        <v>607</v>
      </c>
      <c r="M607" s="200">
        <v>3</v>
      </c>
      <c r="N607" s="200">
        <v>23</v>
      </c>
    </row>
    <row r="608" spans="1:14" x14ac:dyDescent="0.25">
      <c r="A608" s="198" t="s">
        <v>32</v>
      </c>
      <c r="B608" s="198" t="s">
        <v>7799</v>
      </c>
      <c r="C608" s="198"/>
      <c r="D608" s="196">
        <v>2</v>
      </c>
      <c r="E608" s="196"/>
      <c r="F608" s="196">
        <v>0.45300000000000001</v>
      </c>
      <c r="G608" s="196">
        <v>159.69999999999999</v>
      </c>
      <c r="H608" s="196"/>
      <c r="I608" s="196"/>
      <c r="J608" s="196"/>
      <c r="K608" s="196"/>
      <c r="L608" s="200">
        <v>608</v>
      </c>
      <c r="M608" s="200">
        <v>3</v>
      </c>
      <c r="N608" s="200">
        <v>23</v>
      </c>
    </row>
    <row r="609" spans="1:14" x14ac:dyDescent="0.25">
      <c r="A609" s="198" t="s">
        <v>32</v>
      </c>
      <c r="B609" s="198" t="s">
        <v>8357</v>
      </c>
      <c r="C609" s="198"/>
      <c r="D609" s="196">
        <v>2</v>
      </c>
      <c r="E609" s="196"/>
      <c r="F609" s="196">
        <v>0.154</v>
      </c>
      <c r="G609" s="196">
        <v>160.6</v>
      </c>
      <c r="H609" s="196"/>
      <c r="I609" s="196"/>
      <c r="J609" s="196"/>
      <c r="K609" s="196"/>
      <c r="L609" s="200">
        <v>609</v>
      </c>
      <c r="M609" s="200">
        <v>3</v>
      </c>
      <c r="N609" s="200">
        <v>23</v>
      </c>
    </row>
    <row r="610" spans="1:14" x14ac:dyDescent="0.25">
      <c r="A610" s="198" t="s">
        <v>32</v>
      </c>
      <c r="B610" s="198" t="s">
        <v>1942</v>
      </c>
      <c r="C610" s="198"/>
      <c r="D610" s="196">
        <v>2</v>
      </c>
      <c r="E610" s="196"/>
      <c r="F610" s="196">
        <v>0.13600000000000001</v>
      </c>
      <c r="G610" s="196">
        <v>163</v>
      </c>
      <c r="H610" s="196"/>
      <c r="I610" s="196"/>
      <c r="J610" s="196"/>
      <c r="K610" s="196"/>
      <c r="L610" s="200">
        <v>610</v>
      </c>
      <c r="M610" s="200">
        <v>1</v>
      </c>
      <c r="N610" s="200">
        <v>23</v>
      </c>
    </row>
    <row r="611" spans="1:14" x14ac:dyDescent="0.25">
      <c r="A611" s="198" t="s">
        <v>32</v>
      </c>
      <c r="B611" s="198" t="s">
        <v>8358</v>
      </c>
      <c r="C611" s="198"/>
      <c r="D611" s="196">
        <v>2</v>
      </c>
      <c r="E611" s="196"/>
      <c r="F611" s="196">
        <v>0.23799999999999999</v>
      </c>
      <c r="G611" s="196">
        <v>163.80000000000001</v>
      </c>
      <c r="H611" s="196"/>
      <c r="I611" s="196"/>
      <c r="J611" s="196"/>
      <c r="K611" s="196"/>
      <c r="L611" s="200">
        <v>611</v>
      </c>
      <c r="M611" s="200">
        <v>3</v>
      </c>
      <c r="N611" s="200">
        <v>23</v>
      </c>
    </row>
    <row r="612" spans="1:14" x14ac:dyDescent="0.25">
      <c r="A612" s="198" t="s">
        <v>32</v>
      </c>
      <c r="B612" s="198" t="s">
        <v>8359</v>
      </c>
      <c r="C612" s="198"/>
      <c r="D612" s="196">
        <v>2</v>
      </c>
      <c r="E612" s="196"/>
      <c r="F612" s="196">
        <v>0.26400000000000001</v>
      </c>
      <c r="G612" s="196">
        <v>170.3</v>
      </c>
      <c r="H612" s="196"/>
      <c r="I612" s="196"/>
      <c r="J612" s="196"/>
      <c r="K612" s="196"/>
      <c r="L612" s="200">
        <v>612</v>
      </c>
      <c r="M612" s="200">
        <v>3</v>
      </c>
      <c r="N612" s="200">
        <v>23</v>
      </c>
    </row>
    <row r="613" spans="1:14" x14ac:dyDescent="0.25">
      <c r="A613" s="198" t="s">
        <v>32</v>
      </c>
      <c r="B613" s="198" t="s">
        <v>1945</v>
      </c>
      <c r="C613" s="198"/>
      <c r="D613" s="196">
        <v>2</v>
      </c>
      <c r="E613" s="196"/>
      <c r="F613" s="196">
        <v>0.45100000000000001</v>
      </c>
      <c r="G613" s="196">
        <v>177.5</v>
      </c>
      <c r="H613" s="196"/>
      <c r="I613" s="196"/>
      <c r="J613" s="196"/>
      <c r="K613" s="196"/>
      <c r="L613" s="200">
        <v>613</v>
      </c>
      <c r="M613" s="200">
        <v>1</v>
      </c>
      <c r="N613" s="200">
        <v>23</v>
      </c>
    </row>
    <row r="614" spans="1:14" x14ac:dyDescent="0.25">
      <c r="A614" s="198" t="s">
        <v>32</v>
      </c>
      <c r="B614" s="198" t="s">
        <v>7802</v>
      </c>
      <c r="C614" s="198"/>
      <c r="D614" s="196">
        <v>2</v>
      </c>
      <c r="E614" s="196"/>
      <c r="F614" s="196">
        <v>0.54600000000000004</v>
      </c>
      <c r="G614" s="196">
        <v>155.5</v>
      </c>
      <c r="H614" s="196"/>
      <c r="I614" s="196"/>
      <c r="J614" s="196"/>
      <c r="K614" s="196"/>
      <c r="L614" s="200">
        <v>614</v>
      </c>
      <c r="M614" s="200">
        <v>3</v>
      </c>
      <c r="N614" s="200">
        <v>23</v>
      </c>
    </row>
    <row r="615" spans="1:14" x14ac:dyDescent="0.25">
      <c r="A615" s="198" t="s">
        <v>32</v>
      </c>
      <c r="B615" s="198" t="s">
        <v>7805</v>
      </c>
      <c r="C615" s="198"/>
      <c r="D615" s="196">
        <v>2</v>
      </c>
      <c r="E615" s="196"/>
      <c r="F615" s="196">
        <v>8.8999999999999996E-2</v>
      </c>
      <c r="G615" s="196">
        <v>169.5</v>
      </c>
      <c r="H615" s="196"/>
      <c r="I615" s="196"/>
      <c r="J615" s="196"/>
      <c r="K615" s="196"/>
      <c r="L615" s="200">
        <v>615</v>
      </c>
      <c r="M615" s="200">
        <v>3</v>
      </c>
      <c r="N615" s="200">
        <v>23</v>
      </c>
    </row>
    <row r="616" spans="1:14" x14ac:dyDescent="0.25">
      <c r="A616" s="198" t="s">
        <v>32</v>
      </c>
      <c r="B616" s="198" t="s">
        <v>7815</v>
      </c>
      <c r="C616" s="198"/>
      <c r="D616" s="196">
        <v>1</v>
      </c>
      <c r="E616" s="196"/>
      <c r="F616" s="196">
        <v>8.1000000000000003E-2</v>
      </c>
      <c r="G616" s="196">
        <v>167.6</v>
      </c>
      <c r="H616" s="196"/>
      <c r="I616" s="196"/>
      <c r="J616" s="196"/>
      <c r="K616" s="196"/>
      <c r="L616" s="200">
        <v>616</v>
      </c>
      <c r="M616" s="200">
        <v>3</v>
      </c>
      <c r="N616" s="200">
        <v>23</v>
      </c>
    </row>
    <row r="617" spans="1:14" x14ac:dyDescent="0.25">
      <c r="A617" s="198" t="s">
        <v>32</v>
      </c>
      <c r="B617" s="198" t="s">
        <v>8365</v>
      </c>
      <c r="C617" s="198"/>
      <c r="D617" s="196">
        <v>2</v>
      </c>
      <c r="E617" s="196"/>
      <c r="F617" s="196">
        <v>0.33600000000000002</v>
      </c>
      <c r="G617" s="196">
        <v>168.8</v>
      </c>
      <c r="H617" s="196"/>
      <c r="I617" s="196"/>
      <c r="J617" s="196"/>
      <c r="K617" s="196"/>
      <c r="L617" s="200">
        <v>617</v>
      </c>
      <c r="M617" s="200">
        <v>3</v>
      </c>
      <c r="N617" s="200">
        <v>23</v>
      </c>
    </row>
    <row r="618" spans="1:14" x14ac:dyDescent="0.25">
      <c r="A618" s="198" t="s">
        <v>32</v>
      </c>
      <c r="B618" s="198" t="s">
        <v>7823</v>
      </c>
      <c r="C618" s="198"/>
      <c r="D618" s="196">
        <v>2</v>
      </c>
      <c r="E618" s="196"/>
      <c r="F618" s="196">
        <v>8.5000000000000006E-2</v>
      </c>
      <c r="G618" s="196">
        <v>35.537999999999997</v>
      </c>
      <c r="H618" s="196"/>
      <c r="I618" s="196"/>
      <c r="J618" s="196"/>
      <c r="K618" s="196"/>
      <c r="L618" s="200">
        <v>618</v>
      </c>
      <c r="M618" s="200">
        <v>3</v>
      </c>
      <c r="N618" s="200">
        <v>23</v>
      </c>
    </row>
    <row r="619" spans="1:14" x14ac:dyDescent="0.25">
      <c r="A619" s="198" t="s">
        <v>32</v>
      </c>
      <c r="B619" s="198" t="s">
        <v>8367</v>
      </c>
      <c r="C619" s="198"/>
      <c r="D619" s="196">
        <v>2</v>
      </c>
      <c r="E619" s="196"/>
      <c r="F619" s="196">
        <v>0.55500000000000005</v>
      </c>
      <c r="G619" s="196">
        <v>162.80000000000001</v>
      </c>
      <c r="H619" s="196"/>
      <c r="I619" s="196"/>
      <c r="J619" s="196"/>
      <c r="K619" s="196"/>
      <c r="L619" s="200">
        <v>619</v>
      </c>
      <c r="M619" s="200">
        <v>3</v>
      </c>
      <c r="N619" s="200">
        <v>23</v>
      </c>
    </row>
    <row r="620" spans="1:14" x14ac:dyDescent="0.25">
      <c r="A620" s="198" t="s">
        <v>32</v>
      </c>
      <c r="B620" s="198" t="s">
        <v>1951</v>
      </c>
      <c r="C620" s="198"/>
      <c r="D620" s="196">
        <v>10</v>
      </c>
      <c r="E620" s="196"/>
      <c r="F620" s="196">
        <v>0.33700000000000002</v>
      </c>
      <c r="G620" s="196">
        <v>173.1</v>
      </c>
      <c r="H620" s="196"/>
      <c r="I620" s="196"/>
      <c r="J620" s="196"/>
      <c r="K620" s="196"/>
      <c r="L620" s="200">
        <v>620</v>
      </c>
      <c r="M620" s="200">
        <v>1</v>
      </c>
      <c r="N620" s="200">
        <v>23</v>
      </c>
    </row>
    <row r="621" spans="1:14" x14ac:dyDescent="0.25">
      <c r="A621" s="198" t="s">
        <v>32</v>
      </c>
      <c r="B621" s="198" t="s">
        <v>7792</v>
      </c>
      <c r="C621" s="198"/>
      <c r="D621" s="196">
        <v>2</v>
      </c>
      <c r="E621" s="196"/>
      <c r="F621" s="196">
        <v>0.39100000000000001</v>
      </c>
      <c r="G621" s="196">
        <v>154</v>
      </c>
      <c r="H621" s="196"/>
      <c r="I621" s="196"/>
      <c r="J621" s="196"/>
      <c r="K621" s="196"/>
      <c r="L621" s="200">
        <v>621</v>
      </c>
      <c r="M621" s="200">
        <v>1</v>
      </c>
      <c r="N621" s="200">
        <v>23</v>
      </c>
    </row>
    <row r="622" spans="1:14" x14ac:dyDescent="0.25">
      <c r="A622" s="198" t="s">
        <v>32</v>
      </c>
      <c r="B622" s="198" t="s">
        <v>8370</v>
      </c>
      <c r="C622" s="198"/>
      <c r="D622" s="196">
        <v>2</v>
      </c>
      <c r="E622" s="196"/>
      <c r="F622" s="196">
        <v>0.22500000000000001</v>
      </c>
      <c r="G622" s="196">
        <v>174.9</v>
      </c>
      <c r="H622" s="196"/>
      <c r="I622" s="196"/>
      <c r="J622" s="196"/>
      <c r="K622" s="196"/>
      <c r="L622" s="200">
        <v>622</v>
      </c>
      <c r="M622" s="200">
        <v>3</v>
      </c>
      <c r="N622" s="200">
        <v>23</v>
      </c>
    </row>
    <row r="623" spans="1:14" x14ac:dyDescent="0.25">
      <c r="A623" s="198" t="s">
        <v>32</v>
      </c>
      <c r="B623" s="198" t="s">
        <v>7807</v>
      </c>
      <c r="C623" s="198"/>
      <c r="D623" s="196">
        <v>2</v>
      </c>
      <c r="E623" s="196"/>
      <c r="F623" s="196">
        <v>0.372</v>
      </c>
      <c r="G623" s="196">
        <v>146.80000000000001</v>
      </c>
      <c r="H623" s="196"/>
      <c r="I623" s="196"/>
      <c r="J623" s="196"/>
      <c r="K623" s="196"/>
      <c r="L623" s="200">
        <v>623</v>
      </c>
      <c r="M623" s="200">
        <v>3</v>
      </c>
      <c r="N623" s="200">
        <v>23</v>
      </c>
    </row>
    <row r="624" spans="1:14" x14ac:dyDescent="0.25">
      <c r="A624" s="198" t="s">
        <v>32</v>
      </c>
      <c r="B624" s="198" t="s">
        <v>1948</v>
      </c>
      <c r="C624" s="198"/>
      <c r="D624" s="196">
        <v>3</v>
      </c>
      <c r="E624" s="196"/>
      <c r="F624" s="196">
        <v>0.187</v>
      </c>
      <c r="G624" s="196">
        <v>166.5</v>
      </c>
      <c r="H624" s="196"/>
      <c r="I624" s="196"/>
      <c r="J624" s="196"/>
      <c r="K624" s="196"/>
      <c r="L624" s="200">
        <v>624</v>
      </c>
      <c r="M624" s="200">
        <v>1</v>
      </c>
      <c r="N624" s="200">
        <v>23</v>
      </c>
    </row>
    <row r="625" spans="1:14" x14ac:dyDescent="0.25">
      <c r="A625" s="198" t="s">
        <v>32</v>
      </c>
      <c r="B625" s="198" t="s">
        <v>7810</v>
      </c>
      <c r="C625" s="198"/>
      <c r="D625" s="196">
        <v>2</v>
      </c>
      <c r="E625" s="196"/>
      <c r="F625" s="196">
        <v>0.50900000000000001</v>
      </c>
      <c r="G625" s="196">
        <v>154.6</v>
      </c>
      <c r="H625" s="196"/>
      <c r="I625" s="196"/>
      <c r="J625" s="196"/>
      <c r="K625" s="196"/>
      <c r="L625" s="200">
        <v>625</v>
      </c>
      <c r="M625" s="200">
        <v>3</v>
      </c>
      <c r="N625" s="200">
        <v>23</v>
      </c>
    </row>
    <row r="626" spans="1:14" x14ac:dyDescent="0.25">
      <c r="A626" s="198" t="s">
        <v>32</v>
      </c>
      <c r="B626" s="198" t="s">
        <v>7818</v>
      </c>
      <c r="C626" s="198"/>
      <c r="D626" s="196">
        <v>2</v>
      </c>
      <c r="E626" s="196"/>
      <c r="F626" s="196">
        <v>0.25</v>
      </c>
      <c r="G626" s="196">
        <v>162</v>
      </c>
      <c r="H626" s="196"/>
      <c r="I626" s="196"/>
      <c r="J626" s="196"/>
      <c r="K626" s="196"/>
      <c r="L626" s="200">
        <v>626</v>
      </c>
      <c r="M626" s="200">
        <v>3</v>
      </c>
      <c r="N626" s="200">
        <v>23</v>
      </c>
    </row>
    <row r="627" spans="1:14" x14ac:dyDescent="0.25">
      <c r="A627" s="198" t="s">
        <v>32</v>
      </c>
      <c r="B627" s="198" t="s">
        <v>7820</v>
      </c>
      <c r="C627" s="198"/>
      <c r="D627" s="196">
        <v>2</v>
      </c>
      <c r="E627" s="196"/>
      <c r="F627" s="196">
        <v>0.24</v>
      </c>
      <c r="G627" s="196">
        <v>162.6</v>
      </c>
      <c r="H627" s="196"/>
      <c r="I627" s="196"/>
      <c r="J627" s="196"/>
      <c r="K627" s="196"/>
      <c r="L627" s="200">
        <v>627</v>
      </c>
      <c r="M627" s="200">
        <v>3</v>
      </c>
      <c r="N627" s="200">
        <v>23</v>
      </c>
    </row>
    <row r="628" spans="1:14" x14ac:dyDescent="0.25">
      <c r="A628" s="198" t="s">
        <v>32</v>
      </c>
      <c r="B628" s="198" t="s">
        <v>8373</v>
      </c>
      <c r="C628" s="198"/>
      <c r="D628" s="196">
        <v>2</v>
      </c>
      <c r="E628" s="196"/>
      <c r="F628" s="196">
        <v>0.63300000000000001</v>
      </c>
      <c r="G628" s="196">
        <v>157.4</v>
      </c>
      <c r="H628" s="196"/>
      <c r="I628" s="196"/>
      <c r="J628" s="196"/>
      <c r="K628" s="196"/>
      <c r="L628" s="200">
        <v>628</v>
      </c>
      <c r="M628" s="200">
        <v>3</v>
      </c>
      <c r="N628" s="200">
        <v>23</v>
      </c>
    </row>
    <row r="629" spans="1:14" x14ac:dyDescent="0.25">
      <c r="A629" s="198" t="s">
        <v>32</v>
      </c>
      <c r="B629" s="198" t="s">
        <v>8376</v>
      </c>
      <c r="C629" s="198"/>
      <c r="D629" s="196">
        <v>2</v>
      </c>
      <c r="E629" s="196"/>
      <c r="F629" s="196">
        <v>0.51300000000000001</v>
      </c>
      <c r="G629" s="196">
        <v>159.69999999999999</v>
      </c>
      <c r="H629" s="196"/>
      <c r="I629" s="196"/>
      <c r="J629" s="196"/>
      <c r="K629" s="196"/>
      <c r="L629" s="200">
        <v>629</v>
      </c>
      <c r="M629" s="200">
        <v>3</v>
      </c>
      <c r="N629" s="200">
        <v>23</v>
      </c>
    </row>
    <row r="630" spans="1:14" x14ac:dyDescent="0.25">
      <c r="A630" s="198" t="s">
        <v>32</v>
      </c>
      <c r="B630" s="198" t="s">
        <v>7830</v>
      </c>
      <c r="C630" s="198"/>
      <c r="D630" s="196">
        <v>2</v>
      </c>
      <c r="E630" s="196"/>
      <c r="F630" s="196">
        <v>0.35399999999999998</v>
      </c>
      <c r="G630" s="196">
        <v>156.1</v>
      </c>
      <c r="H630" s="196"/>
      <c r="I630" s="196"/>
      <c r="J630" s="196"/>
      <c r="K630" s="196"/>
      <c r="L630" s="200">
        <v>630</v>
      </c>
      <c r="M630" s="200">
        <v>3</v>
      </c>
      <c r="N630" s="200">
        <v>23</v>
      </c>
    </row>
    <row r="631" spans="1:14" x14ac:dyDescent="0.25">
      <c r="A631" s="198" t="s">
        <v>32</v>
      </c>
      <c r="B631" s="198" t="s">
        <v>7826</v>
      </c>
      <c r="C631" s="198"/>
      <c r="D631" s="196">
        <v>2</v>
      </c>
      <c r="E631" s="196"/>
      <c r="F631" s="196">
        <v>0.66700000000000004</v>
      </c>
      <c r="G631" s="196">
        <v>155</v>
      </c>
      <c r="H631" s="196"/>
      <c r="I631" s="196"/>
      <c r="J631" s="196"/>
      <c r="K631" s="196"/>
      <c r="L631" s="200">
        <v>631</v>
      </c>
      <c r="M631" s="200">
        <v>3</v>
      </c>
      <c r="N631" s="200">
        <v>23</v>
      </c>
    </row>
    <row r="632" spans="1:14" x14ac:dyDescent="0.25">
      <c r="A632" s="198" t="s">
        <v>32</v>
      </c>
      <c r="B632" s="198" t="s">
        <v>8378</v>
      </c>
      <c r="C632" s="198"/>
      <c r="D632" s="196">
        <v>2</v>
      </c>
      <c r="E632" s="196"/>
      <c r="F632" s="196">
        <v>0.34399999999999997</v>
      </c>
      <c r="G632" s="196">
        <v>174.8</v>
      </c>
      <c r="H632" s="196"/>
      <c r="I632" s="196"/>
      <c r="J632" s="196"/>
      <c r="K632" s="196"/>
      <c r="L632" s="200">
        <v>632</v>
      </c>
      <c r="M632" s="200">
        <v>3</v>
      </c>
      <c r="N632" s="200">
        <v>23</v>
      </c>
    </row>
    <row r="633" spans="1:14" x14ac:dyDescent="0.25">
      <c r="A633" s="198" t="s">
        <v>32</v>
      </c>
      <c r="B633" s="198" t="s">
        <v>7828</v>
      </c>
      <c r="C633" s="198"/>
      <c r="D633" s="196">
        <v>2</v>
      </c>
      <c r="E633" s="196"/>
      <c r="F633" s="196">
        <v>0.41699999999999998</v>
      </c>
      <c r="G633" s="196">
        <v>160</v>
      </c>
      <c r="H633" s="196"/>
      <c r="I633" s="196"/>
      <c r="J633" s="196"/>
      <c r="K633" s="196"/>
      <c r="L633" s="200">
        <v>633</v>
      </c>
      <c r="M633" s="200">
        <v>1</v>
      </c>
      <c r="N633" s="200">
        <v>23</v>
      </c>
    </row>
    <row r="634" spans="1:14" x14ac:dyDescent="0.25">
      <c r="A634" s="198" t="s">
        <v>32</v>
      </c>
      <c r="B634" s="198" t="s">
        <v>8381</v>
      </c>
      <c r="C634" s="198"/>
      <c r="D634" s="196">
        <v>2</v>
      </c>
      <c r="E634" s="196"/>
      <c r="F634" s="196">
        <v>9.8000000000000004E-2</v>
      </c>
      <c r="G634" s="196">
        <v>174.5</v>
      </c>
      <c r="H634" s="196"/>
      <c r="I634" s="196"/>
      <c r="J634" s="196"/>
      <c r="K634" s="196"/>
      <c r="L634" s="200">
        <v>634</v>
      </c>
      <c r="M634" s="200">
        <v>3</v>
      </c>
      <c r="N634" s="200">
        <v>23</v>
      </c>
    </row>
    <row r="635" spans="1:14" x14ac:dyDescent="0.25">
      <c r="A635" s="198" t="s">
        <v>32</v>
      </c>
      <c r="B635" s="198" t="s">
        <v>8382</v>
      </c>
      <c r="C635" s="198"/>
      <c r="D635" s="196">
        <v>2</v>
      </c>
      <c r="E635" s="196"/>
      <c r="F635" s="196">
        <v>0.41199999999999998</v>
      </c>
      <c r="G635" s="196">
        <v>167.3</v>
      </c>
      <c r="H635" s="196"/>
      <c r="I635" s="196"/>
      <c r="J635" s="196"/>
      <c r="K635" s="196"/>
      <c r="L635" s="200">
        <v>635</v>
      </c>
      <c r="M635" s="200">
        <v>3</v>
      </c>
      <c r="N635" s="200">
        <v>23</v>
      </c>
    </row>
    <row r="636" spans="1:14" x14ac:dyDescent="0.25">
      <c r="A636" s="198" t="s">
        <v>32</v>
      </c>
      <c r="B636" s="198" t="s">
        <v>7833</v>
      </c>
      <c r="C636" s="198"/>
      <c r="D636" s="196">
        <v>2</v>
      </c>
      <c r="E636" s="196"/>
      <c r="F636" s="196">
        <v>0.57499999999999996</v>
      </c>
      <c r="G636" s="196">
        <v>175.5</v>
      </c>
      <c r="H636" s="196"/>
      <c r="I636" s="196"/>
      <c r="J636" s="196"/>
      <c r="K636" s="196"/>
      <c r="L636" s="200">
        <v>636</v>
      </c>
      <c r="M636" s="200">
        <v>3</v>
      </c>
      <c r="N636" s="200">
        <v>23</v>
      </c>
    </row>
    <row r="637" spans="1:14" x14ac:dyDescent="0.25">
      <c r="A637" s="198" t="s">
        <v>32</v>
      </c>
      <c r="B637" s="198" t="s">
        <v>7813</v>
      </c>
      <c r="C637" s="198"/>
      <c r="D637" s="196">
        <v>2</v>
      </c>
      <c r="E637" s="196"/>
      <c r="F637" s="196">
        <v>0.312</v>
      </c>
      <c r="G637" s="196">
        <v>160</v>
      </c>
      <c r="H637" s="196"/>
      <c r="I637" s="196"/>
      <c r="J637" s="196"/>
      <c r="K637" s="196"/>
      <c r="L637" s="200">
        <v>637</v>
      </c>
      <c r="M637" s="200">
        <v>3</v>
      </c>
      <c r="N637" s="200">
        <v>23</v>
      </c>
    </row>
    <row r="638" spans="1:14" x14ac:dyDescent="0.25">
      <c r="A638" s="198" t="s">
        <v>32</v>
      </c>
      <c r="B638" s="198" t="s">
        <v>8385</v>
      </c>
      <c r="C638" s="198"/>
      <c r="D638" s="196">
        <v>2</v>
      </c>
      <c r="E638" s="196"/>
      <c r="F638" s="196">
        <v>8.7999999999999995E-2</v>
      </c>
      <c r="G638" s="196">
        <v>161.80000000000001</v>
      </c>
      <c r="H638" s="196"/>
      <c r="I638" s="196"/>
      <c r="J638" s="196"/>
      <c r="K638" s="196"/>
      <c r="L638" s="200">
        <v>638</v>
      </c>
      <c r="M638" s="200">
        <v>3</v>
      </c>
      <c r="N638" s="200">
        <v>23</v>
      </c>
    </row>
    <row r="639" spans="1:14" x14ac:dyDescent="0.25">
      <c r="A639" s="198" t="s">
        <v>32</v>
      </c>
      <c r="B639" s="198" t="s">
        <v>8386</v>
      </c>
      <c r="C639" s="198"/>
      <c r="D639" s="196">
        <v>2</v>
      </c>
      <c r="E639" s="196"/>
      <c r="F639" s="196">
        <v>0.121</v>
      </c>
      <c r="G639" s="196">
        <v>163.19999999999999</v>
      </c>
      <c r="H639" s="196"/>
      <c r="I639" s="196"/>
      <c r="J639" s="196"/>
      <c r="K639" s="196"/>
      <c r="L639" s="200">
        <v>639</v>
      </c>
      <c r="M639" s="200">
        <v>3</v>
      </c>
      <c r="N639" s="200">
        <v>23</v>
      </c>
    </row>
    <row r="640" spans="1:14" x14ac:dyDescent="0.25">
      <c r="A640" s="198" t="s">
        <v>32</v>
      </c>
      <c r="B640" s="198" t="s">
        <v>8389</v>
      </c>
      <c r="C640" s="198"/>
      <c r="D640" s="196">
        <v>2</v>
      </c>
      <c r="E640" s="196"/>
      <c r="F640" s="196">
        <v>0.30499999999999999</v>
      </c>
      <c r="G640" s="196">
        <v>160.1</v>
      </c>
      <c r="H640" s="196"/>
      <c r="I640" s="196"/>
      <c r="J640" s="196"/>
      <c r="K640" s="196"/>
      <c r="L640" s="200">
        <v>640</v>
      </c>
      <c r="M640" s="200">
        <v>3</v>
      </c>
      <c r="N640" s="200">
        <v>23</v>
      </c>
    </row>
    <row r="641" spans="1:14" x14ac:dyDescent="0.25">
      <c r="A641" s="198" t="s">
        <v>32</v>
      </c>
      <c r="B641" s="198" t="s">
        <v>7836</v>
      </c>
      <c r="C641" s="198"/>
      <c r="D641" s="196">
        <v>2</v>
      </c>
      <c r="E641" s="196"/>
      <c r="F641" s="196">
        <v>0.26700000000000002</v>
      </c>
      <c r="G641" s="196">
        <v>165.7</v>
      </c>
      <c r="H641" s="196"/>
      <c r="I641" s="196"/>
      <c r="J641" s="196"/>
      <c r="K641" s="196"/>
      <c r="L641" s="200">
        <v>641</v>
      </c>
      <c r="M641" s="200">
        <v>3</v>
      </c>
      <c r="N641" s="200">
        <v>23</v>
      </c>
    </row>
    <row r="642" spans="1:14" x14ac:dyDescent="0.25">
      <c r="A642" s="198" t="s">
        <v>32</v>
      </c>
      <c r="B642" s="198" t="s">
        <v>8390</v>
      </c>
      <c r="C642" s="198"/>
      <c r="D642" s="196">
        <v>2</v>
      </c>
      <c r="E642" s="196"/>
      <c r="F642" s="196">
        <v>0.25700000000000001</v>
      </c>
      <c r="G642" s="196">
        <v>157.1</v>
      </c>
      <c r="H642" s="196"/>
      <c r="I642" s="196"/>
      <c r="J642" s="196"/>
      <c r="K642" s="196"/>
      <c r="L642" s="200">
        <v>642</v>
      </c>
      <c r="M642" s="200">
        <v>3</v>
      </c>
      <c r="N642" s="200">
        <v>23</v>
      </c>
    </row>
    <row r="643" spans="1:14" x14ac:dyDescent="0.25">
      <c r="A643" s="198" t="s">
        <v>32</v>
      </c>
      <c r="B643" s="198" t="s">
        <v>8391</v>
      </c>
      <c r="C643" s="198"/>
      <c r="D643" s="196">
        <v>2</v>
      </c>
      <c r="E643" s="196"/>
      <c r="F643" s="196">
        <v>0.33600000000000002</v>
      </c>
      <c r="G643" s="196">
        <v>143.19999999999999</v>
      </c>
      <c r="H643" s="196"/>
      <c r="I643" s="196"/>
      <c r="J643" s="196"/>
      <c r="K643" s="196"/>
      <c r="L643" s="200">
        <v>643</v>
      </c>
      <c r="M643" s="200">
        <v>3</v>
      </c>
      <c r="N643" s="200">
        <v>23</v>
      </c>
    </row>
    <row r="644" spans="1:14" x14ac:dyDescent="0.25">
      <c r="A644" s="198" t="s">
        <v>32</v>
      </c>
      <c r="B644" s="198" t="s">
        <v>8396</v>
      </c>
      <c r="C644" s="198"/>
      <c r="D644" s="196">
        <v>2</v>
      </c>
      <c r="E644" s="196"/>
      <c r="F644" s="196">
        <v>0.10100000000000001</v>
      </c>
      <c r="G644" s="196">
        <v>162.5</v>
      </c>
      <c r="H644" s="196"/>
      <c r="I644" s="196"/>
      <c r="J644" s="196"/>
      <c r="K644" s="196"/>
      <c r="L644" s="200">
        <v>644</v>
      </c>
      <c r="M644" s="200">
        <v>3</v>
      </c>
      <c r="N644" s="200">
        <v>23</v>
      </c>
    </row>
    <row r="645" spans="1:14" x14ac:dyDescent="0.25">
      <c r="A645" s="198" t="s">
        <v>32</v>
      </c>
      <c r="B645" s="198" t="s">
        <v>1953</v>
      </c>
      <c r="C645" s="198"/>
      <c r="D645" s="196">
        <v>3</v>
      </c>
      <c r="E645" s="196"/>
      <c r="F645" s="196">
        <v>0.20599999999999999</v>
      </c>
      <c r="G645" s="196">
        <v>168</v>
      </c>
      <c r="H645" s="196"/>
      <c r="I645" s="196"/>
      <c r="J645" s="196"/>
      <c r="K645" s="196"/>
      <c r="L645" s="200">
        <v>645</v>
      </c>
      <c r="M645" s="200">
        <v>1</v>
      </c>
      <c r="N645" s="200">
        <v>23</v>
      </c>
    </row>
    <row r="646" spans="1:14" x14ac:dyDescent="0.25">
      <c r="A646" s="198" t="s">
        <v>32</v>
      </c>
      <c r="B646" s="198" t="s">
        <v>7838</v>
      </c>
      <c r="C646" s="198"/>
      <c r="D646" s="196">
        <v>2</v>
      </c>
      <c r="E646" s="196"/>
      <c r="F646" s="196">
        <v>0.20100000000000001</v>
      </c>
      <c r="G646" s="196">
        <v>171.2</v>
      </c>
      <c r="H646" s="196"/>
      <c r="I646" s="196"/>
      <c r="J646" s="196"/>
      <c r="K646" s="196"/>
      <c r="L646" s="200">
        <v>646</v>
      </c>
      <c r="M646" s="200">
        <v>3</v>
      </c>
      <c r="N646" s="200">
        <v>23</v>
      </c>
    </row>
    <row r="647" spans="1:14" x14ac:dyDescent="0.25">
      <c r="A647" s="198" t="s">
        <v>32</v>
      </c>
      <c r="B647" s="198" t="s">
        <v>8399</v>
      </c>
      <c r="C647" s="198"/>
      <c r="D647" s="196">
        <v>2</v>
      </c>
      <c r="E647" s="196"/>
      <c r="F647" s="196">
        <v>0.23899999999999999</v>
      </c>
      <c r="G647" s="196">
        <v>156.19999999999999</v>
      </c>
      <c r="H647" s="196"/>
      <c r="I647" s="196"/>
      <c r="J647" s="196"/>
      <c r="K647" s="196"/>
      <c r="L647" s="200">
        <v>647</v>
      </c>
      <c r="M647" s="200">
        <v>3</v>
      </c>
      <c r="N647" s="200">
        <v>23</v>
      </c>
    </row>
    <row r="648" spans="1:14" x14ac:dyDescent="0.25">
      <c r="A648" s="198" t="s">
        <v>32</v>
      </c>
      <c r="B648" s="198" t="s">
        <v>7841</v>
      </c>
      <c r="C648" s="198"/>
      <c r="D648" s="196">
        <v>2</v>
      </c>
      <c r="E648" s="196"/>
      <c r="F648" s="196">
        <v>0.29599999999999999</v>
      </c>
      <c r="G648" s="196">
        <v>165.6</v>
      </c>
      <c r="H648" s="196"/>
      <c r="I648" s="196"/>
      <c r="J648" s="196"/>
      <c r="K648" s="196"/>
      <c r="L648" s="200">
        <v>648</v>
      </c>
      <c r="M648" s="200">
        <v>3</v>
      </c>
      <c r="N648" s="200">
        <v>23</v>
      </c>
    </row>
    <row r="649" spans="1:14" x14ac:dyDescent="0.25">
      <c r="A649" s="198" t="s">
        <v>32</v>
      </c>
      <c r="B649" s="198" t="s">
        <v>8402</v>
      </c>
      <c r="C649" s="198"/>
      <c r="D649" s="196">
        <v>2</v>
      </c>
      <c r="E649" s="196"/>
      <c r="F649" s="196">
        <v>0.50600000000000001</v>
      </c>
      <c r="G649" s="196">
        <v>157.5</v>
      </c>
      <c r="H649" s="196"/>
      <c r="I649" s="196"/>
      <c r="J649" s="196"/>
      <c r="K649" s="196"/>
      <c r="L649" s="200">
        <v>649</v>
      </c>
      <c r="M649" s="200">
        <v>3</v>
      </c>
      <c r="N649" s="200">
        <v>23</v>
      </c>
    </row>
    <row r="650" spans="1:14" x14ac:dyDescent="0.25">
      <c r="A650" s="198" t="s">
        <v>32</v>
      </c>
      <c r="B650" s="198" t="s">
        <v>7844</v>
      </c>
      <c r="C650" s="198"/>
      <c r="D650" s="196">
        <v>2</v>
      </c>
      <c r="E650" s="196"/>
      <c r="F650" s="196">
        <v>0.53100000000000003</v>
      </c>
      <c r="G650" s="196">
        <v>161.4</v>
      </c>
      <c r="H650" s="196"/>
      <c r="I650" s="196"/>
      <c r="J650" s="196"/>
      <c r="K650" s="196"/>
      <c r="L650" s="200">
        <v>650</v>
      </c>
      <c r="M650" s="200">
        <v>3</v>
      </c>
      <c r="N650" s="200">
        <v>23</v>
      </c>
    </row>
    <row r="651" spans="1:14" x14ac:dyDescent="0.25">
      <c r="A651" s="198" t="s">
        <v>32</v>
      </c>
      <c r="B651" s="198" t="s">
        <v>8404</v>
      </c>
      <c r="C651" s="198"/>
      <c r="D651" s="196">
        <v>2</v>
      </c>
      <c r="E651" s="196"/>
      <c r="F651" s="196">
        <v>0.59899999999999998</v>
      </c>
      <c r="G651" s="196">
        <v>168.8</v>
      </c>
      <c r="H651" s="196"/>
      <c r="I651" s="196"/>
      <c r="J651" s="196"/>
      <c r="K651" s="196"/>
      <c r="L651" s="200">
        <v>651</v>
      </c>
      <c r="M651" s="200">
        <v>3</v>
      </c>
      <c r="N651" s="200">
        <v>23</v>
      </c>
    </row>
    <row r="652" spans="1:14" x14ac:dyDescent="0.25">
      <c r="A652" s="198" t="s">
        <v>32</v>
      </c>
      <c r="B652" s="198" t="s">
        <v>8405</v>
      </c>
      <c r="C652" s="198"/>
      <c r="D652" s="196">
        <v>2</v>
      </c>
      <c r="E652" s="196"/>
      <c r="F652" s="196">
        <v>0.40200000000000002</v>
      </c>
      <c r="G652" s="196">
        <v>160.19999999999999</v>
      </c>
      <c r="H652" s="196"/>
      <c r="I652" s="196"/>
      <c r="J652" s="196"/>
      <c r="K652" s="196"/>
      <c r="L652" s="200">
        <v>652</v>
      </c>
      <c r="M652" s="200">
        <v>3</v>
      </c>
      <c r="N652" s="200">
        <v>23</v>
      </c>
    </row>
    <row r="653" spans="1:14" x14ac:dyDescent="0.25">
      <c r="A653" s="198" t="s">
        <v>32</v>
      </c>
      <c r="B653" s="198" t="s">
        <v>7847</v>
      </c>
      <c r="C653" s="198"/>
      <c r="D653" s="196">
        <v>2</v>
      </c>
      <c r="E653" s="196"/>
      <c r="F653" s="196">
        <v>0.155</v>
      </c>
      <c r="G653" s="196">
        <v>171.9</v>
      </c>
      <c r="H653" s="196"/>
      <c r="I653" s="196"/>
      <c r="J653" s="196"/>
      <c r="K653" s="196"/>
      <c r="L653" s="200">
        <v>653</v>
      </c>
      <c r="M653" s="200">
        <v>3</v>
      </c>
      <c r="N653" s="200">
        <v>23</v>
      </c>
    </row>
    <row r="654" spans="1:14" x14ac:dyDescent="0.25">
      <c r="A654" s="198" t="s">
        <v>32</v>
      </c>
      <c r="B654" s="198" t="s">
        <v>7850</v>
      </c>
      <c r="C654" s="198"/>
      <c r="D654" s="196">
        <v>2</v>
      </c>
      <c r="E654" s="196"/>
      <c r="F654" s="196">
        <v>0.29199999999999998</v>
      </c>
      <c r="G654" s="196">
        <v>165.3</v>
      </c>
      <c r="H654" s="196"/>
      <c r="I654" s="196"/>
      <c r="J654" s="196"/>
      <c r="K654" s="196"/>
      <c r="L654" s="200">
        <v>654</v>
      </c>
      <c r="M654" s="200">
        <v>3</v>
      </c>
      <c r="N654" s="200">
        <v>23</v>
      </c>
    </row>
    <row r="655" spans="1:14" x14ac:dyDescent="0.25">
      <c r="A655" s="198" t="s">
        <v>32</v>
      </c>
      <c r="B655" s="198" t="s">
        <v>8409</v>
      </c>
      <c r="C655" s="198"/>
      <c r="D655" s="196">
        <v>2</v>
      </c>
      <c r="E655" s="196"/>
      <c r="F655" s="196">
        <v>0.20300000000000001</v>
      </c>
      <c r="G655" s="196">
        <v>164.6</v>
      </c>
      <c r="H655" s="196"/>
      <c r="I655" s="196"/>
      <c r="J655" s="196"/>
      <c r="K655" s="196"/>
      <c r="L655" s="200">
        <v>655</v>
      </c>
      <c r="M655" s="200">
        <v>3</v>
      </c>
      <c r="N655" s="200">
        <v>23</v>
      </c>
    </row>
    <row r="656" spans="1:14" x14ac:dyDescent="0.25">
      <c r="A656" s="198" t="s">
        <v>32</v>
      </c>
      <c r="B656" s="198" t="s">
        <v>8410</v>
      </c>
      <c r="C656" s="198"/>
      <c r="D656" s="196">
        <v>2</v>
      </c>
      <c r="E656" s="196"/>
      <c r="F656" s="196">
        <v>0.27700000000000002</v>
      </c>
      <c r="G656" s="196">
        <v>165.3</v>
      </c>
      <c r="H656" s="196"/>
      <c r="I656" s="196"/>
      <c r="J656" s="196"/>
      <c r="K656" s="196"/>
      <c r="L656" s="200">
        <v>656</v>
      </c>
      <c r="M656" s="200">
        <v>3</v>
      </c>
      <c r="N656" s="200">
        <v>23</v>
      </c>
    </row>
    <row r="657" spans="1:17" x14ac:dyDescent="0.25">
      <c r="A657" s="198" t="s">
        <v>32</v>
      </c>
      <c r="B657" s="198" t="s">
        <v>1955</v>
      </c>
      <c r="C657" s="198"/>
      <c r="D657" s="196">
        <v>2</v>
      </c>
      <c r="E657" s="196"/>
      <c r="F657" s="196">
        <v>0.14799999999999999</v>
      </c>
      <c r="G657" s="196">
        <v>171.3</v>
      </c>
      <c r="H657" s="196"/>
      <c r="I657" s="196"/>
      <c r="J657" s="196"/>
      <c r="K657" s="196"/>
      <c r="L657" s="200">
        <v>657</v>
      </c>
      <c r="M657" s="200">
        <v>3</v>
      </c>
      <c r="N657" s="200">
        <v>23</v>
      </c>
    </row>
    <row r="658" spans="1:17" x14ac:dyDescent="0.25">
      <c r="A658" s="198" t="s">
        <v>32</v>
      </c>
      <c r="B658" s="198" t="s">
        <v>8411</v>
      </c>
      <c r="C658" s="198"/>
      <c r="D658" s="196">
        <v>2</v>
      </c>
      <c r="E658" s="196"/>
      <c r="F658" s="196">
        <v>0.51200000000000001</v>
      </c>
      <c r="G658" s="196">
        <v>172.6</v>
      </c>
      <c r="H658" s="196"/>
      <c r="I658" s="196"/>
      <c r="J658" s="196"/>
      <c r="K658" s="196"/>
      <c r="L658" s="200">
        <v>658</v>
      </c>
      <c r="M658" s="200">
        <v>3</v>
      </c>
      <c r="N658" s="200">
        <v>23</v>
      </c>
    </row>
    <row r="659" spans="1:17" x14ac:dyDescent="0.25">
      <c r="A659" s="198" t="s">
        <v>32</v>
      </c>
      <c r="B659" s="198" t="s">
        <v>8412</v>
      </c>
      <c r="C659" s="198"/>
      <c r="D659" s="196">
        <v>2</v>
      </c>
      <c r="E659" s="196"/>
      <c r="F659" s="196">
        <v>0.19900000000000001</v>
      </c>
      <c r="G659" s="196">
        <v>168.5</v>
      </c>
      <c r="H659" s="196"/>
      <c r="I659" s="196"/>
      <c r="J659" s="196"/>
      <c r="K659" s="196"/>
      <c r="L659" s="200">
        <v>659</v>
      </c>
      <c r="M659" s="200">
        <v>3</v>
      </c>
      <c r="N659" s="200">
        <v>23</v>
      </c>
    </row>
    <row r="660" spans="1:17" x14ac:dyDescent="0.25">
      <c r="A660" s="198" t="s">
        <v>1966</v>
      </c>
      <c r="B660" s="198" t="s">
        <v>3428</v>
      </c>
      <c r="C660" s="198">
        <v>0</v>
      </c>
      <c r="D660" s="196">
        <v>41</v>
      </c>
      <c r="E660" s="196">
        <v>10.64</v>
      </c>
      <c r="F660" s="196">
        <v>0.19800000000000001</v>
      </c>
      <c r="G660" s="196">
        <v>20.353000000000002</v>
      </c>
      <c r="H660" s="196">
        <v>86.322000000000003</v>
      </c>
      <c r="I660" s="196">
        <v>205.33</v>
      </c>
      <c r="J660" s="196">
        <v>192.91</v>
      </c>
      <c r="K660" s="196"/>
      <c r="L660" s="200">
        <v>660</v>
      </c>
      <c r="M660" s="200">
        <v>1</v>
      </c>
      <c r="N660" s="200">
        <v>6</v>
      </c>
    </row>
    <row r="661" spans="1:17" x14ac:dyDescent="0.25">
      <c r="A661" s="198" t="s">
        <v>1966</v>
      </c>
      <c r="B661" s="198" t="s">
        <v>3434</v>
      </c>
      <c r="C661" s="198">
        <v>0</v>
      </c>
      <c r="D661" s="196">
        <v>30</v>
      </c>
      <c r="E661" s="196">
        <v>10.68</v>
      </c>
      <c r="F661" s="196">
        <v>0.45500000000000002</v>
      </c>
      <c r="G661" s="196">
        <v>4.3449999999999998</v>
      </c>
      <c r="H661" s="196">
        <v>162.88900000000001</v>
      </c>
      <c r="I661" s="196">
        <v>173.33500000000001</v>
      </c>
      <c r="J661" s="196">
        <v>7.5110000000000001</v>
      </c>
      <c r="K661" s="196"/>
      <c r="L661" s="200">
        <v>661</v>
      </c>
      <c r="M661" s="200">
        <v>1</v>
      </c>
      <c r="N661" s="200">
        <v>6</v>
      </c>
    </row>
    <row r="662" spans="1:17" x14ac:dyDescent="0.25">
      <c r="A662" s="198" t="s">
        <v>1966</v>
      </c>
      <c r="B662" s="198" t="s">
        <v>3440</v>
      </c>
      <c r="C662" s="198">
        <v>0</v>
      </c>
      <c r="D662" s="196">
        <v>26</v>
      </c>
      <c r="E662" s="196">
        <v>11.811</v>
      </c>
      <c r="F662" s="196">
        <v>0.38</v>
      </c>
      <c r="G662" s="196">
        <v>5.2450000000000001</v>
      </c>
      <c r="H662" s="196">
        <v>281.62</v>
      </c>
      <c r="I662" s="196">
        <v>87.158000000000001</v>
      </c>
      <c r="J662" s="196">
        <v>170.74</v>
      </c>
      <c r="K662" s="196"/>
      <c r="L662" s="200">
        <v>662</v>
      </c>
      <c r="M662" s="200">
        <v>1</v>
      </c>
      <c r="N662" s="200">
        <v>6</v>
      </c>
    </row>
    <row r="663" spans="1:17" x14ac:dyDescent="0.25">
      <c r="A663" s="198" t="s">
        <v>1966</v>
      </c>
      <c r="B663" s="198" t="s">
        <v>8454</v>
      </c>
      <c r="C663" s="198">
        <v>0</v>
      </c>
      <c r="D663" s="196">
        <v>51</v>
      </c>
      <c r="E663" s="196">
        <v>12.944000000000001</v>
      </c>
      <c r="F663" s="196">
        <v>0.32600000000000001</v>
      </c>
      <c r="G663" s="196">
        <v>37.709000000000003</v>
      </c>
      <c r="H663" s="196">
        <v>237.99</v>
      </c>
      <c r="I663" s="196">
        <v>6.28</v>
      </c>
      <c r="J663" s="196">
        <v>314.27</v>
      </c>
      <c r="K663" s="196"/>
      <c r="L663" s="200">
        <v>663</v>
      </c>
      <c r="M663" s="200">
        <v>2</v>
      </c>
      <c r="N663" s="200">
        <v>6</v>
      </c>
    </row>
    <row r="664" spans="1:17" x14ac:dyDescent="0.25">
      <c r="A664" s="197" t="s">
        <v>1958</v>
      </c>
      <c r="B664" s="198" t="s">
        <v>1959</v>
      </c>
      <c r="C664" s="198">
        <v>0</v>
      </c>
      <c r="D664" s="196">
        <v>117</v>
      </c>
      <c r="E664" s="196">
        <v>13.7</v>
      </c>
      <c r="F664" s="196">
        <v>0.377</v>
      </c>
      <c r="G664" s="196">
        <v>6.93</v>
      </c>
      <c r="H664" s="196">
        <v>339.71</v>
      </c>
      <c r="I664" s="196">
        <v>209.27</v>
      </c>
      <c r="J664" s="196">
        <v>180.7</v>
      </c>
      <c r="K664" s="196"/>
      <c r="L664" s="200">
        <v>664</v>
      </c>
      <c r="M664" s="200">
        <v>1</v>
      </c>
      <c r="N664" s="200">
        <v>6</v>
      </c>
      <c r="O664" s="194" t="s">
        <v>1959</v>
      </c>
      <c r="P664" s="194" t="s">
        <v>9594</v>
      </c>
      <c r="Q664" s="200" t="s">
        <v>8062</v>
      </c>
    </row>
    <row r="665" spans="1:17" x14ac:dyDescent="0.25">
      <c r="A665" s="198" t="s">
        <v>1966</v>
      </c>
      <c r="B665" s="198" t="s">
        <v>8455</v>
      </c>
      <c r="C665" s="198">
        <v>0</v>
      </c>
      <c r="D665" s="196">
        <v>99</v>
      </c>
      <c r="E665" s="196">
        <v>15.755000000000001</v>
      </c>
      <c r="F665" s="196">
        <v>0.4</v>
      </c>
      <c r="G665" s="196">
        <v>153.41800000000001</v>
      </c>
      <c r="H665" s="196">
        <v>32.701999999999998</v>
      </c>
      <c r="I665" s="196">
        <v>47.804000000000002</v>
      </c>
      <c r="J665" s="196">
        <v>178.62200000000001</v>
      </c>
      <c r="K665" s="196"/>
      <c r="L665" s="200">
        <v>665</v>
      </c>
      <c r="M665" s="200">
        <v>2</v>
      </c>
      <c r="N665" s="200">
        <v>6</v>
      </c>
    </row>
    <row r="666" spans="1:17" x14ac:dyDescent="0.25">
      <c r="A666" s="198" t="s">
        <v>1966</v>
      </c>
      <c r="B666" s="198" t="s">
        <v>1967</v>
      </c>
      <c r="C666" s="198">
        <v>0</v>
      </c>
      <c r="D666" s="196">
        <v>127</v>
      </c>
      <c r="E666" s="196">
        <v>15.821999999999999</v>
      </c>
      <c r="F666" s="196">
        <v>0.17199999999999999</v>
      </c>
      <c r="G666" s="196">
        <v>23.382000000000001</v>
      </c>
      <c r="H666" s="196">
        <v>242.9</v>
      </c>
      <c r="I666" s="196">
        <v>300.42</v>
      </c>
      <c r="J666" s="196">
        <v>77.67</v>
      </c>
      <c r="K666" s="196">
        <v>0.79</v>
      </c>
      <c r="L666" s="200">
        <v>666</v>
      </c>
      <c r="M666" s="200">
        <v>1</v>
      </c>
      <c r="N666" s="200">
        <v>6</v>
      </c>
    </row>
    <row r="667" spans="1:17" x14ac:dyDescent="0.25">
      <c r="A667" s="198" t="s">
        <v>1966</v>
      </c>
      <c r="B667" s="198" t="s">
        <v>8456</v>
      </c>
      <c r="C667" s="198">
        <v>0</v>
      </c>
      <c r="D667" s="196">
        <v>53</v>
      </c>
      <c r="E667" s="196">
        <v>15.975</v>
      </c>
      <c r="F667" s="196">
        <v>0.33600000000000002</v>
      </c>
      <c r="G667" s="196">
        <v>21.321000000000002</v>
      </c>
      <c r="H667" s="196">
        <v>329.35700000000003</v>
      </c>
      <c r="I667" s="196">
        <v>286.50799999999998</v>
      </c>
      <c r="J667" s="196">
        <v>184.88300000000001</v>
      </c>
      <c r="K667" s="196"/>
      <c r="L667" s="200">
        <v>667</v>
      </c>
      <c r="M667" s="200">
        <v>2</v>
      </c>
      <c r="N667" s="200">
        <v>6</v>
      </c>
    </row>
    <row r="668" spans="1:17" x14ac:dyDescent="0.25">
      <c r="A668" s="198" t="s">
        <v>1966</v>
      </c>
      <c r="B668" s="198" t="s">
        <v>1973</v>
      </c>
      <c r="C668" s="198">
        <v>0</v>
      </c>
      <c r="D668" s="196">
        <v>99</v>
      </c>
      <c r="E668" s="196">
        <v>16.443999999999999</v>
      </c>
      <c r="F668" s="196">
        <v>0.19900000000000001</v>
      </c>
      <c r="G668" s="196">
        <v>20.745000000000001</v>
      </c>
      <c r="H668" s="196">
        <v>153.374</v>
      </c>
      <c r="I668" s="196">
        <v>337.72800000000001</v>
      </c>
      <c r="J668" s="196">
        <v>318.47300000000001</v>
      </c>
      <c r="K668" s="196"/>
      <c r="L668" s="200">
        <v>668</v>
      </c>
      <c r="M668" s="200">
        <v>1</v>
      </c>
      <c r="N668" s="200">
        <v>6</v>
      </c>
    </row>
    <row r="669" spans="1:17" x14ac:dyDescent="0.25">
      <c r="A669" s="198" t="s">
        <v>1966</v>
      </c>
      <c r="B669" s="198" t="s">
        <v>3452</v>
      </c>
      <c r="C669" s="198">
        <v>0</v>
      </c>
      <c r="D669" s="196">
        <v>39</v>
      </c>
      <c r="E669" s="196">
        <v>17.966000000000001</v>
      </c>
      <c r="F669" s="196">
        <v>0.621</v>
      </c>
      <c r="G669" s="196">
        <v>17.638000000000002</v>
      </c>
      <c r="H669" s="196">
        <v>290.06</v>
      </c>
      <c r="I669" s="196">
        <v>6.1319999999999997</v>
      </c>
      <c r="J669" s="196">
        <v>71.41</v>
      </c>
      <c r="K669" s="196"/>
      <c r="L669" s="200">
        <v>669</v>
      </c>
      <c r="M669" s="200">
        <v>1</v>
      </c>
      <c r="N669" s="200">
        <v>6</v>
      </c>
    </row>
    <row r="670" spans="1:17" x14ac:dyDescent="0.25">
      <c r="A670" s="198" t="s">
        <v>1966</v>
      </c>
      <c r="B670" s="198" t="s">
        <v>3446</v>
      </c>
      <c r="C670" s="198">
        <v>0</v>
      </c>
      <c r="D670" s="196">
        <v>48</v>
      </c>
      <c r="E670" s="196">
        <v>17.989999999999998</v>
      </c>
      <c r="F670" s="196">
        <v>0.45900000000000002</v>
      </c>
      <c r="G670" s="196">
        <v>6.7690000000000001</v>
      </c>
      <c r="H670" s="196">
        <v>215.74</v>
      </c>
      <c r="I670" s="196">
        <v>103.76</v>
      </c>
      <c r="J670" s="196">
        <v>200.78</v>
      </c>
      <c r="K670" s="196"/>
      <c r="L670" s="200">
        <v>670</v>
      </c>
      <c r="M670" s="200">
        <v>1</v>
      </c>
      <c r="N670" s="200">
        <v>6</v>
      </c>
    </row>
    <row r="671" spans="1:17" x14ac:dyDescent="0.25">
      <c r="A671" s="198" t="s">
        <v>1485</v>
      </c>
      <c r="B671" s="198" t="s">
        <v>8457</v>
      </c>
      <c r="C671" s="198">
        <v>0</v>
      </c>
      <c r="D671" s="196">
        <v>30</v>
      </c>
      <c r="E671" s="196">
        <v>19.04</v>
      </c>
      <c r="F671" s="196">
        <v>0.17799999999999999</v>
      </c>
      <c r="G671" s="196">
        <v>10.833</v>
      </c>
      <c r="H671" s="196">
        <v>288.25</v>
      </c>
      <c r="I671" s="196">
        <v>222.52</v>
      </c>
      <c r="J671" s="196">
        <v>283.83999999999997</v>
      </c>
      <c r="K671" s="196"/>
      <c r="L671" s="200">
        <v>671</v>
      </c>
      <c r="M671" s="200">
        <v>2</v>
      </c>
      <c r="N671" s="200">
        <v>15</v>
      </c>
    </row>
    <row r="672" spans="1:17" x14ac:dyDescent="0.25">
      <c r="A672" s="198" t="s">
        <v>1485</v>
      </c>
      <c r="B672" s="198" t="s">
        <v>8458</v>
      </c>
      <c r="C672" s="198">
        <v>0</v>
      </c>
      <c r="D672" s="196">
        <v>39</v>
      </c>
      <c r="E672" s="196">
        <v>19.13</v>
      </c>
      <c r="F672" s="196">
        <v>0.27700000000000002</v>
      </c>
      <c r="G672" s="196">
        <v>25.550999999999998</v>
      </c>
      <c r="H672" s="196">
        <v>280.584</v>
      </c>
      <c r="I672" s="196">
        <v>91.444000000000003</v>
      </c>
      <c r="J672" s="196">
        <v>75.587000000000003</v>
      </c>
      <c r="K672" s="196"/>
      <c r="L672" s="200">
        <v>672</v>
      </c>
      <c r="M672" s="200">
        <v>2</v>
      </c>
      <c r="N672" s="200">
        <v>15</v>
      </c>
    </row>
    <row r="673" spans="1:17" x14ac:dyDescent="0.25">
      <c r="A673" s="197" t="s">
        <v>1993</v>
      </c>
      <c r="B673" s="198" t="s">
        <v>1994</v>
      </c>
      <c r="C673" s="198">
        <v>29</v>
      </c>
      <c r="D673" s="196">
        <v>25362</v>
      </c>
      <c r="E673" s="196">
        <v>19.190999999999999</v>
      </c>
      <c r="F673" s="196">
        <v>4.7E-2</v>
      </c>
      <c r="G673" s="196">
        <v>0.77300000000000002</v>
      </c>
      <c r="H673" s="196">
        <v>96.998999999999995</v>
      </c>
      <c r="I673" s="196">
        <v>74.006</v>
      </c>
      <c r="J673" s="196">
        <v>142.239</v>
      </c>
      <c r="K673" s="196">
        <v>1.27</v>
      </c>
      <c r="L673" s="200">
        <v>673</v>
      </c>
      <c r="M673" s="200">
        <v>1</v>
      </c>
      <c r="N673" s="200">
        <v>1</v>
      </c>
      <c r="O673" s="194" t="s">
        <v>1994</v>
      </c>
      <c r="P673" s="194" t="s">
        <v>9593</v>
      </c>
      <c r="Q673" s="200" t="s">
        <v>8064</v>
      </c>
    </row>
    <row r="674" spans="1:17" x14ac:dyDescent="0.25">
      <c r="A674" s="198" t="s">
        <v>32</v>
      </c>
      <c r="B674" s="198" t="s">
        <v>2001</v>
      </c>
      <c r="C674" s="198"/>
      <c r="D674" s="196">
        <v>20</v>
      </c>
      <c r="E674" s="196"/>
      <c r="F674" s="196">
        <v>0</v>
      </c>
      <c r="G674" s="196"/>
      <c r="H674" s="196"/>
      <c r="I674" s="196"/>
      <c r="J674" s="196"/>
      <c r="K674" s="196">
        <v>1.79</v>
      </c>
      <c r="L674" s="200">
        <v>674</v>
      </c>
      <c r="M674" s="200">
        <v>1</v>
      </c>
      <c r="N674" s="200">
        <v>25</v>
      </c>
    </row>
    <row r="675" spans="1:17" x14ac:dyDescent="0.25">
      <c r="A675" s="198" t="s">
        <v>32</v>
      </c>
      <c r="B675" s="198" t="s">
        <v>1140</v>
      </c>
      <c r="C675" s="198"/>
      <c r="D675" s="196">
        <v>22</v>
      </c>
      <c r="E675" s="196"/>
      <c r="F675" s="196">
        <v>0.01</v>
      </c>
      <c r="G675" s="196"/>
      <c r="H675" s="196"/>
      <c r="I675" s="196"/>
      <c r="J675" s="196"/>
      <c r="K675" s="196">
        <v>0.87</v>
      </c>
      <c r="L675" s="200">
        <v>675</v>
      </c>
      <c r="M675" s="200">
        <v>1</v>
      </c>
      <c r="N675" s="200">
        <v>25</v>
      </c>
    </row>
    <row r="676" spans="1:17" x14ac:dyDescent="0.25">
      <c r="A676" s="198" t="s">
        <v>32</v>
      </c>
      <c r="B676" s="198" t="s">
        <v>7889</v>
      </c>
      <c r="C676" s="198"/>
      <c r="D676" s="196">
        <v>5</v>
      </c>
      <c r="E676" s="196"/>
      <c r="F676" s="196">
        <v>0</v>
      </c>
      <c r="G676" s="196"/>
      <c r="H676" s="196"/>
      <c r="I676" s="196"/>
      <c r="J676" s="196"/>
      <c r="K676" s="196"/>
      <c r="L676" s="200">
        <v>676</v>
      </c>
      <c r="M676" s="200">
        <v>3</v>
      </c>
      <c r="N676" s="200">
        <v>25</v>
      </c>
    </row>
    <row r="677" spans="1:17" x14ac:dyDescent="0.25">
      <c r="A677" s="198" t="s">
        <v>32</v>
      </c>
      <c r="B677" s="198" t="s">
        <v>2004</v>
      </c>
      <c r="C677" s="198"/>
      <c r="D677" s="196">
        <v>26</v>
      </c>
      <c r="E677" s="196"/>
      <c r="F677" s="196">
        <v>1E-3</v>
      </c>
      <c r="G677" s="196"/>
      <c r="H677" s="196"/>
      <c r="I677" s="196"/>
      <c r="J677" s="196"/>
      <c r="K677" s="196"/>
      <c r="L677" s="200">
        <v>677</v>
      </c>
      <c r="M677" s="200">
        <v>1</v>
      </c>
      <c r="N677" s="200">
        <v>25</v>
      </c>
    </row>
    <row r="678" spans="1:17" x14ac:dyDescent="0.25">
      <c r="A678" s="198" t="s">
        <v>32</v>
      </c>
      <c r="B678" s="198" t="s">
        <v>2006</v>
      </c>
      <c r="C678" s="198"/>
      <c r="D678" s="196">
        <v>40</v>
      </c>
      <c r="E678" s="196"/>
      <c r="F678" s="196">
        <v>0</v>
      </c>
      <c r="G678" s="196"/>
      <c r="H678" s="196"/>
      <c r="I678" s="196"/>
      <c r="J678" s="196"/>
      <c r="K678" s="196">
        <v>0.78</v>
      </c>
      <c r="L678" s="200">
        <v>678</v>
      </c>
      <c r="M678" s="200">
        <v>1</v>
      </c>
      <c r="N678" s="200">
        <v>25</v>
      </c>
    </row>
    <row r="679" spans="1:17" x14ac:dyDescent="0.25">
      <c r="A679" s="198" t="s">
        <v>32</v>
      </c>
      <c r="B679" s="198" t="s">
        <v>2008</v>
      </c>
      <c r="C679" s="198"/>
      <c r="D679" s="196">
        <v>32</v>
      </c>
      <c r="E679" s="196"/>
      <c r="F679" s="196">
        <v>0</v>
      </c>
      <c r="G679" s="196"/>
      <c r="H679" s="196"/>
      <c r="I679" s="196"/>
      <c r="J679" s="196"/>
      <c r="K679" s="196"/>
      <c r="L679" s="200">
        <v>679</v>
      </c>
      <c r="M679" s="200">
        <v>1</v>
      </c>
      <c r="N679" s="200">
        <v>25</v>
      </c>
    </row>
    <row r="680" spans="1:17" x14ac:dyDescent="0.25">
      <c r="A680" s="198" t="s">
        <v>32</v>
      </c>
      <c r="B680" s="198" t="s">
        <v>2011</v>
      </c>
      <c r="C680" s="198"/>
      <c r="D680" s="196">
        <v>47</v>
      </c>
      <c r="E680" s="196"/>
      <c r="F680" s="196">
        <v>1E-3</v>
      </c>
      <c r="G680" s="196"/>
      <c r="H680" s="196"/>
      <c r="I680" s="196"/>
      <c r="J680" s="196"/>
      <c r="K680" s="196"/>
      <c r="L680" s="200">
        <v>680</v>
      </c>
      <c r="M680" s="200">
        <v>1</v>
      </c>
      <c r="N680" s="200">
        <v>25</v>
      </c>
    </row>
    <row r="681" spans="1:17" x14ac:dyDescent="0.25">
      <c r="A681" s="198" t="s">
        <v>32</v>
      </c>
      <c r="B681" s="198" t="s">
        <v>2013</v>
      </c>
      <c r="C681" s="198"/>
      <c r="D681" s="196">
        <v>68</v>
      </c>
      <c r="E681" s="196"/>
      <c r="F681" s="196">
        <v>0</v>
      </c>
      <c r="G681" s="196"/>
      <c r="H681" s="196"/>
      <c r="I681" s="196"/>
      <c r="J681" s="196"/>
      <c r="K681" s="196"/>
      <c r="L681" s="200">
        <v>681</v>
      </c>
      <c r="M681" s="200">
        <v>1</v>
      </c>
      <c r="N681" s="200">
        <v>25</v>
      </c>
    </row>
    <row r="682" spans="1:17" x14ac:dyDescent="0.25">
      <c r="A682" s="198" t="s">
        <v>32</v>
      </c>
      <c r="B682" s="198" t="s">
        <v>2015</v>
      </c>
      <c r="C682" s="198"/>
      <c r="D682" s="196">
        <v>36</v>
      </c>
      <c r="E682" s="196"/>
      <c r="F682" s="196">
        <v>0</v>
      </c>
      <c r="G682" s="196"/>
      <c r="H682" s="196"/>
      <c r="I682" s="196"/>
      <c r="J682" s="196"/>
      <c r="K682" s="196"/>
      <c r="L682" s="200">
        <v>682</v>
      </c>
      <c r="M682" s="200">
        <v>1</v>
      </c>
      <c r="N682" s="200">
        <v>25</v>
      </c>
    </row>
    <row r="683" spans="1:17" x14ac:dyDescent="0.25">
      <c r="A683" s="198" t="s">
        <v>32</v>
      </c>
      <c r="B683" s="198" t="s">
        <v>2018</v>
      </c>
      <c r="C683" s="198"/>
      <c r="D683" s="196">
        <v>9</v>
      </c>
      <c r="E683" s="196"/>
      <c r="F683" s="196">
        <v>1E-3</v>
      </c>
      <c r="G683" s="196"/>
      <c r="H683" s="196"/>
      <c r="I683" s="196"/>
      <c r="J683" s="196"/>
      <c r="K683" s="196"/>
      <c r="L683" s="200">
        <v>683</v>
      </c>
      <c r="M683" s="200">
        <v>1</v>
      </c>
      <c r="N683" s="200">
        <v>25</v>
      </c>
    </row>
    <row r="684" spans="1:17" x14ac:dyDescent="0.25">
      <c r="A684" s="198" t="s">
        <v>32</v>
      </c>
      <c r="B684" s="198" t="s">
        <v>2020</v>
      </c>
      <c r="C684" s="198"/>
      <c r="D684" s="196">
        <v>45</v>
      </c>
      <c r="E684" s="196"/>
      <c r="F684" s="196">
        <v>0</v>
      </c>
      <c r="G684" s="196"/>
      <c r="H684" s="196"/>
      <c r="I684" s="196"/>
      <c r="J684" s="196"/>
      <c r="K684" s="196"/>
      <c r="L684" s="200">
        <v>684</v>
      </c>
      <c r="M684" s="200">
        <v>1</v>
      </c>
      <c r="N684" s="200">
        <v>25</v>
      </c>
    </row>
    <row r="685" spans="1:17" x14ac:dyDescent="0.25">
      <c r="A685" s="198" t="s">
        <v>32</v>
      </c>
      <c r="B685" s="198" t="s">
        <v>2023</v>
      </c>
      <c r="C685" s="198"/>
      <c r="D685" s="196">
        <v>15</v>
      </c>
      <c r="E685" s="196"/>
      <c r="F685" s="196">
        <v>1E-3</v>
      </c>
      <c r="G685" s="196"/>
      <c r="H685" s="196"/>
      <c r="I685" s="196"/>
      <c r="J685" s="196"/>
      <c r="K685" s="196"/>
      <c r="L685" s="200">
        <v>685</v>
      </c>
      <c r="M685" s="200">
        <v>1</v>
      </c>
      <c r="N685" s="200">
        <v>25</v>
      </c>
    </row>
    <row r="686" spans="1:17" x14ac:dyDescent="0.25">
      <c r="A686" s="198" t="s">
        <v>32</v>
      </c>
      <c r="B686" s="198" t="s">
        <v>2025</v>
      </c>
      <c r="C686" s="198"/>
      <c r="D686" s="196">
        <v>81</v>
      </c>
      <c r="E686" s="196"/>
      <c r="F686" s="196">
        <v>0</v>
      </c>
      <c r="G686" s="196"/>
      <c r="H686" s="196"/>
      <c r="I686" s="196"/>
      <c r="J686" s="196"/>
      <c r="K686" s="196">
        <v>0.85799999999999998</v>
      </c>
      <c r="L686" s="200">
        <v>686</v>
      </c>
      <c r="M686" s="200">
        <v>1</v>
      </c>
      <c r="N686" s="200">
        <v>25</v>
      </c>
    </row>
    <row r="687" spans="1:17" x14ac:dyDescent="0.25">
      <c r="A687" s="198" t="s">
        <v>32</v>
      </c>
      <c r="B687" s="198" t="s">
        <v>2028</v>
      </c>
      <c r="C687" s="198"/>
      <c r="D687" s="196">
        <v>9</v>
      </c>
      <c r="E687" s="196"/>
      <c r="F687" s="196">
        <v>4.0000000000000001E-3</v>
      </c>
      <c r="G687" s="196"/>
      <c r="H687" s="196"/>
      <c r="I687" s="196"/>
      <c r="J687" s="196"/>
      <c r="K687" s="196"/>
      <c r="L687" s="200">
        <v>687</v>
      </c>
      <c r="M687" s="200">
        <v>1</v>
      </c>
      <c r="N687" s="200">
        <v>25</v>
      </c>
    </row>
    <row r="688" spans="1:17" x14ac:dyDescent="0.25">
      <c r="A688" s="198" t="s">
        <v>32</v>
      </c>
      <c r="B688" s="198" t="s">
        <v>2030</v>
      </c>
      <c r="C688" s="198"/>
      <c r="D688" s="196">
        <v>239</v>
      </c>
      <c r="E688" s="196"/>
      <c r="F688" s="196">
        <v>1E-3</v>
      </c>
      <c r="G688" s="196"/>
      <c r="H688" s="196"/>
      <c r="I688" s="196"/>
      <c r="J688" s="196"/>
      <c r="K688" s="196">
        <v>1.1479999999999999</v>
      </c>
      <c r="L688" s="200">
        <v>688</v>
      </c>
      <c r="M688" s="200">
        <v>1</v>
      </c>
      <c r="N688" s="200">
        <v>3</v>
      </c>
    </row>
    <row r="689" spans="1:14" x14ac:dyDescent="0.25">
      <c r="A689" s="198" t="s">
        <v>32</v>
      </c>
      <c r="B689" s="198" t="s">
        <v>2033</v>
      </c>
      <c r="C689" s="198"/>
      <c r="D689" s="196">
        <v>579</v>
      </c>
      <c r="E689" s="196"/>
      <c r="F689" s="196">
        <v>1E-3</v>
      </c>
      <c r="G689" s="196"/>
      <c r="H689" s="196"/>
      <c r="I689" s="196"/>
      <c r="J689" s="196"/>
      <c r="K689" s="196">
        <v>1.5169999999999999</v>
      </c>
      <c r="L689" s="200">
        <v>689</v>
      </c>
      <c r="M689" s="200">
        <v>1</v>
      </c>
      <c r="N689" s="200">
        <v>3</v>
      </c>
    </row>
    <row r="690" spans="1:14" x14ac:dyDescent="0.25">
      <c r="A690" s="198" t="s">
        <v>32</v>
      </c>
      <c r="B690" s="198" t="s">
        <v>2036</v>
      </c>
      <c r="C690" s="198"/>
      <c r="D690" s="196">
        <v>585</v>
      </c>
      <c r="E690" s="196"/>
      <c r="F690" s="196">
        <v>4.0000000000000001E-3</v>
      </c>
      <c r="G690" s="196"/>
      <c r="H690" s="196"/>
      <c r="I690" s="196"/>
      <c r="J690" s="196"/>
      <c r="K690" s="196">
        <v>1.5389999999999999</v>
      </c>
      <c r="L690" s="200">
        <v>690</v>
      </c>
      <c r="M690" s="200">
        <v>1</v>
      </c>
      <c r="N690" s="200">
        <v>3</v>
      </c>
    </row>
    <row r="691" spans="1:14" x14ac:dyDescent="0.25">
      <c r="A691" s="198" t="s">
        <v>32</v>
      </c>
      <c r="B691" s="198" t="s">
        <v>2039</v>
      </c>
      <c r="C691" s="198"/>
      <c r="D691" s="196">
        <v>788</v>
      </c>
      <c r="E691" s="196"/>
      <c r="F691" s="196">
        <v>1E-3</v>
      </c>
      <c r="G691" s="196"/>
      <c r="H691" s="196"/>
      <c r="I691" s="196"/>
      <c r="J691" s="196"/>
      <c r="K691" s="196">
        <v>1.6830000000000001</v>
      </c>
      <c r="L691" s="200">
        <v>691</v>
      </c>
      <c r="M691" s="200">
        <v>1</v>
      </c>
      <c r="N691" s="200">
        <v>3</v>
      </c>
    </row>
    <row r="692" spans="1:14" x14ac:dyDescent="0.25">
      <c r="A692" s="198" t="s">
        <v>32</v>
      </c>
      <c r="B692" s="198" t="s">
        <v>2042</v>
      </c>
      <c r="C692" s="198"/>
      <c r="D692" s="196">
        <v>761</v>
      </c>
      <c r="E692" s="196"/>
      <c r="F692" s="196">
        <v>1E-3</v>
      </c>
      <c r="G692" s="196"/>
      <c r="H692" s="196"/>
      <c r="I692" s="196"/>
      <c r="J692" s="196"/>
      <c r="K692" s="196">
        <v>1.6819999999999999</v>
      </c>
      <c r="L692" s="200">
        <v>692</v>
      </c>
      <c r="M692" s="200">
        <v>1</v>
      </c>
      <c r="N692" s="200">
        <v>3</v>
      </c>
    </row>
    <row r="693" spans="1:14" x14ac:dyDescent="0.25">
      <c r="A693" s="198" t="s">
        <v>32</v>
      </c>
      <c r="B693" s="198" t="s">
        <v>2045</v>
      </c>
      <c r="C693" s="198"/>
      <c r="D693" s="196">
        <v>11</v>
      </c>
      <c r="E693" s="196"/>
      <c r="F693" s="196">
        <v>0.14599999999999999</v>
      </c>
      <c r="G693" s="196">
        <v>145</v>
      </c>
      <c r="H693" s="196"/>
      <c r="I693" s="196"/>
      <c r="J693" s="196"/>
      <c r="K693" s="196"/>
      <c r="L693" s="200">
        <v>693</v>
      </c>
      <c r="M693" s="200">
        <v>1</v>
      </c>
      <c r="N693" s="200">
        <v>25</v>
      </c>
    </row>
    <row r="694" spans="1:14" x14ac:dyDescent="0.25">
      <c r="A694" s="198" t="s">
        <v>32</v>
      </c>
      <c r="B694" s="198" t="s">
        <v>2048</v>
      </c>
      <c r="C694" s="198"/>
      <c r="D694" s="196">
        <v>21</v>
      </c>
      <c r="E694" s="196"/>
      <c r="F694" s="196">
        <v>7.6999999999999999E-2</v>
      </c>
      <c r="G694" s="196">
        <v>139.90799999999999</v>
      </c>
      <c r="H694" s="196"/>
      <c r="I694" s="196"/>
      <c r="J694" s="196"/>
      <c r="K694" s="196"/>
      <c r="L694" s="200">
        <v>694</v>
      </c>
      <c r="M694" s="200">
        <v>1</v>
      </c>
      <c r="N694" s="200">
        <v>25</v>
      </c>
    </row>
    <row r="695" spans="1:14" x14ac:dyDescent="0.25">
      <c r="A695" s="198" t="s">
        <v>32</v>
      </c>
      <c r="B695" s="198" t="s">
        <v>2051</v>
      </c>
      <c r="C695" s="198"/>
      <c r="D695" s="196">
        <v>16</v>
      </c>
      <c r="E695" s="196"/>
      <c r="F695" s="196">
        <v>0.23499999999999999</v>
      </c>
      <c r="G695" s="196">
        <v>143.6</v>
      </c>
      <c r="H695" s="196"/>
      <c r="I695" s="196"/>
      <c r="J695" s="196"/>
      <c r="K695" s="196"/>
      <c r="L695" s="200">
        <v>695</v>
      </c>
      <c r="M695" s="200">
        <v>1</v>
      </c>
      <c r="N695" s="200">
        <v>25</v>
      </c>
    </row>
    <row r="696" spans="1:14" x14ac:dyDescent="0.25">
      <c r="A696" s="198" t="s">
        <v>32</v>
      </c>
      <c r="B696" s="198" t="s">
        <v>2054</v>
      </c>
      <c r="C696" s="198"/>
      <c r="D696" s="196">
        <v>4</v>
      </c>
      <c r="E696" s="196"/>
      <c r="F696" s="196">
        <v>0.25</v>
      </c>
      <c r="G696" s="196">
        <v>143.9</v>
      </c>
      <c r="H696" s="196"/>
      <c r="I696" s="196"/>
      <c r="J696" s="196"/>
      <c r="K696" s="196"/>
      <c r="L696" s="200">
        <v>696</v>
      </c>
      <c r="M696" s="200">
        <v>3</v>
      </c>
      <c r="N696" s="200">
        <v>25</v>
      </c>
    </row>
    <row r="697" spans="1:14" x14ac:dyDescent="0.25">
      <c r="A697" s="198" t="s">
        <v>32</v>
      </c>
      <c r="B697" s="198" t="s">
        <v>2057</v>
      </c>
      <c r="C697" s="198"/>
      <c r="D697" s="196">
        <v>9</v>
      </c>
      <c r="E697" s="196"/>
      <c r="F697" s="196">
        <v>0.22</v>
      </c>
      <c r="G697" s="196">
        <v>167</v>
      </c>
      <c r="H697" s="196"/>
      <c r="I697" s="196"/>
      <c r="J697" s="196"/>
      <c r="K697" s="196"/>
      <c r="L697" s="200">
        <v>697</v>
      </c>
      <c r="M697" s="200">
        <v>1</v>
      </c>
      <c r="N697" s="200">
        <v>25</v>
      </c>
    </row>
    <row r="698" spans="1:14" x14ac:dyDescent="0.25">
      <c r="A698" s="198" t="s">
        <v>32</v>
      </c>
      <c r="B698" s="198" t="s">
        <v>2060</v>
      </c>
      <c r="C698" s="198"/>
      <c r="D698" s="196">
        <v>79</v>
      </c>
      <c r="E698" s="196"/>
      <c r="F698" s="196">
        <v>0.48399999999999999</v>
      </c>
      <c r="G698" s="196">
        <v>153.22800000000001</v>
      </c>
      <c r="H698" s="196"/>
      <c r="I698" s="196"/>
      <c r="J698" s="196"/>
      <c r="K698" s="196"/>
      <c r="L698" s="200">
        <v>698</v>
      </c>
      <c r="M698" s="200">
        <v>1</v>
      </c>
      <c r="N698" s="200">
        <v>25</v>
      </c>
    </row>
    <row r="699" spans="1:14" x14ac:dyDescent="0.25">
      <c r="A699" s="198" t="s">
        <v>32</v>
      </c>
      <c r="B699" s="198" t="s">
        <v>2063</v>
      </c>
      <c r="C699" s="198"/>
      <c r="D699" s="196">
        <v>10</v>
      </c>
      <c r="E699" s="196"/>
      <c r="F699" s="196">
        <v>0.66100000000000003</v>
      </c>
      <c r="G699" s="196">
        <v>57</v>
      </c>
      <c r="H699" s="196"/>
      <c r="I699" s="196"/>
      <c r="J699" s="196"/>
      <c r="K699" s="196"/>
      <c r="L699" s="200">
        <v>699</v>
      </c>
      <c r="M699" s="200">
        <v>1</v>
      </c>
      <c r="N699" s="200">
        <v>25</v>
      </c>
    </row>
    <row r="700" spans="1:14" x14ac:dyDescent="0.25">
      <c r="A700" s="198" t="s">
        <v>32</v>
      </c>
      <c r="B700" s="198" t="s">
        <v>2066</v>
      </c>
      <c r="C700" s="198"/>
      <c r="D700" s="196">
        <v>25</v>
      </c>
      <c r="E700" s="196"/>
      <c r="F700" s="196">
        <v>0.44500000000000001</v>
      </c>
      <c r="G700" s="196">
        <v>152</v>
      </c>
      <c r="H700" s="196"/>
      <c r="I700" s="196"/>
      <c r="J700" s="196"/>
      <c r="K700" s="196"/>
      <c r="L700" s="200">
        <v>700</v>
      </c>
      <c r="M700" s="200">
        <v>1</v>
      </c>
      <c r="N700" s="200">
        <v>25</v>
      </c>
    </row>
    <row r="701" spans="1:14" x14ac:dyDescent="0.25">
      <c r="A701" s="198" t="s">
        <v>32</v>
      </c>
      <c r="B701" s="198" t="s">
        <v>2070</v>
      </c>
      <c r="C701" s="198"/>
      <c r="D701" s="196">
        <v>24</v>
      </c>
      <c r="E701" s="196"/>
      <c r="F701" s="196">
        <v>0.59099999999999997</v>
      </c>
      <c r="G701" s="196">
        <v>158</v>
      </c>
      <c r="H701" s="196"/>
      <c r="I701" s="196"/>
      <c r="J701" s="196"/>
      <c r="K701" s="196"/>
      <c r="L701" s="200">
        <v>701</v>
      </c>
      <c r="M701" s="200">
        <v>1</v>
      </c>
      <c r="N701" s="200">
        <v>25</v>
      </c>
    </row>
    <row r="702" spans="1:14" x14ac:dyDescent="0.25">
      <c r="A702" s="198" t="s">
        <v>32</v>
      </c>
      <c r="B702" s="198" t="s">
        <v>2073</v>
      </c>
      <c r="C702" s="198"/>
      <c r="D702" s="196">
        <v>11</v>
      </c>
      <c r="E702" s="196"/>
      <c r="F702" s="196">
        <v>0.36799999999999999</v>
      </c>
      <c r="G702" s="196">
        <v>170</v>
      </c>
      <c r="H702" s="196"/>
      <c r="I702" s="196"/>
      <c r="J702" s="196"/>
      <c r="K702" s="196"/>
      <c r="L702" s="200">
        <v>702</v>
      </c>
      <c r="M702" s="200">
        <v>1</v>
      </c>
      <c r="N702" s="200">
        <v>25</v>
      </c>
    </row>
    <row r="703" spans="1:14" x14ac:dyDescent="0.25">
      <c r="A703" s="198" t="s">
        <v>1966</v>
      </c>
      <c r="B703" s="198" t="s">
        <v>2075</v>
      </c>
      <c r="C703" s="198">
        <v>0</v>
      </c>
      <c r="D703" s="196">
        <v>30</v>
      </c>
      <c r="E703" s="196">
        <v>19.454000000000001</v>
      </c>
      <c r="F703" s="196">
        <v>0.27800000000000002</v>
      </c>
      <c r="G703" s="196">
        <v>12.77</v>
      </c>
      <c r="H703" s="196">
        <v>93.203000000000003</v>
      </c>
      <c r="I703" s="196">
        <v>117.4</v>
      </c>
      <c r="J703" s="196">
        <v>63.889000000000003</v>
      </c>
      <c r="K703" s="196"/>
      <c r="L703" s="200">
        <v>703</v>
      </c>
      <c r="M703" s="200">
        <v>1</v>
      </c>
      <c r="N703" s="200">
        <v>6</v>
      </c>
    </row>
    <row r="704" spans="1:14" x14ac:dyDescent="0.25">
      <c r="A704" s="198" t="s">
        <v>1966</v>
      </c>
      <c r="B704" s="198" t="s">
        <v>8459</v>
      </c>
      <c r="C704" s="198">
        <v>0</v>
      </c>
      <c r="D704" s="196">
        <v>53</v>
      </c>
      <c r="E704" s="196">
        <v>20.026</v>
      </c>
      <c r="F704" s="196">
        <v>0.23699999999999999</v>
      </c>
      <c r="G704" s="196">
        <v>28.745999999999999</v>
      </c>
      <c r="H704" s="196">
        <v>149.297</v>
      </c>
      <c r="I704" s="196">
        <v>311.82900000000001</v>
      </c>
      <c r="J704" s="196">
        <v>7.3360000000000003</v>
      </c>
      <c r="K704" s="196"/>
      <c r="L704" s="200">
        <v>704</v>
      </c>
      <c r="M704" s="200">
        <v>2</v>
      </c>
      <c r="N704" s="200">
        <v>6</v>
      </c>
    </row>
    <row r="705" spans="1:14" x14ac:dyDescent="0.25">
      <c r="A705" s="198" t="s">
        <v>1966</v>
      </c>
      <c r="B705" s="198" t="s">
        <v>8460</v>
      </c>
      <c r="C705" s="198">
        <v>0</v>
      </c>
      <c r="D705" s="196">
        <v>59</v>
      </c>
      <c r="E705" s="196">
        <v>20.045000000000002</v>
      </c>
      <c r="F705" s="196">
        <v>0.25600000000000001</v>
      </c>
      <c r="G705" s="196">
        <v>11.183</v>
      </c>
      <c r="H705" s="196">
        <v>69.997</v>
      </c>
      <c r="I705" s="196">
        <v>4.6219999999999999</v>
      </c>
      <c r="J705" s="196">
        <v>41.329000000000001</v>
      </c>
      <c r="K705" s="196"/>
      <c r="L705" s="200">
        <v>705</v>
      </c>
      <c r="M705" s="200">
        <v>2</v>
      </c>
      <c r="N705" s="200">
        <v>6</v>
      </c>
    </row>
    <row r="706" spans="1:14" x14ac:dyDescent="0.25">
      <c r="A706" s="198" t="s">
        <v>1966</v>
      </c>
      <c r="B706" s="198" t="s">
        <v>2087</v>
      </c>
      <c r="C706" s="198">
        <v>0</v>
      </c>
      <c r="D706" s="196">
        <v>54</v>
      </c>
      <c r="E706" s="196">
        <v>20.347999999999999</v>
      </c>
      <c r="F706" s="196">
        <v>0.56999999999999995</v>
      </c>
      <c r="G706" s="196">
        <v>24.617000000000001</v>
      </c>
      <c r="H706" s="196">
        <v>345.77</v>
      </c>
      <c r="I706" s="196">
        <v>119.44</v>
      </c>
      <c r="J706" s="196">
        <v>117.26</v>
      </c>
      <c r="K706" s="196"/>
      <c r="L706" s="200">
        <v>706</v>
      </c>
      <c r="M706" s="200">
        <v>1</v>
      </c>
      <c r="N706" s="200">
        <v>6</v>
      </c>
    </row>
    <row r="707" spans="1:14" x14ac:dyDescent="0.25">
      <c r="A707" s="198" t="s">
        <v>1966</v>
      </c>
      <c r="B707" s="198" t="s">
        <v>8461</v>
      </c>
      <c r="C707" s="198">
        <v>0</v>
      </c>
      <c r="D707" s="196">
        <v>51</v>
      </c>
      <c r="E707" s="196">
        <v>20.600999999999999</v>
      </c>
      <c r="F707" s="196">
        <v>0.27300000000000002</v>
      </c>
      <c r="G707" s="196">
        <v>18.228999999999999</v>
      </c>
      <c r="H707" s="196">
        <v>21.378</v>
      </c>
      <c r="I707" s="196">
        <v>158.614</v>
      </c>
      <c r="J707" s="196">
        <v>235.41200000000001</v>
      </c>
      <c r="K707" s="196"/>
      <c r="L707" s="200">
        <v>707</v>
      </c>
      <c r="M707" s="200">
        <v>2</v>
      </c>
      <c r="N707" s="200">
        <v>6</v>
      </c>
    </row>
    <row r="708" spans="1:14" x14ac:dyDescent="0.25">
      <c r="A708" s="198" t="s">
        <v>1966</v>
      </c>
      <c r="B708" s="198" t="s">
        <v>8462</v>
      </c>
      <c r="C708" s="198">
        <v>0</v>
      </c>
      <c r="D708" s="196">
        <v>58</v>
      </c>
      <c r="E708" s="196">
        <v>21.16</v>
      </c>
      <c r="F708" s="196">
        <v>0.31</v>
      </c>
      <c r="G708" s="196">
        <v>13.656000000000001</v>
      </c>
      <c r="H708" s="196">
        <v>226.30699999999999</v>
      </c>
      <c r="I708" s="196">
        <v>275.09399999999999</v>
      </c>
      <c r="J708" s="196">
        <v>229.904</v>
      </c>
      <c r="K708" s="196"/>
      <c r="L708" s="200">
        <v>708</v>
      </c>
      <c r="M708" s="200">
        <v>2</v>
      </c>
      <c r="N708" s="200">
        <v>6</v>
      </c>
    </row>
    <row r="709" spans="1:14" x14ac:dyDescent="0.25">
      <c r="A709" s="198" t="s">
        <v>1966</v>
      </c>
      <c r="B709" s="198" t="s">
        <v>8463</v>
      </c>
      <c r="C709" s="198">
        <v>0</v>
      </c>
      <c r="D709" s="196">
        <v>73</v>
      </c>
      <c r="E709" s="196">
        <v>21.21</v>
      </c>
      <c r="F709" s="196">
        <v>0.29099999999999998</v>
      </c>
      <c r="G709" s="196">
        <v>32.823999999999998</v>
      </c>
      <c r="H709" s="196">
        <v>324.79700000000003</v>
      </c>
      <c r="I709" s="196">
        <v>94.625</v>
      </c>
      <c r="J709" s="196">
        <v>210.27199999999999</v>
      </c>
      <c r="K709" s="196"/>
      <c r="L709" s="200">
        <v>709</v>
      </c>
      <c r="M709" s="200">
        <v>2</v>
      </c>
      <c r="N709" s="200">
        <v>6</v>
      </c>
    </row>
    <row r="710" spans="1:14" x14ac:dyDescent="0.25">
      <c r="A710" s="198" t="s">
        <v>1966</v>
      </c>
      <c r="B710" s="198" t="s">
        <v>8464</v>
      </c>
      <c r="C710" s="198">
        <v>0</v>
      </c>
      <c r="D710" s="196">
        <v>72</v>
      </c>
      <c r="E710" s="196">
        <v>21.315999999999999</v>
      </c>
      <c r="F710" s="196">
        <v>0.38400000000000001</v>
      </c>
      <c r="G710" s="196">
        <v>24.280999999999999</v>
      </c>
      <c r="H710" s="196">
        <v>95.808000000000007</v>
      </c>
      <c r="I710" s="196">
        <v>8.5129999999999999</v>
      </c>
      <c r="J710" s="196">
        <v>318.14699999999999</v>
      </c>
      <c r="K710" s="196"/>
      <c r="L710" s="200">
        <v>710</v>
      </c>
      <c r="M710" s="200">
        <v>2</v>
      </c>
      <c r="N710" s="200">
        <v>6</v>
      </c>
    </row>
    <row r="711" spans="1:14" x14ac:dyDescent="0.25">
      <c r="A711" s="198" t="s">
        <v>1966</v>
      </c>
      <c r="B711" s="198" t="s">
        <v>8465</v>
      </c>
      <c r="C711" s="198">
        <v>0</v>
      </c>
      <c r="D711" s="196">
        <v>59</v>
      </c>
      <c r="E711" s="196">
        <v>21.428000000000001</v>
      </c>
      <c r="F711" s="196">
        <v>0.313</v>
      </c>
      <c r="G711" s="196">
        <v>6.4260000000000002</v>
      </c>
      <c r="H711" s="196">
        <v>325.851</v>
      </c>
      <c r="I711" s="196">
        <v>328.45699999999999</v>
      </c>
      <c r="J711" s="196">
        <v>299.57299999999998</v>
      </c>
      <c r="K711" s="196"/>
      <c r="L711" s="200">
        <v>711</v>
      </c>
      <c r="M711" s="200">
        <v>2</v>
      </c>
      <c r="N711" s="200">
        <v>6</v>
      </c>
    </row>
    <row r="712" spans="1:14" x14ac:dyDescent="0.25">
      <c r="A712" s="198" t="s">
        <v>1966</v>
      </c>
      <c r="B712" s="198" t="s">
        <v>8466</v>
      </c>
      <c r="C712" s="198">
        <v>0</v>
      </c>
      <c r="D712" s="196">
        <v>89</v>
      </c>
      <c r="E712" s="196">
        <v>22.448</v>
      </c>
      <c r="F712" s="196">
        <v>0.19700000000000001</v>
      </c>
      <c r="G712" s="196">
        <v>24.422999999999998</v>
      </c>
      <c r="H712" s="196">
        <v>172.078</v>
      </c>
      <c r="I712" s="196">
        <v>184.90700000000001</v>
      </c>
      <c r="J712" s="196">
        <v>233.18700000000001</v>
      </c>
      <c r="K712" s="196"/>
      <c r="L712" s="200">
        <v>712</v>
      </c>
      <c r="M712" s="200">
        <v>2</v>
      </c>
      <c r="N712" s="200">
        <v>6</v>
      </c>
    </row>
    <row r="713" spans="1:14" x14ac:dyDescent="0.25">
      <c r="A713" s="198" t="s">
        <v>1966</v>
      </c>
      <c r="B713" s="198" t="s">
        <v>8467</v>
      </c>
      <c r="C713" s="198">
        <v>0</v>
      </c>
      <c r="D713" s="196">
        <v>53</v>
      </c>
      <c r="E713" s="196">
        <v>22.518999999999998</v>
      </c>
      <c r="F713" s="196">
        <v>0.23499999999999999</v>
      </c>
      <c r="G713" s="196">
        <v>26.795999999999999</v>
      </c>
      <c r="H713" s="196">
        <v>10.948</v>
      </c>
      <c r="I713" s="196">
        <v>15.532</v>
      </c>
      <c r="J713" s="196">
        <v>100.61199999999999</v>
      </c>
      <c r="K713" s="196"/>
      <c r="L713" s="200">
        <v>713</v>
      </c>
      <c r="M713" s="200">
        <v>2</v>
      </c>
      <c r="N713" s="200">
        <v>6</v>
      </c>
    </row>
    <row r="714" spans="1:14" x14ac:dyDescent="0.25">
      <c r="A714" s="198" t="s">
        <v>1966</v>
      </c>
      <c r="B714" s="198" t="s">
        <v>8468</v>
      </c>
      <c r="C714" s="198">
        <v>0</v>
      </c>
      <c r="D714" s="196">
        <v>54</v>
      </c>
      <c r="E714" s="196">
        <v>22.946999999999999</v>
      </c>
      <c r="F714" s="196">
        <v>0.317</v>
      </c>
      <c r="G714" s="196">
        <v>17.864000000000001</v>
      </c>
      <c r="H714" s="196">
        <v>81.7</v>
      </c>
      <c r="I714" s="196">
        <v>241.20500000000001</v>
      </c>
      <c r="J714" s="196">
        <v>356.59100000000001</v>
      </c>
      <c r="K714" s="196"/>
      <c r="L714" s="200">
        <v>714</v>
      </c>
      <c r="M714" s="200">
        <v>2</v>
      </c>
      <c r="N714" s="200">
        <v>6</v>
      </c>
    </row>
    <row r="715" spans="1:14" x14ac:dyDescent="0.25">
      <c r="A715" s="198" t="s">
        <v>1966</v>
      </c>
      <c r="B715" s="198" t="s">
        <v>8469</v>
      </c>
      <c r="C715" s="198">
        <v>0</v>
      </c>
      <c r="D715" s="196">
        <v>116</v>
      </c>
      <c r="E715" s="196">
        <v>23.079000000000001</v>
      </c>
      <c r="F715" s="196">
        <v>0.219</v>
      </c>
      <c r="G715" s="196">
        <v>15</v>
      </c>
      <c r="H715" s="196">
        <v>154.88999999999999</v>
      </c>
      <c r="I715" s="196">
        <v>107.22</v>
      </c>
      <c r="J715" s="196">
        <v>345.12</v>
      </c>
      <c r="K715" s="196"/>
      <c r="L715" s="200">
        <v>715</v>
      </c>
      <c r="M715" s="200">
        <v>2</v>
      </c>
      <c r="N715" s="200">
        <v>6</v>
      </c>
    </row>
    <row r="716" spans="1:14" x14ac:dyDescent="0.25">
      <c r="A716" s="198" t="s">
        <v>1966</v>
      </c>
      <c r="B716" s="198" t="s">
        <v>8470</v>
      </c>
      <c r="C716" s="198">
        <v>0</v>
      </c>
      <c r="D716" s="196">
        <v>107</v>
      </c>
      <c r="E716" s="196">
        <v>23.286000000000001</v>
      </c>
      <c r="F716" s="196">
        <v>0.52</v>
      </c>
      <c r="G716" s="196">
        <v>20.423999999999999</v>
      </c>
      <c r="H716" s="196">
        <v>232.73</v>
      </c>
      <c r="I716" s="196">
        <v>216.01</v>
      </c>
      <c r="J716" s="196">
        <v>311.33999999999997</v>
      </c>
      <c r="K716" s="196"/>
      <c r="L716" s="200">
        <v>716</v>
      </c>
      <c r="M716" s="200">
        <v>2</v>
      </c>
      <c r="N716" s="200">
        <v>6</v>
      </c>
    </row>
    <row r="717" spans="1:14" x14ac:dyDescent="0.25">
      <c r="A717" s="198" t="s">
        <v>1966</v>
      </c>
      <c r="B717" s="198" t="s">
        <v>8471</v>
      </c>
      <c r="C717" s="198">
        <v>0</v>
      </c>
      <c r="D717" s="196">
        <v>52</v>
      </c>
      <c r="E717" s="196">
        <v>23.722999999999999</v>
      </c>
      <c r="F717" s="196">
        <v>0.34499999999999997</v>
      </c>
      <c r="G717" s="196">
        <v>17.045000000000002</v>
      </c>
      <c r="H717" s="196">
        <v>283.48200000000003</v>
      </c>
      <c r="I717" s="196">
        <v>245.256</v>
      </c>
      <c r="J717" s="196">
        <v>49.389000000000003</v>
      </c>
      <c r="K717" s="196"/>
      <c r="L717" s="200">
        <v>717</v>
      </c>
      <c r="M717" s="200">
        <v>2</v>
      </c>
      <c r="N717" s="200">
        <v>6</v>
      </c>
    </row>
    <row r="718" spans="1:14" x14ac:dyDescent="0.25">
      <c r="A718" s="198" t="s">
        <v>1966</v>
      </c>
      <c r="B718" s="198" t="s">
        <v>8472</v>
      </c>
      <c r="C718" s="198">
        <v>0</v>
      </c>
      <c r="D718" s="196">
        <v>65</v>
      </c>
      <c r="E718" s="196">
        <v>24.338000000000001</v>
      </c>
      <c r="F718" s="196">
        <v>0.19900000000000001</v>
      </c>
      <c r="G718" s="196">
        <v>14.913</v>
      </c>
      <c r="H718" s="196">
        <v>260.47699999999998</v>
      </c>
      <c r="I718" s="196">
        <v>137.18799999999999</v>
      </c>
      <c r="J718" s="196">
        <v>220.00899999999999</v>
      </c>
      <c r="K718" s="196"/>
      <c r="L718" s="200">
        <v>718</v>
      </c>
      <c r="M718" s="200">
        <v>2</v>
      </c>
      <c r="N718" s="200">
        <v>6</v>
      </c>
    </row>
    <row r="719" spans="1:14" x14ac:dyDescent="0.25">
      <c r="A719" s="198" t="s">
        <v>1966</v>
      </c>
      <c r="B719" s="198" t="s">
        <v>8473</v>
      </c>
      <c r="C719" s="198">
        <v>0</v>
      </c>
      <c r="D719" s="196">
        <v>68</v>
      </c>
      <c r="E719" s="196">
        <v>24.395</v>
      </c>
      <c r="F719" s="196">
        <v>0.311</v>
      </c>
      <c r="G719" s="196">
        <v>6.3630000000000004</v>
      </c>
      <c r="H719" s="196">
        <v>19.577000000000002</v>
      </c>
      <c r="I719" s="196">
        <v>19.920000000000002</v>
      </c>
      <c r="J719" s="196">
        <v>336.26</v>
      </c>
      <c r="K719" s="196"/>
      <c r="L719" s="200">
        <v>719</v>
      </c>
      <c r="M719" s="200">
        <v>2</v>
      </c>
      <c r="N719" s="200">
        <v>6</v>
      </c>
    </row>
    <row r="720" spans="1:14" x14ac:dyDescent="0.25">
      <c r="A720" s="198" t="s">
        <v>1966</v>
      </c>
      <c r="B720" s="198" t="s">
        <v>3458</v>
      </c>
      <c r="C720" s="198">
        <v>0</v>
      </c>
      <c r="D720" s="196">
        <v>29</v>
      </c>
      <c r="E720" s="196">
        <v>24.638999999999999</v>
      </c>
      <c r="F720" s="196">
        <v>0.51900000000000002</v>
      </c>
      <c r="G720" s="196">
        <v>15.663</v>
      </c>
      <c r="H720" s="196">
        <v>170.96</v>
      </c>
      <c r="I720" s="196">
        <v>31.183</v>
      </c>
      <c r="J720" s="196">
        <v>80.046000000000006</v>
      </c>
      <c r="K720" s="196"/>
      <c r="L720" s="200">
        <v>720</v>
      </c>
      <c r="M720" s="200">
        <v>1</v>
      </c>
      <c r="N720" s="200">
        <v>6</v>
      </c>
    </row>
    <row r="721" spans="1:14" x14ac:dyDescent="0.25">
      <c r="A721" s="198" t="s">
        <v>1966</v>
      </c>
      <c r="B721" s="198" t="s">
        <v>8474</v>
      </c>
      <c r="C721" s="198">
        <v>0</v>
      </c>
      <c r="D721" s="196">
        <v>72</v>
      </c>
      <c r="E721" s="196">
        <v>24.661999999999999</v>
      </c>
      <c r="F721" s="196">
        <v>4.2000000000000003E-2</v>
      </c>
      <c r="G721" s="196">
        <v>12.257</v>
      </c>
      <c r="H721" s="196">
        <v>178.411</v>
      </c>
      <c r="I721" s="196">
        <v>162.501</v>
      </c>
      <c r="J721" s="196">
        <v>90.602000000000004</v>
      </c>
      <c r="K721" s="196"/>
      <c r="L721" s="200">
        <v>721</v>
      </c>
      <c r="M721" s="200">
        <v>2</v>
      </c>
      <c r="N721" s="200">
        <v>6</v>
      </c>
    </row>
    <row r="722" spans="1:14" x14ac:dyDescent="0.25">
      <c r="A722" s="198" t="s">
        <v>1966</v>
      </c>
      <c r="B722" s="198" t="s">
        <v>8475</v>
      </c>
      <c r="C722" s="198">
        <v>0</v>
      </c>
      <c r="D722" s="196">
        <v>62</v>
      </c>
      <c r="E722" s="196">
        <v>24.884</v>
      </c>
      <c r="F722" s="196">
        <v>0.126</v>
      </c>
      <c r="G722" s="196">
        <v>11.497</v>
      </c>
      <c r="H722" s="196">
        <v>40.667000000000002</v>
      </c>
      <c r="I722" s="196">
        <v>200.392</v>
      </c>
      <c r="J722" s="196">
        <v>208.072</v>
      </c>
      <c r="K722" s="196"/>
      <c r="L722" s="200">
        <v>722</v>
      </c>
      <c r="M722" s="200">
        <v>2</v>
      </c>
      <c r="N722" s="200">
        <v>6</v>
      </c>
    </row>
    <row r="723" spans="1:14" x14ac:dyDescent="0.25">
      <c r="A723" s="198" t="s">
        <v>1966</v>
      </c>
      <c r="B723" s="198" t="s">
        <v>2100</v>
      </c>
      <c r="C723" s="198">
        <v>0</v>
      </c>
      <c r="D723" s="196">
        <v>52</v>
      </c>
      <c r="E723" s="196">
        <v>25.097999999999999</v>
      </c>
      <c r="F723" s="196">
        <v>0.39500000000000002</v>
      </c>
      <c r="G723" s="196">
        <v>13.352</v>
      </c>
      <c r="H723" s="196">
        <v>239.17</v>
      </c>
      <c r="I723" s="196">
        <v>315.45</v>
      </c>
      <c r="J723" s="196">
        <v>37.040999999999997</v>
      </c>
      <c r="K723" s="196"/>
      <c r="L723" s="200">
        <v>723</v>
      </c>
      <c r="M723" s="200">
        <v>1</v>
      </c>
      <c r="N723" s="200">
        <v>6</v>
      </c>
    </row>
    <row r="724" spans="1:14" x14ac:dyDescent="0.25">
      <c r="A724" s="198" t="s">
        <v>1966</v>
      </c>
      <c r="B724" s="198" t="s">
        <v>3464</v>
      </c>
      <c r="C724" s="198">
        <v>0</v>
      </c>
      <c r="D724" s="196">
        <v>36</v>
      </c>
      <c r="E724" s="196">
        <v>25.152000000000001</v>
      </c>
      <c r="F724" s="196">
        <v>0.248</v>
      </c>
      <c r="G724" s="196">
        <v>4.1440000000000001</v>
      </c>
      <c r="H724" s="196">
        <v>7.0279999999999996</v>
      </c>
      <c r="I724" s="196">
        <v>178.08</v>
      </c>
      <c r="J724" s="196">
        <v>63.271000000000001</v>
      </c>
      <c r="K724" s="196"/>
      <c r="L724" s="200">
        <v>724</v>
      </c>
      <c r="M724" s="200">
        <v>1</v>
      </c>
      <c r="N724" s="200">
        <v>6</v>
      </c>
    </row>
    <row r="725" spans="1:14" x14ac:dyDescent="0.25">
      <c r="A725" s="198" t="s">
        <v>1966</v>
      </c>
      <c r="B725" s="198" t="s">
        <v>8476</v>
      </c>
      <c r="C725" s="198">
        <v>0</v>
      </c>
      <c r="D725" s="196">
        <v>121</v>
      </c>
      <c r="E725" s="196">
        <v>25.352</v>
      </c>
      <c r="F725" s="196">
        <v>0.16</v>
      </c>
      <c r="G725" s="196">
        <v>14.172000000000001</v>
      </c>
      <c r="H725" s="196">
        <v>55.475000000000001</v>
      </c>
      <c r="I725" s="196">
        <v>147.512</v>
      </c>
      <c r="J725" s="196">
        <v>114.1</v>
      </c>
      <c r="K725" s="196"/>
      <c r="L725" s="200">
        <v>725</v>
      </c>
      <c r="M725" s="200">
        <v>2</v>
      </c>
      <c r="N725" s="200">
        <v>6</v>
      </c>
    </row>
    <row r="726" spans="1:14" x14ac:dyDescent="0.25">
      <c r="A726" s="198" t="s">
        <v>1966</v>
      </c>
      <c r="B726" s="198" t="s">
        <v>8477</v>
      </c>
      <c r="C726" s="198">
        <v>0</v>
      </c>
      <c r="D726" s="196">
        <v>73</v>
      </c>
      <c r="E726" s="196">
        <v>25.978999999999999</v>
      </c>
      <c r="F726" s="196">
        <v>4.7E-2</v>
      </c>
      <c r="G726" s="196">
        <v>18.016999999999999</v>
      </c>
      <c r="H726" s="196">
        <v>144.667</v>
      </c>
      <c r="I726" s="196">
        <v>131.64500000000001</v>
      </c>
      <c r="J726" s="196">
        <v>125.776</v>
      </c>
      <c r="K726" s="196"/>
      <c r="L726" s="200">
        <v>726</v>
      </c>
      <c r="M726" s="200">
        <v>2</v>
      </c>
      <c r="N726" s="200">
        <v>6</v>
      </c>
    </row>
    <row r="727" spans="1:14" x14ac:dyDescent="0.25">
      <c r="A727" s="198" t="s">
        <v>1966</v>
      </c>
      <c r="B727" s="198" t="s">
        <v>3470</v>
      </c>
      <c r="C727" s="198">
        <v>0</v>
      </c>
      <c r="D727" s="196">
        <v>31</v>
      </c>
      <c r="E727" s="196">
        <v>26.113</v>
      </c>
      <c r="F727" s="196">
        <v>0.378</v>
      </c>
      <c r="G727" s="196">
        <v>12.651</v>
      </c>
      <c r="H727" s="196">
        <v>300.77</v>
      </c>
      <c r="I727" s="196">
        <v>52.073</v>
      </c>
      <c r="J727" s="196">
        <v>75.673000000000002</v>
      </c>
      <c r="K727" s="196"/>
      <c r="L727" s="200">
        <v>727</v>
      </c>
      <c r="M727" s="200">
        <v>1</v>
      </c>
      <c r="N727" s="200">
        <v>6</v>
      </c>
    </row>
    <row r="728" spans="1:14" x14ac:dyDescent="0.25">
      <c r="A728" s="198" t="s">
        <v>1966</v>
      </c>
      <c r="B728" s="198" t="s">
        <v>8478</v>
      </c>
      <c r="C728" s="198">
        <v>0</v>
      </c>
      <c r="D728" s="196">
        <v>67</v>
      </c>
      <c r="E728" s="196">
        <v>27.347999999999999</v>
      </c>
      <c r="F728" s="196">
        <v>8.7999999999999995E-2</v>
      </c>
      <c r="G728" s="196">
        <v>19.556999999999999</v>
      </c>
      <c r="H728" s="196">
        <v>80.519000000000005</v>
      </c>
      <c r="I728" s="196">
        <v>123.59399999999999</v>
      </c>
      <c r="J728" s="196">
        <v>347.80799999999999</v>
      </c>
      <c r="K728" s="196"/>
      <c r="L728" s="200">
        <v>728</v>
      </c>
      <c r="M728" s="200">
        <v>2</v>
      </c>
      <c r="N728" s="200">
        <v>6</v>
      </c>
    </row>
    <row r="729" spans="1:14" x14ac:dyDescent="0.25">
      <c r="A729" s="198" t="s">
        <v>1966</v>
      </c>
      <c r="B729" s="198" t="s">
        <v>8479</v>
      </c>
      <c r="C729" s="198">
        <v>0</v>
      </c>
      <c r="D729" s="196">
        <v>67</v>
      </c>
      <c r="E729" s="196">
        <v>27.745000000000001</v>
      </c>
      <c r="F729" s="196">
        <v>8.7999999999999995E-2</v>
      </c>
      <c r="G729" s="196">
        <v>10.952999999999999</v>
      </c>
      <c r="H729" s="196">
        <v>259.63</v>
      </c>
      <c r="I729" s="196">
        <v>256.08199999999999</v>
      </c>
      <c r="J729" s="196">
        <v>30.004000000000001</v>
      </c>
      <c r="K729" s="196"/>
      <c r="L729" s="200">
        <v>729</v>
      </c>
      <c r="M729" s="200">
        <v>2</v>
      </c>
      <c r="N729" s="200">
        <v>6</v>
      </c>
    </row>
    <row r="730" spans="1:14" x14ac:dyDescent="0.25">
      <c r="A730" s="198" t="s">
        <v>1966</v>
      </c>
      <c r="B730" s="198" t="s">
        <v>8480</v>
      </c>
      <c r="C730" s="198">
        <v>0</v>
      </c>
      <c r="D730" s="196">
        <v>102</v>
      </c>
      <c r="E730" s="196">
        <v>27.808</v>
      </c>
      <c r="F730" s="196">
        <v>0.375</v>
      </c>
      <c r="G730" s="196">
        <v>11.898999999999999</v>
      </c>
      <c r="H730" s="196">
        <v>49.704999999999998</v>
      </c>
      <c r="I730" s="196">
        <v>144.21</v>
      </c>
      <c r="J730" s="196">
        <v>339.64</v>
      </c>
      <c r="K730" s="196"/>
      <c r="L730" s="200">
        <v>730</v>
      </c>
      <c r="M730" s="200">
        <v>2</v>
      </c>
      <c r="N730" s="200">
        <v>6</v>
      </c>
    </row>
    <row r="731" spans="1:14" x14ac:dyDescent="0.25">
      <c r="A731" s="198" t="s">
        <v>1966</v>
      </c>
      <c r="B731" s="198" t="s">
        <v>8481</v>
      </c>
      <c r="C731" s="198">
        <v>0</v>
      </c>
      <c r="D731" s="196">
        <v>57</v>
      </c>
      <c r="E731" s="196">
        <v>28.721</v>
      </c>
      <c r="F731" s="196">
        <v>0.42299999999999999</v>
      </c>
      <c r="G731" s="196">
        <v>11.56</v>
      </c>
      <c r="H731" s="196">
        <v>356.89</v>
      </c>
      <c r="I731" s="196">
        <v>279.21899999999999</v>
      </c>
      <c r="J731" s="196">
        <v>12.231</v>
      </c>
      <c r="K731" s="196"/>
      <c r="L731" s="200">
        <v>731</v>
      </c>
      <c r="M731" s="200">
        <v>2</v>
      </c>
      <c r="N731" s="200">
        <v>6</v>
      </c>
    </row>
    <row r="732" spans="1:14" x14ac:dyDescent="0.25">
      <c r="A732" s="198" t="s">
        <v>1966</v>
      </c>
      <c r="B732" s="198" t="s">
        <v>8482</v>
      </c>
      <c r="C732" s="198">
        <v>0</v>
      </c>
      <c r="D732" s="196">
        <v>106</v>
      </c>
      <c r="E732" s="196">
        <v>28.856000000000002</v>
      </c>
      <c r="F732" s="196">
        <v>0.51900000000000002</v>
      </c>
      <c r="G732" s="196">
        <v>35.454999999999998</v>
      </c>
      <c r="H732" s="196">
        <v>326.56</v>
      </c>
      <c r="I732" s="196">
        <v>198.06</v>
      </c>
      <c r="J732" s="196">
        <v>340.61</v>
      </c>
      <c r="K732" s="196"/>
      <c r="L732" s="200">
        <v>732</v>
      </c>
      <c r="M732" s="200">
        <v>2</v>
      </c>
      <c r="N732" s="200">
        <v>6</v>
      </c>
    </row>
    <row r="733" spans="1:14" x14ac:dyDescent="0.25">
      <c r="A733" s="198" t="s">
        <v>1966</v>
      </c>
      <c r="B733" s="198" t="s">
        <v>8483</v>
      </c>
      <c r="C733" s="198">
        <v>0</v>
      </c>
      <c r="D733" s="196">
        <v>62</v>
      </c>
      <c r="E733" s="196">
        <v>29.146999999999998</v>
      </c>
      <c r="F733" s="196">
        <v>0.23799999999999999</v>
      </c>
      <c r="G733" s="196">
        <v>14.5</v>
      </c>
      <c r="H733" s="196">
        <v>347.548</v>
      </c>
      <c r="I733" s="196">
        <v>345.37099999999998</v>
      </c>
      <c r="J733" s="196">
        <v>359.803</v>
      </c>
      <c r="K733" s="196"/>
      <c r="L733" s="200">
        <v>733</v>
      </c>
      <c r="M733" s="200">
        <v>2</v>
      </c>
      <c r="N733" s="200">
        <v>6</v>
      </c>
    </row>
    <row r="734" spans="1:14" x14ac:dyDescent="0.25">
      <c r="A734" s="198" t="s">
        <v>1966</v>
      </c>
      <c r="B734" s="198" t="s">
        <v>8484</v>
      </c>
      <c r="C734" s="198">
        <v>0</v>
      </c>
      <c r="D734" s="196">
        <v>97</v>
      </c>
      <c r="E734" s="196">
        <v>29.398</v>
      </c>
      <c r="F734" s="196">
        <v>0.313</v>
      </c>
      <c r="G734" s="196">
        <v>15.042999999999999</v>
      </c>
      <c r="H734" s="196">
        <v>264.40300000000002</v>
      </c>
      <c r="I734" s="196">
        <v>252.5</v>
      </c>
      <c r="J734" s="196">
        <v>332.71</v>
      </c>
      <c r="K734" s="196"/>
      <c r="L734" s="200">
        <v>734</v>
      </c>
      <c r="M734" s="200">
        <v>2</v>
      </c>
      <c r="N734" s="200">
        <v>6</v>
      </c>
    </row>
    <row r="735" spans="1:14" x14ac:dyDescent="0.25">
      <c r="A735" s="198" t="s">
        <v>1966</v>
      </c>
      <c r="B735" s="198" t="s">
        <v>8485</v>
      </c>
      <c r="C735" s="198">
        <v>0</v>
      </c>
      <c r="D735" s="196">
        <v>55</v>
      </c>
      <c r="E735" s="196">
        <v>29.513999999999999</v>
      </c>
      <c r="F735" s="196">
        <v>0.432</v>
      </c>
      <c r="G735" s="196">
        <v>16.562999999999999</v>
      </c>
      <c r="H735" s="196">
        <v>201.94800000000001</v>
      </c>
      <c r="I735" s="196">
        <v>8.5820000000000007</v>
      </c>
      <c r="J735" s="196">
        <v>353.71699999999998</v>
      </c>
      <c r="K735" s="196"/>
      <c r="L735" s="200">
        <v>735</v>
      </c>
      <c r="M735" s="200">
        <v>2</v>
      </c>
      <c r="N735" s="200">
        <v>6</v>
      </c>
    </row>
    <row r="736" spans="1:14" x14ac:dyDescent="0.25">
      <c r="A736" s="198" t="s">
        <v>1485</v>
      </c>
      <c r="B736" s="198" t="s">
        <v>8486</v>
      </c>
      <c r="C736" s="198">
        <v>0</v>
      </c>
      <c r="D736" s="196">
        <v>65</v>
      </c>
      <c r="E736" s="196">
        <v>29.925000000000001</v>
      </c>
      <c r="F736" s="196">
        <v>3.1E-2</v>
      </c>
      <c r="G736" s="196">
        <v>8.1539999999999999</v>
      </c>
      <c r="H736" s="196">
        <v>33.563000000000002</v>
      </c>
      <c r="I736" s="196">
        <v>120.86</v>
      </c>
      <c r="J736" s="196">
        <v>251.55</v>
      </c>
      <c r="K736" s="196"/>
      <c r="L736" s="200">
        <v>736</v>
      </c>
      <c r="M736" s="200">
        <v>2</v>
      </c>
      <c r="N736" s="200">
        <v>16</v>
      </c>
    </row>
    <row r="737" spans="1:17" x14ac:dyDescent="0.25">
      <c r="A737" s="198" t="s">
        <v>1485</v>
      </c>
      <c r="B737" s="198" t="s">
        <v>8487</v>
      </c>
      <c r="C737" s="198">
        <v>0</v>
      </c>
      <c r="D737" s="196">
        <v>55</v>
      </c>
      <c r="E737" s="196">
        <v>29.925999999999998</v>
      </c>
      <c r="F737" s="196">
        <v>0.06</v>
      </c>
      <c r="G737" s="196">
        <v>28.155000000000001</v>
      </c>
      <c r="H737" s="196">
        <v>216.7</v>
      </c>
      <c r="I737" s="196">
        <v>188.69</v>
      </c>
      <c r="J737" s="196">
        <v>10.76</v>
      </c>
      <c r="K737" s="196"/>
      <c r="L737" s="200">
        <v>737</v>
      </c>
      <c r="M737" s="200">
        <v>2</v>
      </c>
      <c r="N737" s="200">
        <v>16</v>
      </c>
    </row>
    <row r="738" spans="1:17" x14ac:dyDescent="0.25">
      <c r="A738" s="198" t="s">
        <v>1485</v>
      </c>
      <c r="B738" s="198" t="s">
        <v>8488</v>
      </c>
      <c r="C738" s="198">
        <v>0</v>
      </c>
      <c r="D738" s="196">
        <v>55</v>
      </c>
      <c r="E738" s="196">
        <v>30.01</v>
      </c>
      <c r="F738" s="196">
        <v>0.11</v>
      </c>
      <c r="G738" s="196">
        <v>18.8</v>
      </c>
      <c r="H738" s="196">
        <v>114.1</v>
      </c>
      <c r="I738" s="196">
        <v>107</v>
      </c>
      <c r="J738" s="196">
        <v>170.4</v>
      </c>
      <c r="K738" s="196"/>
      <c r="L738" s="200">
        <v>738</v>
      </c>
      <c r="M738" s="200">
        <v>2</v>
      </c>
      <c r="N738" s="200">
        <v>16</v>
      </c>
    </row>
    <row r="739" spans="1:17" x14ac:dyDescent="0.25">
      <c r="A739" s="198" t="s">
        <v>1485</v>
      </c>
      <c r="B739" s="198" t="s">
        <v>2118</v>
      </c>
      <c r="C739" s="198">
        <v>0</v>
      </c>
      <c r="D739" s="196">
        <v>37</v>
      </c>
      <c r="E739" s="196">
        <v>30.027000000000001</v>
      </c>
      <c r="F739" s="196">
        <v>2.3E-2</v>
      </c>
      <c r="G739" s="196">
        <v>1.4330000000000001</v>
      </c>
      <c r="H739" s="196">
        <v>3.5329999999999999</v>
      </c>
      <c r="I739" s="196">
        <v>34.761000000000003</v>
      </c>
      <c r="J739" s="196">
        <v>355.52</v>
      </c>
      <c r="K739" s="196"/>
      <c r="L739" s="200">
        <v>739</v>
      </c>
      <c r="M739" s="200">
        <v>1</v>
      </c>
      <c r="N739" s="200">
        <v>16</v>
      </c>
    </row>
    <row r="740" spans="1:17" x14ac:dyDescent="0.25">
      <c r="A740" s="198" t="s">
        <v>1485</v>
      </c>
      <c r="B740" s="198" t="s">
        <v>2125</v>
      </c>
      <c r="C740" s="198">
        <v>0</v>
      </c>
      <c r="D740" s="196">
        <v>49</v>
      </c>
      <c r="E740" s="196">
        <v>30.055</v>
      </c>
      <c r="F740" s="196">
        <v>5.0999999999999997E-2</v>
      </c>
      <c r="G740" s="196">
        <v>5.2549999999999999</v>
      </c>
      <c r="H740" s="196">
        <v>306.83999999999997</v>
      </c>
      <c r="I740" s="196">
        <v>169.4</v>
      </c>
      <c r="J740" s="196">
        <v>286.36</v>
      </c>
      <c r="K740" s="196"/>
      <c r="L740" s="200">
        <v>740</v>
      </c>
      <c r="M740" s="200">
        <v>1</v>
      </c>
      <c r="N740" s="200">
        <v>16</v>
      </c>
    </row>
    <row r="741" spans="1:17" x14ac:dyDescent="0.25">
      <c r="A741" s="198" t="s">
        <v>1485</v>
      </c>
      <c r="B741" s="198" t="s">
        <v>8489</v>
      </c>
      <c r="C741" s="198">
        <v>0</v>
      </c>
      <c r="D741" s="196">
        <v>49</v>
      </c>
      <c r="E741" s="196">
        <v>30.056000000000001</v>
      </c>
      <c r="F741" s="196">
        <v>0.08</v>
      </c>
      <c r="G741" s="196">
        <v>27.495999999999999</v>
      </c>
      <c r="H741" s="196">
        <v>6.742</v>
      </c>
      <c r="I741" s="196">
        <v>88.492999999999995</v>
      </c>
      <c r="J741" s="196">
        <v>185.24</v>
      </c>
      <c r="K741" s="196"/>
      <c r="L741" s="200">
        <v>741</v>
      </c>
      <c r="M741" s="200">
        <v>2</v>
      </c>
      <c r="N741" s="200">
        <v>16</v>
      </c>
    </row>
    <row r="742" spans="1:17" x14ac:dyDescent="0.25">
      <c r="A742" s="198" t="s">
        <v>1485</v>
      </c>
      <c r="B742" s="198" t="s">
        <v>8490</v>
      </c>
      <c r="C742" s="198">
        <v>0</v>
      </c>
      <c r="D742" s="196">
        <v>111</v>
      </c>
      <c r="E742" s="196">
        <v>30.059000000000001</v>
      </c>
      <c r="F742" s="196">
        <v>0.122</v>
      </c>
      <c r="G742" s="196">
        <v>6.6710000000000003</v>
      </c>
      <c r="H742" s="196">
        <v>272.74099999999999</v>
      </c>
      <c r="I742" s="196">
        <v>84.424000000000007</v>
      </c>
      <c r="J742" s="196">
        <v>290.78100000000001</v>
      </c>
      <c r="K742" s="196"/>
      <c r="L742" s="200">
        <v>742</v>
      </c>
      <c r="M742" s="200">
        <v>2</v>
      </c>
      <c r="N742" s="200">
        <v>16</v>
      </c>
    </row>
    <row r="743" spans="1:17" x14ac:dyDescent="0.25">
      <c r="A743" s="197" t="s">
        <v>2136</v>
      </c>
      <c r="B743" s="198" t="s">
        <v>2137</v>
      </c>
      <c r="C743" s="198">
        <v>16</v>
      </c>
      <c r="D743" s="196">
        <v>24622</v>
      </c>
      <c r="E743" s="196">
        <v>30.07</v>
      </c>
      <c r="F743" s="196">
        <v>8.9999999999999993E-3</v>
      </c>
      <c r="G743" s="196">
        <v>1.77</v>
      </c>
      <c r="H743" s="196">
        <v>273.18700000000001</v>
      </c>
      <c r="I743" s="196">
        <v>131.78299999999999</v>
      </c>
      <c r="J743" s="196">
        <v>259.88299999999998</v>
      </c>
      <c r="K743" s="196">
        <v>1.6379999999999999</v>
      </c>
      <c r="L743" s="200">
        <v>743</v>
      </c>
      <c r="M743" s="200">
        <v>1</v>
      </c>
      <c r="N743" s="200">
        <v>1</v>
      </c>
      <c r="O743" s="194" t="s">
        <v>2137</v>
      </c>
      <c r="P743" s="194" t="s">
        <v>9592</v>
      </c>
      <c r="Q743" s="200" t="s">
        <v>8066</v>
      </c>
    </row>
    <row r="744" spans="1:17" x14ac:dyDescent="0.25">
      <c r="A744" s="198" t="s">
        <v>32</v>
      </c>
      <c r="B744" s="198" t="s">
        <v>2144</v>
      </c>
      <c r="C744" s="198"/>
      <c r="D744" s="196">
        <v>30</v>
      </c>
      <c r="E744" s="196"/>
      <c r="F744" s="196">
        <v>5.0000000000000001E-3</v>
      </c>
      <c r="G744" s="196"/>
      <c r="H744" s="196"/>
      <c r="I744" s="196"/>
      <c r="J744" s="196"/>
      <c r="K744" s="196">
        <v>0.8</v>
      </c>
      <c r="L744" s="200">
        <v>744</v>
      </c>
      <c r="M744" s="200">
        <v>1</v>
      </c>
      <c r="N744" s="200">
        <v>26</v>
      </c>
    </row>
    <row r="745" spans="1:17" x14ac:dyDescent="0.25">
      <c r="A745" s="198" t="s">
        <v>32</v>
      </c>
      <c r="B745" s="198" t="s">
        <v>2146</v>
      </c>
      <c r="C745" s="198"/>
      <c r="D745" s="196">
        <v>41</v>
      </c>
      <c r="E745" s="196"/>
      <c r="F745" s="196">
        <v>2E-3</v>
      </c>
      <c r="G745" s="196"/>
      <c r="H745" s="196"/>
      <c r="I745" s="196"/>
      <c r="J745" s="196"/>
      <c r="K745" s="196">
        <v>1.23</v>
      </c>
      <c r="L745" s="200">
        <v>745</v>
      </c>
      <c r="M745" s="200">
        <v>1</v>
      </c>
      <c r="N745" s="200">
        <v>26</v>
      </c>
    </row>
    <row r="746" spans="1:17" x14ac:dyDescent="0.25">
      <c r="A746" s="198" t="s">
        <v>32</v>
      </c>
      <c r="B746" s="198" t="s">
        <v>2148</v>
      </c>
      <c r="C746" s="198"/>
      <c r="D746" s="196">
        <v>78</v>
      </c>
      <c r="E746" s="196"/>
      <c r="F746" s="196">
        <v>0</v>
      </c>
      <c r="G746" s="196"/>
      <c r="H746" s="196"/>
      <c r="I746" s="196"/>
      <c r="J746" s="196"/>
      <c r="K746" s="196">
        <v>0.6</v>
      </c>
      <c r="L746" s="200">
        <v>746</v>
      </c>
      <c r="M746" s="200">
        <v>1</v>
      </c>
      <c r="N746" s="200">
        <v>26</v>
      </c>
    </row>
    <row r="747" spans="1:17" x14ac:dyDescent="0.25">
      <c r="A747" s="198" t="s">
        <v>32</v>
      </c>
      <c r="B747" s="198" t="s">
        <v>708</v>
      </c>
      <c r="C747" s="198"/>
      <c r="D747" s="196">
        <v>87</v>
      </c>
      <c r="E747" s="196"/>
      <c r="F747" s="196">
        <v>0</v>
      </c>
      <c r="G747" s="196"/>
      <c r="H747" s="196"/>
      <c r="I747" s="196"/>
      <c r="J747" s="196"/>
      <c r="K747" s="196"/>
      <c r="L747" s="200">
        <v>747</v>
      </c>
      <c r="M747" s="200">
        <v>1</v>
      </c>
      <c r="N747" s="200">
        <v>26</v>
      </c>
    </row>
    <row r="748" spans="1:17" x14ac:dyDescent="0.25">
      <c r="A748" s="198" t="s">
        <v>32</v>
      </c>
      <c r="B748" s="198" t="s">
        <v>2151</v>
      </c>
      <c r="C748" s="198"/>
      <c r="D748" s="196">
        <v>97</v>
      </c>
      <c r="E748" s="196"/>
      <c r="F748" s="196">
        <v>1E-3</v>
      </c>
      <c r="G748" s="196"/>
      <c r="H748" s="196"/>
      <c r="I748" s="196"/>
      <c r="J748" s="196"/>
      <c r="K748" s="196">
        <v>0.81100000000000005</v>
      </c>
      <c r="L748" s="200">
        <v>748</v>
      </c>
      <c r="M748" s="200">
        <v>1</v>
      </c>
      <c r="N748" s="200">
        <v>26</v>
      </c>
    </row>
    <row r="749" spans="1:17" x14ac:dyDescent="0.25">
      <c r="A749" s="198" t="s">
        <v>32</v>
      </c>
      <c r="B749" s="198" t="s">
        <v>2154</v>
      </c>
      <c r="C749" s="198"/>
      <c r="D749" s="196">
        <v>17</v>
      </c>
      <c r="E749" s="196"/>
      <c r="F749" s="196">
        <v>1E-3</v>
      </c>
      <c r="G749" s="196"/>
      <c r="H749" s="196"/>
      <c r="I749" s="196"/>
      <c r="J749" s="196"/>
      <c r="K749" s="196"/>
      <c r="L749" s="200">
        <v>749</v>
      </c>
      <c r="M749" s="200">
        <v>1</v>
      </c>
      <c r="N749" s="200">
        <v>26</v>
      </c>
    </row>
    <row r="750" spans="1:17" x14ac:dyDescent="0.25">
      <c r="A750" s="198" t="s">
        <v>32</v>
      </c>
      <c r="B750" s="198" t="s">
        <v>2157</v>
      </c>
      <c r="C750" s="198"/>
      <c r="D750" s="196">
        <v>210</v>
      </c>
      <c r="E750" s="196"/>
      <c r="F750" s="196">
        <v>1E-3</v>
      </c>
      <c r="G750" s="196"/>
      <c r="H750" s="196"/>
      <c r="I750" s="196"/>
      <c r="J750" s="196"/>
      <c r="K750" s="196">
        <v>0.68500000000000005</v>
      </c>
      <c r="L750" s="200">
        <v>750</v>
      </c>
      <c r="M750" s="200">
        <v>1</v>
      </c>
      <c r="N750" s="200">
        <v>26</v>
      </c>
    </row>
    <row r="751" spans="1:17" x14ac:dyDescent="0.25">
      <c r="A751" s="198" t="s">
        <v>32</v>
      </c>
      <c r="B751" s="198" t="s">
        <v>2160</v>
      </c>
      <c r="C751" s="198"/>
      <c r="D751" s="196">
        <v>1353</v>
      </c>
      <c r="E751" s="196"/>
      <c r="F751" s="196">
        <v>0</v>
      </c>
      <c r="G751" s="196">
        <v>129.81200000000001</v>
      </c>
      <c r="H751" s="196"/>
      <c r="I751" s="196"/>
      <c r="J751" s="196"/>
      <c r="K751" s="196">
        <v>2.0609999999999999</v>
      </c>
      <c r="L751" s="200">
        <v>751</v>
      </c>
      <c r="M751" s="200">
        <v>1</v>
      </c>
      <c r="N751" s="200">
        <v>3</v>
      </c>
    </row>
    <row r="752" spans="1:17" x14ac:dyDescent="0.25">
      <c r="A752" s="198" t="s">
        <v>32</v>
      </c>
      <c r="B752" s="198" t="s">
        <v>2164</v>
      </c>
      <c r="C752" s="198"/>
      <c r="D752" s="196">
        <v>179</v>
      </c>
      <c r="E752" s="196"/>
      <c r="F752" s="196">
        <v>0.749</v>
      </c>
      <c r="G752" s="196">
        <v>5.8</v>
      </c>
      <c r="H752" s="196"/>
      <c r="I752" s="196"/>
      <c r="J752" s="196"/>
      <c r="K752" s="196">
        <v>1.5</v>
      </c>
      <c r="L752" s="200">
        <v>752</v>
      </c>
      <c r="M752" s="200">
        <v>1</v>
      </c>
      <c r="N752" s="200">
        <v>26</v>
      </c>
    </row>
    <row r="753" spans="1:14" x14ac:dyDescent="0.25">
      <c r="A753" s="198" t="s">
        <v>32</v>
      </c>
      <c r="B753" s="198" t="s">
        <v>2168</v>
      </c>
      <c r="C753" s="198"/>
      <c r="D753" s="196">
        <v>31</v>
      </c>
      <c r="E753" s="196"/>
      <c r="F753" s="196">
        <v>0.26500000000000001</v>
      </c>
      <c r="G753" s="196"/>
      <c r="H753" s="196"/>
      <c r="I753" s="196"/>
      <c r="J753" s="196"/>
      <c r="K753" s="196"/>
      <c r="L753" s="200">
        <v>753</v>
      </c>
      <c r="M753" s="200">
        <v>1</v>
      </c>
      <c r="N753" s="200">
        <v>26</v>
      </c>
    </row>
    <row r="754" spans="1:14" x14ac:dyDescent="0.25">
      <c r="A754" s="198" t="s">
        <v>32</v>
      </c>
      <c r="B754" s="198" t="s">
        <v>2171</v>
      </c>
      <c r="C754" s="198"/>
      <c r="D754" s="196">
        <v>22</v>
      </c>
      <c r="E754" s="196"/>
      <c r="F754" s="196">
        <v>0.13700000000000001</v>
      </c>
      <c r="G754" s="196"/>
      <c r="H754" s="196"/>
      <c r="I754" s="196"/>
      <c r="J754" s="196"/>
      <c r="K754" s="196"/>
      <c r="L754" s="200">
        <v>754</v>
      </c>
      <c r="M754" s="200">
        <v>1</v>
      </c>
      <c r="N754" s="200">
        <v>26</v>
      </c>
    </row>
    <row r="755" spans="1:14" x14ac:dyDescent="0.25">
      <c r="A755" s="198" t="s">
        <v>32</v>
      </c>
      <c r="B755" s="198" t="s">
        <v>2181</v>
      </c>
      <c r="C755" s="198"/>
      <c r="D755" s="196">
        <v>12</v>
      </c>
      <c r="E755" s="196"/>
      <c r="F755" s="196">
        <v>0.433</v>
      </c>
      <c r="G755" s="196">
        <v>46.3</v>
      </c>
      <c r="H755" s="196"/>
      <c r="I755" s="196"/>
      <c r="J755" s="196"/>
      <c r="K755" s="196"/>
      <c r="L755" s="200">
        <v>755</v>
      </c>
      <c r="M755" s="200">
        <v>3</v>
      </c>
      <c r="N755" s="200">
        <v>26</v>
      </c>
    </row>
    <row r="756" spans="1:14" x14ac:dyDescent="0.25">
      <c r="A756" s="198" t="s">
        <v>32</v>
      </c>
      <c r="B756" s="198" t="s">
        <v>2175</v>
      </c>
      <c r="C756" s="198"/>
      <c r="D756" s="196">
        <v>21</v>
      </c>
      <c r="E756" s="196"/>
      <c r="F756" s="196">
        <v>0.39700000000000002</v>
      </c>
      <c r="G756" s="196"/>
      <c r="H756" s="196"/>
      <c r="I756" s="196"/>
      <c r="J756" s="196"/>
      <c r="K756" s="196"/>
      <c r="L756" s="200">
        <v>756</v>
      </c>
      <c r="M756" s="200">
        <v>1</v>
      </c>
      <c r="N756" s="200">
        <v>26</v>
      </c>
    </row>
    <row r="757" spans="1:14" x14ac:dyDescent="0.25">
      <c r="A757" s="198" t="s">
        <v>32</v>
      </c>
      <c r="B757" s="198" t="s">
        <v>2177</v>
      </c>
      <c r="C757" s="198"/>
      <c r="D757" s="196">
        <v>20</v>
      </c>
      <c r="E757" s="196"/>
      <c r="F757" s="196">
        <v>0.41399999999999998</v>
      </c>
      <c r="G757" s="196"/>
      <c r="H757" s="196"/>
      <c r="I757" s="196"/>
      <c r="J757" s="196"/>
      <c r="K757" s="196"/>
      <c r="L757" s="200">
        <v>757</v>
      </c>
      <c r="M757" s="200">
        <v>1</v>
      </c>
      <c r="N757" s="200">
        <v>26</v>
      </c>
    </row>
    <row r="758" spans="1:14" x14ac:dyDescent="0.25">
      <c r="A758" s="198" t="s">
        <v>32</v>
      </c>
      <c r="B758" s="198" t="s">
        <v>2179</v>
      </c>
      <c r="C758" s="198"/>
      <c r="D758" s="196">
        <v>30</v>
      </c>
      <c r="E758" s="196"/>
      <c r="F758" s="196">
        <v>0.45500000000000002</v>
      </c>
      <c r="G758" s="196"/>
      <c r="H758" s="196"/>
      <c r="I758" s="196"/>
      <c r="J758" s="196"/>
      <c r="K758" s="196"/>
      <c r="L758" s="200">
        <v>758</v>
      </c>
      <c r="M758" s="200">
        <v>1</v>
      </c>
      <c r="N758" s="200">
        <v>26</v>
      </c>
    </row>
    <row r="759" spans="1:14" x14ac:dyDescent="0.25">
      <c r="A759" s="198" t="s">
        <v>32</v>
      </c>
      <c r="B759" s="198" t="s">
        <v>2182</v>
      </c>
      <c r="C759" s="198"/>
      <c r="D759" s="196">
        <v>7</v>
      </c>
      <c r="E759" s="196"/>
      <c r="F759" s="196">
        <v>0.503</v>
      </c>
      <c r="G759" s="196">
        <v>50.2</v>
      </c>
      <c r="H759" s="196"/>
      <c r="I759" s="196"/>
      <c r="J759" s="196"/>
      <c r="K759" s="196"/>
      <c r="L759" s="200">
        <v>759</v>
      </c>
      <c r="M759" s="200">
        <v>3</v>
      </c>
      <c r="N759" s="200">
        <v>26</v>
      </c>
    </row>
    <row r="760" spans="1:14" x14ac:dyDescent="0.25">
      <c r="A760" s="198" t="s">
        <v>1485</v>
      </c>
      <c r="B760" s="198" t="s">
        <v>8491</v>
      </c>
      <c r="C760" s="198">
        <v>0</v>
      </c>
      <c r="D760" s="196">
        <v>66</v>
      </c>
      <c r="E760" s="196">
        <v>30.114999999999998</v>
      </c>
      <c r="F760" s="196">
        <v>2.8000000000000001E-2</v>
      </c>
      <c r="G760" s="196">
        <v>1.325</v>
      </c>
      <c r="H760" s="196">
        <v>151.11000000000001</v>
      </c>
      <c r="I760" s="196">
        <v>151.75</v>
      </c>
      <c r="J760" s="196">
        <v>86.551000000000002</v>
      </c>
      <c r="K760" s="196"/>
      <c r="L760" s="200">
        <v>760</v>
      </c>
      <c r="M760" s="200">
        <v>2</v>
      </c>
      <c r="N760" s="200">
        <v>16</v>
      </c>
    </row>
    <row r="761" spans="1:14" x14ac:dyDescent="0.25">
      <c r="A761" s="198" t="s">
        <v>1966</v>
      </c>
      <c r="B761" s="198" t="s">
        <v>8492</v>
      </c>
      <c r="C761" s="198">
        <v>0</v>
      </c>
      <c r="D761" s="196">
        <v>124</v>
      </c>
      <c r="E761" s="196">
        <v>30.178999999999998</v>
      </c>
      <c r="F761" s="196">
        <v>0.30199999999999999</v>
      </c>
      <c r="G761" s="196">
        <v>36.156999999999996</v>
      </c>
      <c r="H761" s="196">
        <v>95.65</v>
      </c>
      <c r="I761" s="196">
        <v>187.06399999999999</v>
      </c>
      <c r="J761" s="196">
        <v>71.528999999999996</v>
      </c>
      <c r="K761" s="196"/>
      <c r="L761" s="200">
        <v>761</v>
      </c>
      <c r="M761" s="200">
        <v>2</v>
      </c>
      <c r="N761" s="200">
        <v>6</v>
      </c>
    </row>
    <row r="762" spans="1:14" x14ac:dyDescent="0.25">
      <c r="A762" s="198" t="s">
        <v>1485</v>
      </c>
      <c r="B762" s="198" t="s">
        <v>8493</v>
      </c>
      <c r="C762" s="198">
        <v>0</v>
      </c>
      <c r="D762" s="196">
        <v>50</v>
      </c>
      <c r="E762" s="196">
        <v>30.219000000000001</v>
      </c>
      <c r="F762" s="196">
        <v>8.5000000000000006E-2</v>
      </c>
      <c r="G762" s="196">
        <v>29.347999999999999</v>
      </c>
      <c r="H762" s="196">
        <v>151.24</v>
      </c>
      <c r="I762" s="196">
        <v>100.97</v>
      </c>
      <c r="J762" s="196">
        <v>33.570999999999998</v>
      </c>
      <c r="K762" s="196"/>
      <c r="L762" s="200">
        <v>762</v>
      </c>
      <c r="M762" s="200">
        <v>2</v>
      </c>
      <c r="N762" s="200">
        <v>16</v>
      </c>
    </row>
    <row r="763" spans="1:14" x14ac:dyDescent="0.25">
      <c r="A763" s="198" t="s">
        <v>1485</v>
      </c>
      <c r="B763" s="198" t="s">
        <v>8494</v>
      </c>
      <c r="C763" s="198">
        <v>0</v>
      </c>
      <c r="D763" s="196">
        <v>78</v>
      </c>
      <c r="E763" s="196">
        <v>30.225999999999999</v>
      </c>
      <c r="F763" s="196">
        <v>2.3E-2</v>
      </c>
      <c r="G763" s="196">
        <v>22.29</v>
      </c>
      <c r="H763" s="196">
        <v>204.739</v>
      </c>
      <c r="I763" s="196">
        <v>352.10300000000001</v>
      </c>
      <c r="J763" s="196">
        <v>236.96199999999999</v>
      </c>
      <c r="K763" s="196"/>
      <c r="L763" s="200">
        <v>763</v>
      </c>
      <c r="M763" s="200">
        <v>2</v>
      </c>
      <c r="N763" s="200">
        <v>16</v>
      </c>
    </row>
    <row r="764" spans="1:14" x14ac:dyDescent="0.25">
      <c r="A764" s="198" t="s">
        <v>1485</v>
      </c>
      <c r="B764" s="198" t="s">
        <v>8495</v>
      </c>
      <c r="C764" s="198">
        <v>0</v>
      </c>
      <c r="D764" s="196">
        <v>54</v>
      </c>
      <c r="E764" s="196">
        <v>30.227</v>
      </c>
      <c r="F764" s="196">
        <v>5.2999999999999999E-2</v>
      </c>
      <c r="G764" s="196">
        <v>6.5609999999999999</v>
      </c>
      <c r="H764" s="196">
        <v>299.10500000000002</v>
      </c>
      <c r="I764" s="196">
        <v>129.60300000000001</v>
      </c>
      <c r="J764" s="196">
        <v>0.17399999999999999</v>
      </c>
      <c r="K764" s="196"/>
      <c r="L764" s="200">
        <v>764</v>
      </c>
      <c r="M764" s="200">
        <v>2</v>
      </c>
      <c r="N764" s="200">
        <v>16</v>
      </c>
    </row>
    <row r="765" spans="1:14" x14ac:dyDescent="0.25">
      <c r="A765" s="198" t="s">
        <v>1485</v>
      </c>
      <c r="B765" s="198" t="s">
        <v>8496</v>
      </c>
      <c r="C765" s="198">
        <v>0</v>
      </c>
      <c r="D765" s="196">
        <v>52</v>
      </c>
      <c r="E765" s="196">
        <v>30.236999999999998</v>
      </c>
      <c r="F765" s="196">
        <v>4.5999999999999999E-2</v>
      </c>
      <c r="G765" s="196">
        <v>29.529</v>
      </c>
      <c r="H765" s="196">
        <v>118.7</v>
      </c>
      <c r="I765" s="196">
        <v>152.416</v>
      </c>
      <c r="J765" s="196">
        <v>137.96</v>
      </c>
      <c r="K765" s="196"/>
      <c r="L765" s="200">
        <v>765</v>
      </c>
      <c r="M765" s="200">
        <v>2</v>
      </c>
      <c r="N765" s="200">
        <v>16</v>
      </c>
    </row>
    <row r="766" spans="1:14" x14ac:dyDescent="0.25">
      <c r="A766" s="198" t="s">
        <v>1485</v>
      </c>
      <c r="B766" s="198" t="s">
        <v>8497</v>
      </c>
      <c r="C766" s="198">
        <v>0</v>
      </c>
      <c r="D766" s="196">
        <v>89</v>
      </c>
      <c r="E766" s="196">
        <v>30.241</v>
      </c>
      <c r="F766" s="196">
        <v>3.5000000000000003E-2</v>
      </c>
      <c r="G766" s="196">
        <v>38.902000000000001</v>
      </c>
      <c r="H766" s="196">
        <v>30.626000000000001</v>
      </c>
      <c r="I766" s="196">
        <v>114.214</v>
      </c>
      <c r="J766" s="196">
        <v>258.69799999999998</v>
      </c>
      <c r="K766" s="196"/>
      <c r="L766" s="200">
        <v>766</v>
      </c>
      <c r="M766" s="200">
        <v>2</v>
      </c>
      <c r="N766" s="200">
        <v>16</v>
      </c>
    </row>
    <row r="767" spans="1:14" x14ac:dyDescent="0.25">
      <c r="A767" s="198" t="s">
        <v>1485</v>
      </c>
      <c r="B767" s="198" t="s">
        <v>8498</v>
      </c>
      <c r="C767" s="198">
        <v>0</v>
      </c>
      <c r="D767" s="196">
        <v>59</v>
      </c>
      <c r="E767" s="196">
        <v>30.245000000000001</v>
      </c>
      <c r="F767" s="196">
        <v>4.8000000000000001E-2</v>
      </c>
      <c r="G767" s="196">
        <v>35.677999999999997</v>
      </c>
      <c r="H767" s="196">
        <v>65.959999999999994</v>
      </c>
      <c r="I767" s="196">
        <v>82.058999999999997</v>
      </c>
      <c r="J767" s="196">
        <v>266.33800000000002</v>
      </c>
      <c r="K767" s="196"/>
      <c r="L767" s="200">
        <v>767</v>
      </c>
      <c r="M767" s="200">
        <v>2</v>
      </c>
      <c r="N767" s="200">
        <v>16</v>
      </c>
    </row>
    <row r="768" spans="1:14" x14ac:dyDescent="0.25">
      <c r="A768" s="198" t="s">
        <v>1485</v>
      </c>
      <c r="B768" s="198" t="s">
        <v>8499</v>
      </c>
      <c r="C768" s="198">
        <v>0</v>
      </c>
      <c r="D768" s="196">
        <v>43</v>
      </c>
      <c r="E768" s="196">
        <v>30.256</v>
      </c>
      <c r="F768" s="196">
        <v>5.3999999999999999E-2</v>
      </c>
      <c r="G768" s="196">
        <v>7.4379999999999997</v>
      </c>
      <c r="H768" s="196">
        <v>79.988</v>
      </c>
      <c r="I768" s="196">
        <v>81.629000000000005</v>
      </c>
      <c r="J768" s="196">
        <v>243.22200000000001</v>
      </c>
      <c r="K768" s="196"/>
      <c r="L768" s="200">
        <v>768</v>
      </c>
      <c r="M768" s="200">
        <v>2</v>
      </c>
      <c r="N768" s="200">
        <v>16</v>
      </c>
    </row>
    <row r="769" spans="1:14" x14ac:dyDescent="0.25">
      <c r="A769" s="198" t="s">
        <v>1485</v>
      </c>
      <c r="B769" s="198" t="s">
        <v>8500</v>
      </c>
      <c r="C769" s="198">
        <v>0</v>
      </c>
      <c r="D769" s="196">
        <v>59</v>
      </c>
      <c r="E769" s="196">
        <v>30.263000000000002</v>
      </c>
      <c r="F769" s="196">
        <v>9.2999999999999999E-2</v>
      </c>
      <c r="G769" s="196">
        <v>33.698999999999998</v>
      </c>
      <c r="H769" s="196">
        <v>43.941000000000003</v>
      </c>
      <c r="I769" s="196">
        <v>176.19200000000001</v>
      </c>
      <c r="J769" s="196">
        <v>196.136</v>
      </c>
      <c r="K769" s="196"/>
      <c r="L769" s="200">
        <v>769</v>
      </c>
      <c r="M769" s="200">
        <v>2</v>
      </c>
      <c r="N769" s="200">
        <v>16</v>
      </c>
    </row>
    <row r="770" spans="1:14" x14ac:dyDescent="0.25">
      <c r="A770" s="198" t="s">
        <v>1485</v>
      </c>
      <c r="B770" s="198" t="s">
        <v>8501</v>
      </c>
      <c r="C770" s="198">
        <v>0</v>
      </c>
      <c r="D770" s="196">
        <v>69</v>
      </c>
      <c r="E770" s="196">
        <v>30.274999999999999</v>
      </c>
      <c r="F770" s="196">
        <v>6.4000000000000001E-2</v>
      </c>
      <c r="G770" s="196">
        <v>4.2629999999999999</v>
      </c>
      <c r="H770" s="196">
        <v>8.2609999999999992</v>
      </c>
      <c r="I770" s="196">
        <v>249.249</v>
      </c>
      <c r="J770" s="196">
        <v>183.21199999999999</v>
      </c>
      <c r="K770" s="196"/>
      <c r="L770" s="200">
        <v>770</v>
      </c>
      <c r="M770" s="200">
        <v>2</v>
      </c>
      <c r="N770" s="200">
        <v>16</v>
      </c>
    </row>
    <row r="771" spans="1:14" x14ac:dyDescent="0.25">
      <c r="A771" s="198" t="s">
        <v>1966</v>
      </c>
      <c r="B771" s="198" t="s">
        <v>8502</v>
      </c>
      <c r="C771" s="198">
        <v>0</v>
      </c>
      <c r="D771" s="196">
        <v>52</v>
      </c>
      <c r="E771" s="196">
        <v>30.279</v>
      </c>
      <c r="F771" s="196">
        <v>0.56999999999999995</v>
      </c>
      <c r="G771" s="196">
        <v>19.638000000000002</v>
      </c>
      <c r="H771" s="196">
        <v>108.73</v>
      </c>
      <c r="I771" s="196">
        <v>46.808</v>
      </c>
      <c r="J771" s="196">
        <v>14.936</v>
      </c>
      <c r="K771" s="196"/>
      <c r="L771" s="200">
        <v>771</v>
      </c>
      <c r="M771" s="200">
        <v>2</v>
      </c>
      <c r="N771" s="200">
        <v>6</v>
      </c>
    </row>
    <row r="772" spans="1:14" x14ac:dyDescent="0.25">
      <c r="A772" s="198" t="s">
        <v>1485</v>
      </c>
      <c r="B772" s="198" t="s">
        <v>8503</v>
      </c>
      <c r="C772" s="198">
        <v>0</v>
      </c>
      <c r="D772" s="196">
        <v>43</v>
      </c>
      <c r="E772" s="196">
        <v>30.285</v>
      </c>
      <c r="F772" s="196">
        <v>3.1E-2</v>
      </c>
      <c r="G772" s="196">
        <v>10.130000000000001</v>
      </c>
      <c r="H772" s="196">
        <v>243.86099999999999</v>
      </c>
      <c r="I772" s="196">
        <v>166.833</v>
      </c>
      <c r="J772" s="196">
        <v>354.863</v>
      </c>
      <c r="K772" s="196"/>
      <c r="L772" s="200">
        <v>772</v>
      </c>
      <c r="M772" s="200">
        <v>2</v>
      </c>
      <c r="N772" s="200">
        <v>16</v>
      </c>
    </row>
    <row r="773" spans="1:14" x14ac:dyDescent="0.25">
      <c r="A773" s="198" t="s">
        <v>1485</v>
      </c>
      <c r="B773" s="198" t="s">
        <v>8504</v>
      </c>
      <c r="C773" s="198">
        <v>0</v>
      </c>
      <c r="D773" s="196">
        <v>56</v>
      </c>
      <c r="E773" s="196">
        <v>30.306000000000001</v>
      </c>
      <c r="F773" s="196">
        <v>0.09</v>
      </c>
      <c r="G773" s="196">
        <v>31.221</v>
      </c>
      <c r="H773" s="196">
        <v>216.60300000000001</v>
      </c>
      <c r="I773" s="196">
        <v>192.46199999999999</v>
      </c>
      <c r="J773" s="196">
        <v>10.907</v>
      </c>
      <c r="K773" s="196"/>
      <c r="L773" s="200">
        <v>773</v>
      </c>
      <c r="M773" s="200">
        <v>2</v>
      </c>
      <c r="N773" s="200">
        <v>16</v>
      </c>
    </row>
    <row r="774" spans="1:14" x14ac:dyDescent="0.25">
      <c r="A774" s="198" t="s">
        <v>1485</v>
      </c>
      <c r="B774" s="198" t="s">
        <v>8505</v>
      </c>
      <c r="C774" s="198">
        <v>0</v>
      </c>
      <c r="D774" s="196">
        <v>52</v>
      </c>
      <c r="E774" s="196">
        <v>30.31</v>
      </c>
      <c r="F774" s="196">
        <v>5.2999999999999999E-2</v>
      </c>
      <c r="G774" s="196">
        <v>4.9880000000000004</v>
      </c>
      <c r="H774" s="196">
        <v>58.107999999999997</v>
      </c>
      <c r="I774" s="196">
        <v>78.941000000000003</v>
      </c>
      <c r="J774" s="196">
        <v>295.88499999999999</v>
      </c>
      <c r="K774" s="196"/>
      <c r="L774" s="200">
        <v>774</v>
      </c>
      <c r="M774" s="200">
        <v>2</v>
      </c>
      <c r="N774" s="200">
        <v>16</v>
      </c>
    </row>
    <row r="775" spans="1:14" x14ac:dyDescent="0.25">
      <c r="A775" s="198" t="s">
        <v>1485</v>
      </c>
      <c r="B775" s="198" t="s">
        <v>8506</v>
      </c>
      <c r="C775" s="198">
        <v>0</v>
      </c>
      <c r="D775" s="196">
        <v>59</v>
      </c>
      <c r="E775" s="196">
        <v>30.335999999999999</v>
      </c>
      <c r="F775" s="196">
        <v>6.8000000000000005E-2</v>
      </c>
      <c r="G775" s="196">
        <v>13.151999999999999</v>
      </c>
      <c r="H775" s="196">
        <v>353.37</v>
      </c>
      <c r="I775" s="196">
        <v>155.535</v>
      </c>
      <c r="J775" s="196">
        <v>266.43</v>
      </c>
      <c r="K775" s="196"/>
      <c r="L775" s="200">
        <v>775</v>
      </c>
      <c r="M775" s="200">
        <v>2</v>
      </c>
      <c r="N775" s="200">
        <v>16</v>
      </c>
    </row>
    <row r="776" spans="1:14" x14ac:dyDescent="0.25">
      <c r="A776" s="198" t="s">
        <v>1485</v>
      </c>
      <c r="B776" s="198" t="s">
        <v>8507</v>
      </c>
      <c r="C776" s="198">
        <v>0</v>
      </c>
      <c r="D776" s="196">
        <v>48</v>
      </c>
      <c r="E776" s="196">
        <v>30.353000000000002</v>
      </c>
      <c r="F776" s="196">
        <v>0.10100000000000001</v>
      </c>
      <c r="G776" s="196">
        <v>30.773</v>
      </c>
      <c r="H776" s="196">
        <v>43.173999999999999</v>
      </c>
      <c r="I776" s="196">
        <v>101.057</v>
      </c>
      <c r="J776" s="196">
        <v>273.017</v>
      </c>
      <c r="K776" s="196"/>
      <c r="L776" s="200">
        <v>776</v>
      </c>
      <c r="M776" s="200">
        <v>2</v>
      </c>
      <c r="N776" s="200">
        <v>16</v>
      </c>
    </row>
    <row r="777" spans="1:14" x14ac:dyDescent="0.25">
      <c r="A777" s="198" t="s">
        <v>1485</v>
      </c>
      <c r="B777" s="198" t="s">
        <v>8508</v>
      </c>
      <c r="C777" s="198">
        <v>0</v>
      </c>
      <c r="D777" s="196">
        <v>63</v>
      </c>
      <c r="E777" s="196">
        <v>30.367000000000001</v>
      </c>
      <c r="F777" s="196">
        <v>5.0000000000000001E-3</v>
      </c>
      <c r="G777" s="196">
        <v>9.6329999999999991</v>
      </c>
      <c r="H777" s="196">
        <v>120.006</v>
      </c>
      <c r="I777" s="196">
        <v>113.57599999999999</v>
      </c>
      <c r="J777" s="196">
        <v>169.95699999999999</v>
      </c>
      <c r="K777" s="196"/>
      <c r="L777" s="200">
        <v>777</v>
      </c>
      <c r="M777" s="200">
        <v>2</v>
      </c>
      <c r="N777" s="200">
        <v>16</v>
      </c>
    </row>
    <row r="778" spans="1:14" x14ac:dyDescent="0.25">
      <c r="A778" s="198" t="s">
        <v>1485</v>
      </c>
      <c r="B778" s="198" t="s">
        <v>8509</v>
      </c>
      <c r="C778" s="198">
        <v>0</v>
      </c>
      <c r="D778" s="196">
        <v>36</v>
      </c>
      <c r="E778" s="196">
        <v>30.37</v>
      </c>
      <c r="F778" s="196">
        <v>0.187</v>
      </c>
      <c r="G778" s="196">
        <v>13.557</v>
      </c>
      <c r="H778" s="196">
        <v>296.57</v>
      </c>
      <c r="I778" s="196">
        <v>235.54</v>
      </c>
      <c r="J778" s="196">
        <v>69.474000000000004</v>
      </c>
      <c r="K778" s="196"/>
      <c r="L778" s="200">
        <v>778</v>
      </c>
      <c r="M778" s="200">
        <v>2</v>
      </c>
      <c r="N778" s="200">
        <v>16</v>
      </c>
    </row>
    <row r="779" spans="1:14" x14ac:dyDescent="0.25">
      <c r="A779" s="198" t="s">
        <v>1485</v>
      </c>
      <c r="B779" s="198" t="s">
        <v>8510</v>
      </c>
      <c r="C779" s="198">
        <v>0</v>
      </c>
      <c r="D779" s="196">
        <v>77</v>
      </c>
      <c r="E779" s="196">
        <v>30.382000000000001</v>
      </c>
      <c r="F779" s="196">
        <v>3.7999999999999999E-2</v>
      </c>
      <c r="G779" s="196">
        <v>28.227</v>
      </c>
      <c r="H779" s="196">
        <v>353.85399999999998</v>
      </c>
      <c r="I779" s="196">
        <v>246.21700000000001</v>
      </c>
      <c r="J779" s="196">
        <v>182.98599999999999</v>
      </c>
      <c r="K779" s="196"/>
      <c r="L779" s="200">
        <v>779</v>
      </c>
      <c r="M779" s="200">
        <v>2</v>
      </c>
      <c r="N779" s="200">
        <v>16</v>
      </c>
    </row>
    <row r="780" spans="1:14" x14ac:dyDescent="0.25">
      <c r="A780" s="198" t="s">
        <v>1966</v>
      </c>
      <c r="B780" s="198" t="s">
        <v>8511</v>
      </c>
      <c r="C780" s="198">
        <v>0</v>
      </c>
      <c r="D780" s="196">
        <v>67</v>
      </c>
      <c r="E780" s="196">
        <v>30.395</v>
      </c>
      <c r="F780" s="196">
        <v>0.152</v>
      </c>
      <c r="G780" s="196">
        <v>28.751999999999999</v>
      </c>
      <c r="H780" s="196">
        <v>178.27600000000001</v>
      </c>
      <c r="I780" s="196">
        <v>15.736000000000001</v>
      </c>
      <c r="J780" s="196">
        <v>351.65800000000002</v>
      </c>
      <c r="K780" s="196"/>
      <c r="L780" s="200">
        <v>780</v>
      </c>
      <c r="M780" s="200">
        <v>2</v>
      </c>
      <c r="N780" s="200">
        <v>6</v>
      </c>
    </row>
    <row r="781" spans="1:14" x14ac:dyDescent="0.25">
      <c r="A781" s="198" t="s">
        <v>1485</v>
      </c>
      <c r="B781" s="198" t="s">
        <v>8512</v>
      </c>
      <c r="C781" s="198">
        <v>0</v>
      </c>
      <c r="D781" s="196">
        <v>88</v>
      </c>
      <c r="E781" s="196">
        <v>30.757999999999999</v>
      </c>
      <c r="F781" s="196">
        <v>0.312</v>
      </c>
      <c r="G781" s="196">
        <v>19.209</v>
      </c>
      <c r="H781" s="196">
        <v>225.77</v>
      </c>
      <c r="I781" s="196">
        <v>234.47</v>
      </c>
      <c r="J781" s="196">
        <v>48.106999999999999</v>
      </c>
      <c r="K781" s="196"/>
      <c r="L781" s="200">
        <v>781</v>
      </c>
      <c r="M781" s="200">
        <v>2</v>
      </c>
      <c r="N781" s="200">
        <v>16</v>
      </c>
    </row>
    <row r="782" spans="1:14" x14ac:dyDescent="0.25">
      <c r="A782" s="198" t="s">
        <v>1966</v>
      </c>
      <c r="B782" s="198" t="s">
        <v>8513</v>
      </c>
      <c r="C782" s="198">
        <v>0</v>
      </c>
      <c r="D782" s="196">
        <v>59</v>
      </c>
      <c r="E782" s="196">
        <v>31.077999999999999</v>
      </c>
      <c r="F782" s="196">
        <v>0.46899999999999997</v>
      </c>
      <c r="G782" s="196">
        <v>10.25</v>
      </c>
      <c r="H782" s="196">
        <v>171.267</v>
      </c>
      <c r="I782" s="196">
        <v>292.286</v>
      </c>
      <c r="J782" s="196">
        <v>21.866</v>
      </c>
      <c r="K782" s="196"/>
      <c r="L782" s="200">
        <v>782</v>
      </c>
      <c r="M782" s="200">
        <v>2</v>
      </c>
      <c r="N782" s="200">
        <v>6</v>
      </c>
    </row>
    <row r="783" spans="1:14" x14ac:dyDescent="0.25">
      <c r="A783" s="198" t="s">
        <v>1966</v>
      </c>
      <c r="B783" s="198" t="s">
        <v>8514</v>
      </c>
      <c r="C783" s="198">
        <v>0</v>
      </c>
      <c r="D783" s="196">
        <v>56</v>
      </c>
      <c r="E783" s="196">
        <v>31.122</v>
      </c>
      <c r="F783" s="196">
        <v>0.56799999999999995</v>
      </c>
      <c r="G783" s="196">
        <v>16.62</v>
      </c>
      <c r="H783" s="196">
        <v>358.92</v>
      </c>
      <c r="I783" s="196">
        <v>299.22699999999998</v>
      </c>
      <c r="J783" s="196">
        <v>47.517000000000003</v>
      </c>
      <c r="K783" s="196"/>
      <c r="L783" s="200">
        <v>783</v>
      </c>
      <c r="M783" s="200">
        <v>2</v>
      </c>
      <c r="N783" s="200">
        <v>6</v>
      </c>
    </row>
    <row r="784" spans="1:14" x14ac:dyDescent="0.25">
      <c r="A784" s="198" t="s">
        <v>1966</v>
      </c>
      <c r="B784" s="198" t="s">
        <v>8515</v>
      </c>
      <c r="C784" s="198">
        <v>0</v>
      </c>
      <c r="D784" s="196">
        <v>71</v>
      </c>
      <c r="E784" s="196">
        <v>31.154</v>
      </c>
      <c r="F784" s="196">
        <v>7.8E-2</v>
      </c>
      <c r="G784" s="196">
        <v>13.047000000000001</v>
      </c>
      <c r="H784" s="196">
        <v>158.70400000000001</v>
      </c>
      <c r="I784" s="196">
        <v>35.930999999999997</v>
      </c>
      <c r="J784" s="196">
        <v>202.10300000000001</v>
      </c>
      <c r="K784" s="196"/>
      <c r="L784" s="200">
        <v>784</v>
      </c>
      <c r="M784" s="200">
        <v>2</v>
      </c>
      <c r="N784" s="200">
        <v>6</v>
      </c>
    </row>
    <row r="785" spans="1:14" x14ac:dyDescent="0.25">
      <c r="A785" s="198" t="s">
        <v>1966</v>
      </c>
      <c r="B785" s="198" t="s">
        <v>8516</v>
      </c>
      <c r="C785" s="198">
        <v>0</v>
      </c>
      <c r="D785" s="196">
        <v>84</v>
      </c>
      <c r="E785" s="196">
        <v>31.294</v>
      </c>
      <c r="F785" s="196">
        <v>0.30599999999999999</v>
      </c>
      <c r="G785" s="196">
        <v>28.364999999999998</v>
      </c>
      <c r="H785" s="196">
        <v>234.441</v>
      </c>
      <c r="I785" s="196">
        <v>206.67500000000001</v>
      </c>
      <c r="J785" s="196">
        <v>113.227</v>
      </c>
      <c r="K785" s="196"/>
      <c r="L785" s="200">
        <v>785</v>
      </c>
      <c r="M785" s="200">
        <v>2</v>
      </c>
      <c r="N785" s="200">
        <v>6</v>
      </c>
    </row>
    <row r="786" spans="1:14" x14ac:dyDescent="0.25">
      <c r="A786" s="198" t="s">
        <v>1966</v>
      </c>
      <c r="B786" s="198" t="s">
        <v>8517</v>
      </c>
      <c r="C786" s="198">
        <v>0</v>
      </c>
      <c r="D786" s="196">
        <v>53</v>
      </c>
      <c r="E786" s="196">
        <v>31.625</v>
      </c>
      <c r="F786" s="196">
        <v>0.45800000000000002</v>
      </c>
      <c r="G786" s="196">
        <v>26.981000000000002</v>
      </c>
      <c r="H786" s="196">
        <v>170.785</v>
      </c>
      <c r="I786" s="196">
        <v>131.43299999999999</v>
      </c>
      <c r="J786" s="196">
        <v>348.56</v>
      </c>
      <c r="K786" s="196"/>
      <c r="L786" s="200">
        <v>786</v>
      </c>
      <c r="M786" s="200">
        <v>2</v>
      </c>
      <c r="N786" s="200">
        <v>6</v>
      </c>
    </row>
    <row r="787" spans="1:14" x14ac:dyDescent="0.25">
      <c r="A787" s="198" t="s">
        <v>1966</v>
      </c>
      <c r="B787" s="198" t="s">
        <v>8518</v>
      </c>
      <c r="C787" s="198">
        <v>0</v>
      </c>
      <c r="D787" s="196">
        <v>71</v>
      </c>
      <c r="E787" s="196">
        <v>31.672999999999998</v>
      </c>
      <c r="F787" s="196">
        <v>0.19400000000000001</v>
      </c>
      <c r="G787" s="196">
        <v>8.18</v>
      </c>
      <c r="H787" s="196">
        <v>354.94900000000001</v>
      </c>
      <c r="I787" s="196">
        <v>267.36200000000002</v>
      </c>
      <c r="J787" s="196">
        <v>324.608</v>
      </c>
      <c r="K787" s="196"/>
      <c r="L787" s="200">
        <v>787</v>
      </c>
      <c r="M787" s="200">
        <v>2</v>
      </c>
      <c r="N787" s="200">
        <v>6</v>
      </c>
    </row>
    <row r="788" spans="1:14" x14ac:dyDescent="0.25">
      <c r="A788" s="198" t="s">
        <v>1966</v>
      </c>
      <c r="B788" s="198" t="s">
        <v>8519</v>
      </c>
      <c r="C788" s="198">
        <v>0</v>
      </c>
      <c r="D788" s="196">
        <v>55</v>
      </c>
      <c r="E788" s="196">
        <v>31.844000000000001</v>
      </c>
      <c r="F788" s="196">
        <v>0.29299999999999998</v>
      </c>
      <c r="G788" s="196">
        <v>5.3550000000000004</v>
      </c>
      <c r="H788" s="196">
        <v>255.55600000000001</v>
      </c>
      <c r="I788" s="196">
        <v>332.66500000000002</v>
      </c>
      <c r="J788" s="196">
        <v>10.326000000000001</v>
      </c>
      <c r="K788" s="196"/>
      <c r="L788" s="200">
        <v>788</v>
      </c>
      <c r="M788" s="200">
        <v>2</v>
      </c>
      <c r="N788" s="200">
        <v>6</v>
      </c>
    </row>
    <row r="789" spans="1:14" x14ac:dyDescent="0.25">
      <c r="A789" s="198" t="s">
        <v>1966</v>
      </c>
      <c r="B789" s="198" t="s">
        <v>8520</v>
      </c>
      <c r="C789" s="198">
        <v>0</v>
      </c>
      <c r="D789" s="196">
        <v>78</v>
      </c>
      <c r="E789" s="196">
        <v>32.082999999999998</v>
      </c>
      <c r="F789" s="196">
        <v>0.45200000000000001</v>
      </c>
      <c r="G789" s="196">
        <v>2.625</v>
      </c>
      <c r="H789" s="196">
        <v>144.53</v>
      </c>
      <c r="I789" s="196">
        <v>259.10000000000002</v>
      </c>
      <c r="J789" s="196">
        <v>347.21</v>
      </c>
      <c r="K789" s="196"/>
      <c r="L789" s="200">
        <v>789</v>
      </c>
      <c r="M789" s="200">
        <v>2</v>
      </c>
      <c r="N789" s="200">
        <v>6</v>
      </c>
    </row>
    <row r="790" spans="1:14" x14ac:dyDescent="0.25">
      <c r="A790" s="198" t="s">
        <v>1966</v>
      </c>
      <c r="B790" s="198" t="s">
        <v>8521</v>
      </c>
      <c r="C790" s="198">
        <v>0</v>
      </c>
      <c r="D790" s="196">
        <v>88</v>
      </c>
      <c r="E790" s="196">
        <v>32.244</v>
      </c>
      <c r="F790" s="196">
        <v>0.27100000000000002</v>
      </c>
      <c r="G790" s="196">
        <v>10.869</v>
      </c>
      <c r="H790" s="196">
        <v>69.983999999999995</v>
      </c>
      <c r="I790" s="196">
        <v>178.41800000000001</v>
      </c>
      <c r="J790" s="196">
        <v>72.195999999999998</v>
      </c>
      <c r="K790" s="196"/>
      <c r="L790" s="200">
        <v>790</v>
      </c>
      <c r="M790" s="200">
        <v>2</v>
      </c>
      <c r="N790" s="200">
        <v>6</v>
      </c>
    </row>
    <row r="791" spans="1:14" x14ac:dyDescent="0.25">
      <c r="A791" s="198" t="s">
        <v>1966</v>
      </c>
      <c r="B791" s="198" t="s">
        <v>8522</v>
      </c>
      <c r="C791" s="198">
        <v>0</v>
      </c>
      <c r="D791" s="196">
        <v>81</v>
      </c>
      <c r="E791" s="196">
        <v>32.442</v>
      </c>
      <c r="F791" s="196">
        <v>0.107</v>
      </c>
      <c r="G791" s="196">
        <v>38.029000000000003</v>
      </c>
      <c r="H791" s="196">
        <v>154.63900000000001</v>
      </c>
      <c r="I791" s="196">
        <v>22.256</v>
      </c>
      <c r="J791" s="196">
        <v>179.482</v>
      </c>
      <c r="K791" s="196"/>
      <c r="L791" s="200">
        <v>791</v>
      </c>
      <c r="M791" s="200">
        <v>2</v>
      </c>
      <c r="N791" s="200">
        <v>6</v>
      </c>
    </row>
    <row r="792" spans="1:14" x14ac:dyDescent="0.25">
      <c r="A792" s="198" t="s">
        <v>1966</v>
      </c>
      <c r="B792" s="198" t="s">
        <v>8523</v>
      </c>
      <c r="C792" s="198">
        <v>0</v>
      </c>
      <c r="D792" s="196">
        <v>102</v>
      </c>
      <c r="E792" s="196">
        <v>32.509</v>
      </c>
      <c r="F792" s="196">
        <v>0.36899999999999999</v>
      </c>
      <c r="G792" s="196">
        <v>42.83</v>
      </c>
      <c r="H792" s="196">
        <v>252.7</v>
      </c>
      <c r="I792" s="196">
        <v>50.603999999999999</v>
      </c>
      <c r="J792" s="196">
        <v>197.08</v>
      </c>
      <c r="K792" s="196"/>
      <c r="L792" s="200">
        <v>792</v>
      </c>
      <c r="M792" s="200">
        <v>2</v>
      </c>
      <c r="N792" s="200">
        <v>6</v>
      </c>
    </row>
    <row r="793" spans="1:14" x14ac:dyDescent="0.25">
      <c r="A793" s="198" t="s">
        <v>1966</v>
      </c>
      <c r="B793" s="198" t="s">
        <v>8524</v>
      </c>
      <c r="C793" s="198">
        <v>0</v>
      </c>
      <c r="D793" s="196">
        <v>68</v>
      </c>
      <c r="E793" s="196">
        <v>32.573999999999998</v>
      </c>
      <c r="F793" s="196">
        <v>0.17799999999999999</v>
      </c>
      <c r="G793" s="196">
        <v>2.7</v>
      </c>
      <c r="H793" s="196">
        <v>248.3</v>
      </c>
      <c r="I793" s="196">
        <v>146.4</v>
      </c>
      <c r="J793" s="196">
        <v>358.4</v>
      </c>
      <c r="K793" s="196"/>
      <c r="L793" s="200">
        <v>793</v>
      </c>
      <c r="M793" s="200">
        <v>2</v>
      </c>
      <c r="N793" s="200">
        <v>6</v>
      </c>
    </row>
    <row r="794" spans="1:14" x14ac:dyDescent="0.25">
      <c r="A794" s="198" t="s">
        <v>1966</v>
      </c>
      <c r="B794" s="198" t="s">
        <v>8525</v>
      </c>
      <c r="C794" s="198">
        <v>0</v>
      </c>
      <c r="D794" s="196">
        <v>62</v>
      </c>
      <c r="E794" s="196">
        <v>32.604999999999997</v>
      </c>
      <c r="F794" s="196">
        <v>8.5999999999999993E-2</v>
      </c>
      <c r="G794" s="196">
        <v>11.1</v>
      </c>
      <c r="H794" s="196">
        <v>335.923</v>
      </c>
      <c r="I794" s="196">
        <v>16.678999999999998</v>
      </c>
      <c r="J794" s="196">
        <v>29.946000000000002</v>
      </c>
      <c r="K794" s="196"/>
      <c r="L794" s="200">
        <v>794</v>
      </c>
      <c r="M794" s="200">
        <v>2</v>
      </c>
      <c r="N794" s="200">
        <v>6</v>
      </c>
    </row>
    <row r="795" spans="1:14" x14ac:dyDescent="0.25">
      <c r="A795" s="198" t="s">
        <v>1966</v>
      </c>
      <c r="B795" s="198" t="s">
        <v>8526</v>
      </c>
      <c r="C795" s="198">
        <v>0</v>
      </c>
      <c r="D795" s="196">
        <v>56</v>
      </c>
      <c r="E795" s="196">
        <v>33.087000000000003</v>
      </c>
      <c r="F795" s="196">
        <v>0.223</v>
      </c>
      <c r="G795" s="196">
        <v>4.5190000000000001</v>
      </c>
      <c r="H795" s="196">
        <v>204.596</v>
      </c>
      <c r="I795" s="196">
        <v>243.27699999999999</v>
      </c>
      <c r="J795" s="196">
        <v>179.68100000000001</v>
      </c>
      <c r="K795" s="196"/>
      <c r="L795" s="200">
        <v>795</v>
      </c>
      <c r="M795" s="200">
        <v>2</v>
      </c>
      <c r="N795" s="200">
        <v>6</v>
      </c>
    </row>
    <row r="796" spans="1:14" x14ac:dyDescent="0.25">
      <c r="A796" s="198" t="s">
        <v>1966</v>
      </c>
      <c r="B796" s="198" t="s">
        <v>8527</v>
      </c>
      <c r="C796" s="198">
        <v>0</v>
      </c>
      <c r="D796" s="196">
        <v>103</v>
      </c>
      <c r="E796" s="196">
        <v>33.243000000000002</v>
      </c>
      <c r="F796" s="196">
        <v>0.38600000000000001</v>
      </c>
      <c r="G796" s="196">
        <v>14.25</v>
      </c>
      <c r="H796" s="196">
        <v>282.7</v>
      </c>
      <c r="I796" s="196">
        <v>132.79</v>
      </c>
      <c r="J796" s="196">
        <v>75.900000000000006</v>
      </c>
      <c r="K796" s="196"/>
      <c r="L796" s="200">
        <v>796</v>
      </c>
      <c r="M796" s="200">
        <v>2</v>
      </c>
      <c r="N796" s="200">
        <v>6</v>
      </c>
    </row>
    <row r="797" spans="1:14" x14ac:dyDescent="0.25">
      <c r="A797" s="198" t="s">
        <v>2240</v>
      </c>
      <c r="B797" s="198" t="s">
        <v>8528</v>
      </c>
      <c r="C797" s="198">
        <v>0</v>
      </c>
      <c r="D797" s="196">
        <v>67</v>
      </c>
      <c r="E797" s="196">
        <v>33.345999999999997</v>
      </c>
      <c r="F797" s="196">
        <v>0.106</v>
      </c>
      <c r="G797" s="196">
        <v>14.958</v>
      </c>
      <c r="H797" s="196">
        <v>322.20299999999997</v>
      </c>
      <c r="I797" s="196">
        <v>192.13800000000001</v>
      </c>
      <c r="J797" s="196">
        <v>228.55699999999999</v>
      </c>
      <c r="K797" s="196"/>
      <c r="L797" s="200">
        <v>797</v>
      </c>
      <c r="M797" s="200">
        <v>2</v>
      </c>
      <c r="N797" s="200">
        <v>7</v>
      </c>
    </row>
    <row r="798" spans="1:14" x14ac:dyDescent="0.25">
      <c r="A798" s="198" t="s">
        <v>2240</v>
      </c>
      <c r="B798" s="198" t="s">
        <v>8529</v>
      </c>
      <c r="C798" s="198">
        <v>0</v>
      </c>
      <c r="D798" s="196">
        <v>92</v>
      </c>
      <c r="E798" s="196">
        <v>36.35</v>
      </c>
      <c r="F798" s="196">
        <v>0.13800000000000001</v>
      </c>
      <c r="G798" s="196">
        <v>13.6</v>
      </c>
      <c r="H798" s="196">
        <v>190.24</v>
      </c>
      <c r="I798" s="196">
        <v>144.54</v>
      </c>
      <c r="J798" s="196">
        <v>237.9</v>
      </c>
      <c r="K798" s="196"/>
      <c r="L798" s="200">
        <v>798</v>
      </c>
      <c r="M798" s="200">
        <v>2</v>
      </c>
      <c r="N798" s="200">
        <v>7</v>
      </c>
    </row>
    <row r="799" spans="1:14" x14ac:dyDescent="0.25">
      <c r="A799" s="198" t="s">
        <v>1966</v>
      </c>
      <c r="B799" s="198" t="s">
        <v>8530</v>
      </c>
      <c r="C799" s="198">
        <v>0</v>
      </c>
      <c r="D799" s="196">
        <v>116</v>
      </c>
      <c r="E799" s="196">
        <v>33.39</v>
      </c>
      <c r="F799" s="196">
        <v>9.7000000000000003E-2</v>
      </c>
      <c r="G799" s="196">
        <v>15.17</v>
      </c>
      <c r="H799" s="196">
        <v>331.5</v>
      </c>
      <c r="I799" s="196">
        <v>132.41</v>
      </c>
      <c r="J799" s="196">
        <v>118.11</v>
      </c>
      <c r="K799" s="196"/>
      <c r="L799" s="200">
        <v>799</v>
      </c>
      <c r="M799" s="200">
        <v>2</v>
      </c>
      <c r="N799" s="200">
        <v>6</v>
      </c>
    </row>
    <row r="800" spans="1:14" x14ac:dyDescent="0.25">
      <c r="A800" s="198" t="s">
        <v>1966</v>
      </c>
      <c r="B800" s="198" t="s">
        <v>8531</v>
      </c>
      <c r="C800" s="198">
        <v>0</v>
      </c>
      <c r="D800" s="196">
        <v>96</v>
      </c>
      <c r="E800" s="196">
        <v>33.590000000000003</v>
      </c>
      <c r="F800" s="196">
        <v>0.34100000000000003</v>
      </c>
      <c r="G800" s="196">
        <v>12.407</v>
      </c>
      <c r="H800" s="196">
        <v>284.36</v>
      </c>
      <c r="I800" s="196">
        <v>0.42099999999999999</v>
      </c>
      <c r="J800" s="196">
        <v>333.86</v>
      </c>
      <c r="K800" s="196"/>
      <c r="L800" s="200">
        <v>800</v>
      </c>
      <c r="M800" s="200">
        <v>2</v>
      </c>
      <c r="N800" s="200">
        <v>6</v>
      </c>
    </row>
    <row r="801" spans="1:14" x14ac:dyDescent="0.25">
      <c r="A801" s="198" t="s">
        <v>1966</v>
      </c>
      <c r="B801" s="198" t="s">
        <v>8532</v>
      </c>
      <c r="C801" s="198">
        <v>0</v>
      </c>
      <c r="D801" s="196">
        <v>53</v>
      </c>
      <c r="E801" s="196">
        <v>33.679000000000002</v>
      </c>
      <c r="F801" s="196">
        <v>0.33700000000000002</v>
      </c>
      <c r="G801" s="196">
        <v>8.2080000000000002</v>
      </c>
      <c r="H801" s="196">
        <v>94.286000000000001</v>
      </c>
      <c r="I801" s="196">
        <v>289.61700000000002</v>
      </c>
      <c r="J801" s="196">
        <v>337.73899999999998</v>
      </c>
      <c r="K801" s="196"/>
      <c r="L801" s="200">
        <v>801</v>
      </c>
      <c r="M801" s="200">
        <v>2</v>
      </c>
      <c r="N801" s="200">
        <v>6</v>
      </c>
    </row>
    <row r="802" spans="1:14" x14ac:dyDescent="0.25">
      <c r="A802" s="198" t="s">
        <v>1966</v>
      </c>
      <c r="B802" s="198" t="s">
        <v>8533</v>
      </c>
      <c r="C802" s="198">
        <v>0</v>
      </c>
      <c r="D802" s="196">
        <v>71</v>
      </c>
      <c r="E802" s="196">
        <v>33.840000000000003</v>
      </c>
      <c r="F802" s="196">
        <v>0.32600000000000001</v>
      </c>
      <c r="G802" s="196">
        <v>24.291</v>
      </c>
      <c r="H802" s="196">
        <v>327.28500000000003</v>
      </c>
      <c r="I802" s="196">
        <v>180.61099999999999</v>
      </c>
      <c r="J802" s="196">
        <v>294.74599999999998</v>
      </c>
      <c r="K802" s="196"/>
      <c r="L802" s="200">
        <v>802</v>
      </c>
      <c r="M802" s="200">
        <v>2</v>
      </c>
      <c r="N802" s="200">
        <v>6</v>
      </c>
    </row>
    <row r="803" spans="1:14" x14ac:dyDescent="0.25">
      <c r="A803" s="198" t="s">
        <v>1966</v>
      </c>
      <c r="B803" s="198" t="s">
        <v>8534</v>
      </c>
      <c r="C803" s="198">
        <v>0</v>
      </c>
      <c r="D803" s="196">
        <v>53</v>
      </c>
      <c r="E803" s="196">
        <v>34.159999999999997</v>
      </c>
      <c r="F803" s="196">
        <v>0.50600000000000001</v>
      </c>
      <c r="G803" s="196">
        <v>6.3019999999999996</v>
      </c>
      <c r="H803" s="196">
        <v>286.77</v>
      </c>
      <c r="I803" s="196">
        <v>324.12</v>
      </c>
      <c r="J803" s="196">
        <v>37.817</v>
      </c>
      <c r="K803" s="196"/>
      <c r="L803" s="200">
        <v>803</v>
      </c>
      <c r="M803" s="200">
        <v>2</v>
      </c>
      <c r="N803" s="200">
        <v>6</v>
      </c>
    </row>
    <row r="804" spans="1:14" x14ac:dyDescent="0.25">
      <c r="A804" s="198" t="s">
        <v>1966</v>
      </c>
      <c r="B804" s="198" t="s">
        <v>8535</v>
      </c>
      <c r="C804" s="198">
        <v>0</v>
      </c>
      <c r="D804" s="196">
        <v>63</v>
      </c>
      <c r="E804" s="196">
        <v>34.305999999999997</v>
      </c>
      <c r="F804" s="196">
        <v>0.58899999999999997</v>
      </c>
      <c r="G804" s="196">
        <v>7.7160000000000002</v>
      </c>
      <c r="H804" s="196">
        <v>275.30500000000001</v>
      </c>
      <c r="I804" s="196">
        <v>33.036999999999999</v>
      </c>
      <c r="J804" s="196">
        <v>352.017</v>
      </c>
      <c r="K804" s="196"/>
      <c r="L804" s="200">
        <v>804</v>
      </c>
      <c r="M804" s="200">
        <v>2</v>
      </c>
      <c r="N804" s="200">
        <v>6</v>
      </c>
    </row>
    <row r="805" spans="1:14" x14ac:dyDescent="0.25">
      <c r="A805" s="198" t="s">
        <v>1966</v>
      </c>
      <c r="B805" s="198" t="s">
        <v>8536</v>
      </c>
      <c r="C805" s="198">
        <v>0</v>
      </c>
      <c r="D805" s="196">
        <v>61</v>
      </c>
      <c r="E805" s="196">
        <v>34.676000000000002</v>
      </c>
      <c r="F805" s="196">
        <v>0.161</v>
      </c>
      <c r="G805" s="196">
        <v>20.646000000000001</v>
      </c>
      <c r="H805" s="196">
        <v>78.132000000000005</v>
      </c>
      <c r="I805" s="196">
        <v>45.7</v>
      </c>
      <c r="J805" s="196">
        <v>339.23</v>
      </c>
      <c r="K805" s="196"/>
      <c r="L805" s="200">
        <v>805</v>
      </c>
      <c r="M805" s="200">
        <v>2</v>
      </c>
      <c r="N805" s="200">
        <v>6</v>
      </c>
    </row>
    <row r="806" spans="1:14" x14ac:dyDescent="0.25">
      <c r="A806" s="198" t="s">
        <v>2240</v>
      </c>
      <c r="B806" s="198" t="s">
        <v>8537</v>
      </c>
      <c r="C806" s="198">
        <v>0</v>
      </c>
      <c r="D806" s="196">
        <v>77</v>
      </c>
      <c r="E806" s="196">
        <v>34.801000000000002</v>
      </c>
      <c r="F806" s="196">
        <v>8.2000000000000003E-2</v>
      </c>
      <c r="G806" s="196">
        <v>3.2</v>
      </c>
      <c r="H806" s="196">
        <v>155.4</v>
      </c>
      <c r="I806" s="196">
        <v>334.3</v>
      </c>
      <c r="J806" s="196">
        <v>45.5</v>
      </c>
      <c r="K806" s="196"/>
      <c r="L806" s="200">
        <v>806</v>
      </c>
      <c r="M806" s="200">
        <v>2</v>
      </c>
      <c r="N806" s="200">
        <v>7</v>
      </c>
    </row>
    <row r="807" spans="1:14" x14ac:dyDescent="0.25">
      <c r="A807" s="198" t="s">
        <v>2240</v>
      </c>
      <c r="B807" s="198" t="s">
        <v>8538</v>
      </c>
      <c r="C807" s="198">
        <v>0</v>
      </c>
      <c r="D807" s="196">
        <v>127</v>
      </c>
      <c r="E807" s="196">
        <v>34.808</v>
      </c>
      <c r="F807" s="196">
        <v>0.161</v>
      </c>
      <c r="G807" s="196">
        <v>28.585000000000001</v>
      </c>
      <c r="H807" s="196">
        <v>100.49</v>
      </c>
      <c r="I807" s="196">
        <v>56.463999999999999</v>
      </c>
      <c r="J807" s="196">
        <v>40.567999999999998</v>
      </c>
      <c r="K807" s="196"/>
      <c r="L807" s="200">
        <v>807</v>
      </c>
      <c r="M807" s="200">
        <v>2</v>
      </c>
      <c r="N807" s="200">
        <v>7</v>
      </c>
    </row>
    <row r="808" spans="1:14" x14ac:dyDescent="0.25">
      <c r="A808" s="198" t="s">
        <v>1966</v>
      </c>
      <c r="B808" s="198" t="s">
        <v>8539</v>
      </c>
      <c r="C808" s="198">
        <v>0</v>
      </c>
      <c r="D808" s="196">
        <v>67</v>
      </c>
      <c r="E808" s="196">
        <v>34.841000000000001</v>
      </c>
      <c r="F808" s="196">
        <v>0.44</v>
      </c>
      <c r="G808" s="196">
        <v>21.890999999999998</v>
      </c>
      <c r="H808" s="196">
        <v>78.959999999999994</v>
      </c>
      <c r="I808" s="196">
        <v>184.94</v>
      </c>
      <c r="J808" s="196">
        <v>333.51</v>
      </c>
      <c r="K808" s="196"/>
      <c r="L808" s="200">
        <v>808</v>
      </c>
      <c r="M808" s="200">
        <v>2</v>
      </c>
      <c r="N808" s="200">
        <v>6</v>
      </c>
    </row>
    <row r="809" spans="1:14" x14ac:dyDescent="0.25">
      <c r="A809" s="198" t="s">
        <v>1966</v>
      </c>
      <c r="B809" s="198" t="s">
        <v>8540</v>
      </c>
      <c r="C809" s="198">
        <v>0</v>
      </c>
      <c r="D809" s="196">
        <v>61</v>
      </c>
      <c r="E809" s="196">
        <v>35.183999999999997</v>
      </c>
      <c r="F809" s="196">
        <v>0.42299999999999999</v>
      </c>
      <c r="G809" s="196">
        <v>8.6560000000000006</v>
      </c>
      <c r="H809" s="196">
        <v>250.43700000000001</v>
      </c>
      <c r="I809" s="196">
        <v>299.15300000000002</v>
      </c>
      <c r="J809" s="196">
        <v>12.601000000000001</v>
      </c>
      <c r="K809" s="196"/>
      <c r="L809" s="200">
        <v>809</v>
      </c>
      <c r="M809" s="200">
        <v>2</v>
      </c>
      <c r="N809" s="200">
        <v>6</v>
      </c>
    </row>
    <row r="810" spans="1:14" x14ac:dyDescent="0.25">
      <c r="A810" s="198" t="s">
        <v>1966</v>
      </c>
      <c r="B810" s="198" t="s">
        <v>7884</v>
      </c>
      <c r="C810" s="198">
        <v>0</v>
      </c>
      <c r="D810" s="196">
        <v>81</v>
      </c>
      <c r="E810" s="196">
        <v>35.603999999999999</v>
      </c>
      <c r="F810" s="196">
        <v>0.33200000000000002</v>
      </c>
      <c r="G810" s="196">
        <v>110.154</v>
      </c>
      <c r="H810" s="196">
        <v>322.17399999999998</v>
      </c>
      <c r="I810" s="196">
        <v>243.77799999999999</v>
      </c>
      <c r="J810" s="196">
        <v>29.486999999999998</v>
      </c>
      <c r="K810" s="196"/>
      <c r="L810" s="200">
        <v>810</v>
      </c>
      <c r="M810" s="200">
        <v>1</v>
      </c>
      <c r="N810" s="200">
        <v>6</v>
      </c>
    </row>
    <row r="811" spans="1:14" x14ac:dyDescent="0.25">
      <c r="A811" s="198" t="s">
        <v>2240</v>
      </c>
      <c r="B811" s="198" t="s">
        <v>8541</v>
      </c>
      <c r="C811" s="198">
        <v>0</v>
      </c>
      <c r="D811" s="196">
        <v>99</v>
      </c>
      <c r="E811" s="196">
        <v>36.08</v>
      </c>
      <c r="F811" s="196">
        <v>3.7999999999999999E-2</v>
      </c>
      <c r="G811" s="196">
        <v>10.25</v>
      </c>
      <c r="H811" s="196">
        <v>120.73</v>
      </c>
      <c r="I811" s="196">
        <v>300.8</v>
      </c>
      <c r="J811" s="196">
        <v>121.11</v>
      </c>
      <c r="K811" s="196"/>
      <c r="L811" s="200">
        <v>811</v>
      </c>
      <c r="M811" s="200">
        <v>2</v>
      </c>
      <c r="N811" s="200">
        <v>7</v>
      </c>
    </row>
    <row r="812" spans="1:14" x14ac:dyDescent="0.25">
      <c r="A812" s="198" t="s">
        <v>2240</v>
      </c>
      <c r="B812" s="198" t="s">
        <v>8542</v>
      </c>
      <c r="C812" s="198">
        <v>0</v>
      </c>
      <c r="D812" s="196">
        <v>105</v>
      </c>
      <c r="E812" s="196">
        <v>36.213000000000001</v>
      </c>
      <c r="F812" s="196">
        <v>0.12</v>
      </c>
      <c r="G812" s="196">
        <v>8.8260000000000005</v>
      </c>
      <c r="H812" s="196">
        <v>295.54000000000002</v>
      </c>
      <c r="I812" s="196">
        <v>262.45</v>
      </c>
      <c r="J812" s="196">
        <v>355.17</v>
      </c>
      <c r="K812" s="196"/>
      <c r="L812" s="200">
        <v>812</v>
      </c>
      <c r="M812" s="200">
        <v>2</v>
      </c>
      <c r="N812" s="200">
        <v>7</v>
      </c>
    </row>
    <row r="813" spans="1:14" x14ac:dyDescent="0.25">
      <c r="A813" s="198" t="s">
        <v>1966</v>
      </c>
      <c r="B813" s="198" t="s">
        <v>8543</v>
      </c>
      <c r="C813" s="198">
        <v>0</v>
      </c>
      <c r="D813" s="196">
        <v>69</v>
      </c>
      <c r="E813" s="196">
        <v>36.249000000000002</v>
      </c>
      <c r="F813" s="196">
        <v>0.24199999999999999</v>
      </c>
      <c r="G813" s="196">
        <v>36.427</v>
      </c>
      <c r="H813" s="196">
        <v>234.61199999999999</v>
      </c>
      <c r="I813" s="196">
        <v>32.417999999999999</v>
      </c>
      <c r="J813" s="196">
        <v>97.474999999999994</v>
      </c>
      <c r="K813" s="196"/>
      <c r="L813" s="200">
        <v>813</v>
      </c>
      <c r="M813" s="200">
        <v>2</v>
      </c>
      <c r="N813" s="200">
        <v>6</v>
      </c>
    </row>
    <row r="814" spans="1:14" x14ac:dyDescent="0.25">
      <c r="A814" s="198" t="s">
        <v>2240</v>
      </c>
      <c r="B814" s="198" t="s">
        <v>8544</v>
      </c>
      <c r="C814" s="198">
        <v>0</v>
      </c>
      <c r="D814" s="196">
        <v>84</v>
      </c>
      <c r="E814" s="196">
        <v>36.273000000000003</v>
      </c>
      <c r="F814" s="196">
        <v>0.128</v>
      </c>
      <c r="G814" s="196">
        <v>9.6</v>
      </c>
      <c r="H814" s="196">
        <v>280.8</v>
      </c>
      <c r="I814" s="196">
        <v>231.36</v>
      </c>
      <c r="J814" s="196">
        <v>292.60000000000002</v>
      </c>
      <c r="K814" s="196"/>
      <c r="L814" s="200">
        <v>814</v>
      </c>
      <c r="M814" s="200">
        <v>2</v>
      </c>
      <c r="N814" s="200">
        <v>7</v>
      </c>
    </row>
    <row r="815" spans="1:14" x14ac:dyDescent="0.25">
      <c r="A815" s="198" t="s">
        <v>2240</v>
      </c>
      <c r="B815" s="198" t="s">
        <v>8545</v>
      </c>
      <c r="C815" s="198">
        <v>0</v>
      </c>
      <c r="D815" s="196">
        <v>145</v>
      </c>
      <c r="E815" s="196">
        <v>36.4</v>
      </c>
      <c r="F815" s="196">
        <v>0.08</v>
      </c>
      <c r="G815" s="196">
        <v>10.17</v>
      </c>
      <c r="H815" s="196">
        <v>119.2</v>
      </c>
      <c r="I815" s="196">
        <v>79.67</v>
      </c>
      <c r="J815" s="196">
        <v>243.9</v>
      </c>
      <c r="K815" s="196"/>
      <c r="L815" s="200">
        <v>815</v>
      </c>
      <c r="M815" s="200">
        <v>2</v>
      </c>
      <c r="N815" s="200">
        <v>7</v>
      </c>
    </row>
    <row r="816" spans="1:14" x14ac:dyDescent="0.25">
      <c r="A816" s="198" t="s">
        <v>2240</v>
      </c>
      <c r="B816" s="198" t="s">
        <v>8546</v>
      </c>
      <c r="C816" s="198">
        <v>0</v>
      </c>
      <c r="D816" s="196">
        <v>133</v>
      </c>
      <c r="E816" s="196">
        <v>36.51</v>
      </c>
      <c r="F816" s="196">
        <v>4.5999999999999999E-2</v>
      </c>
      <c r="G816" s="196">
        <v>5.53</v>
      </c>
      <c r="H816" s="196">
        <v>342.4</v>
      </c>
      <c r="I816" s="196">
        <v>104.003</v>
      </c>
      <c r="J816" s="196">
        <v>336.7</v>
      </c>
      <c r="K816" s="196"/>
      <c r="L816" s="200">
        <v>816</v>
      </c>
      <c r="M816" s="200">
        <v>2</v>
      </c>
      <c r="N816" s="200">
        <v>7</v>
      </c>
    </row>
    <row r="817" spans="1:14" x14ac:dyDescent="0.25">
      <c r="A817" s="198" t="s">
        <v>2240</v>
      </c>
      <c r="B817" s="198" t="s">
        <v>8547</v>
      </c>
      <c r="C817" s="198">
        <v>0</v>
      </c>
      <c r="D817" s="196">
        <v>107</v>
      </c>
      <c r="E817" s="196">
        <v>36.53</v>
      </c>
      <c r="F817" s="196">
        <v>2.5999999999999999E-2</v>
      </c>
      <c r="G817" s="196">
        <v>6.56</v>
      </c>
      <c r="H817" s="196">
        <v>255.4</v>
      </c>
      <c r="I817" s="196">
        <v>142.97</v>
      </c>
      <c r="J817" s="196">
        <v>81.72</v>
      </c>
      <c r="K817" s="196"/>
      <c r="L817" s="200">
        <v>817</v>
      </c>
      <c r="M817" s="200">
        <v>2</v>
      </c>
      <c r="N817" s="200">
        <v>7</v>
      </c>
    </row>
    <row r="818" spans="1:14" x14ac:dyDescent="0.25">
      <c r="A818" s="198" t="s">
        <v>1966</v>
      </c>
      <c r="B818" s="198" t="s">
        <v>8548</v>
      </c>
      <c r="C818" s="198">
        <v>0</v>
      </c>
      <c r="D818" s="196">
        <v>59</v>
      </c>
      <c r="E818" s="196">
        <v>36.548999999999999</v>
      </c>
      <c r="F818" s="196">
        <v>0.55500000000000005</v>
      </c>
      <c r="G818" s="196">
        <v>8.6950000000000003</v>
      </c>
      <c r="H818" s="196">
        <v>159.453</v>
      </c>
      <c r="I818" s="196">
        <v>197.191</v>
      </c>
      <c r="J818" s="196">
        <v>1.7370000000000001</v>
      </c>
      <c r="K818" s="196"/>
      <c r="L818" s="200">
        <v>818</v>
      </c>
      <c r="M818" s="200">
        <v>2</v>
      </c>
      <c r="N818" s="200">
        <v>6</v>
      </c>
    </row>
    <row r="819" spans="1:14" x14ac:dyDescent="0.25">
      <c r="A819" s="198" t="s">
        <v>2240</v>
      </c>
      <c r="B819" s="198" t="s">
        <v>8549</v>
      </c>
      <c r="C819" s="198">
        <v>0</v>
      </c>
      <c r="D819" s="196">
        <v>56</v>
      </c>
      <c r="E819" s="196">
        <v>36.619</v>
      </c>
      <c r="F819" s="196">
        <v>0.188</v>
      </c>
      <c r="G819" s="196">
        <v>17.146000000000001</v>
      </c>
      <c r="H819" s="196">
        <v>208.83500000000001</v>
      </c>
      <c r="I819" s="196">
        <v>311.815</v>
      </c>
      <c r="J819" s="196">
        <v>7.5419999999999998</v>
      </c>
      <c r="K819" s="196"/>
      <c r="L819" s="200">
        <v>819</v>
      </c>
      <c r="M819" s="200">
        <v>2</v>
      </c>
      <c r="N819" s="200">
        <v>7</v>
      </c>
    </row>
    <row r="820" spans="1:14" x14ac:dyDescent="0.25">
      <c r="A820" s="198" t="s">
        <v>2240</v>
      </c>
      <c r="B820" s="198" t="s">
        <v>8550</v>
      </c>
      <c r="C820" s="198">
        <v>0</v>
      </c>
      <c r="D820" s="196">
        <v>88</v>
      </c>
      <c r="E820" s="196">
        <v>36.71</v>
      </c>
      <c r="F820" s="196">
        <v>9.6000000000000002E-2</v>
      </c>
      <c r="G820" s="196">
        <v>6.52</v>
      </c>
      <c r="H820" s="196">
        <v>200.27</v>
      </c>
      <c r="I820" s="196">
        <v>26.63</v>
      </c>
      <c r="J820" s="196">
        <v>143.82</v>
      </c>
      <c r="K820" s="196"/>
      <c r="L820" s="200">
        <v>820</v>
      </c>
      <c r="M820" s="200">
        <v>2</v>
      </c>
      <c r="N820" s="200">
        <v>7</v>
      </c>
    </row>
    <row r="821" spans="1:14" x14ac:dyDescent="0.25">
      <c r="A821" s="198" t="s">
        <v>2240</v>
      </c>
      <c r="B821" s="198" t="s">
        <v>8551</v>
      </c>
      <c r="C821" s="198">
        <v>0</v>
      </c>
      <c r="D821" s="196">
        <v>108</v>
      </c>
      <c r="E821" s="196">
        <v>36.85</v>
      </c>
      <c r="F821" s="196">
        <v>1.7000000000000001E-2</v>
      </c>
      <c r="G821" s="196">
        <v>22.92</v>
      </c>
      <c r="H821" s="196">
        <v>134.16999999999999</v>
      </c>
      <c r="I821" s="196">
        <v>240.56</v>
      </c>
      <c r="J821" s="196">
        <v>244.74</v>
      </c>
      <c r="K821" s="196"/>
      <c r="L821" s="200">
        <v>821</v>
      </c>
      <c r="M821" s="200">
        <v>2</v>
      </c>
      <c r="N821" s="200">
        <v>7</v>
      </c>
    </row>
    <row r="822" spans="1:14" x14ac:dyDescent="0.25">
      <c r="A822" s="198" t="s">
        <v>2240</v>
      </c>
      <c r="B822" s="198" t="s">
        <v>8552</v>
      </c>
      <c r="C822" s="198">
        <v>0</v>
      </c>
      <c r="D822" s="196">
        <v>125</v>
      </c>
      <c r="E822" s="196">
        <v>37</v>
      </c>
      <c r="F822" s="196">
        <v>1.7000000000000001E-2</v>
      </c>
      <c r="G822" s="196">
        <v>1.8</v>
      </c>
      <c r="H822" s="196">
        <v>68.7</v>
      </c>
      <c r="I822" s="196">
        <v>224.4</v>
      </c>
      <c r="J822" s="196">
        <v>71.8</v>
      </c>
      <c r="K822" s="196"/>
      <c r="L822" s="200">
        <v>822</v>
      </c>
      <c r="M822" s="200">
        <v>2</v>
      </c>
      <c r="N822" s="200">
        <v>7</v>
      </c>
    </row>
    <row r="823" spans="1:14" x14ac:dyDescent="0.25">
      <c r="A823" s="198" t="s">
        <v>1966</v>
      </c>
      <c r="B823" s="198" t="s">
        <v>8431</v>
      </c>
      <c r="C823" s="198">
        <v>0</v>
      </c>
      <c r="D823" s="196">
        <v>287</v>
      </c>
      <c r="E823" s="196">
        <v>37.36</v>
      </c>
      <c r="F823" s="196">
        <v>0.253</v>
      </c>
      <c r="G823" s="196">
        <v>14.382999999999999</v>
      </c>
      <c r="H823" s="196">
        <v>247.18</v>
      </c>
      <c r="I823" s="196">
        <v>46.927999999999997</v>
      </c>
      <c r="J823" s="196">
        <v>145.37</v>
      </c>
      <c r="K823" s="196"/>
      <c r="L823" s="200">
        <v>823</v>
      </c>
      <c r="M823" s="200">
        <v>1</v>
      </c>
      <c r="N823" s="200">
        <v>6</v>
      </c>
    </row>
    <row r="824" spans="1:14" x14ac:dyDescent="0.25">
      <c r="A824" s="198" t="s">
        <v>2240</v>
      </c>
      <c r="B824" s="198" t="s">
        <v>8553</v>
      </c>
      <c r="C824" s="198">
        <v>0</v>
      </c>
      <c r="D824" s="196">
        <v>115</v>
      </c>
      <c r="E824" s="196">
        <v>37.799999999999997</v>
      </c>
      <c r="F824" s="196">
        <v>1.4999999999999999E-2</v>
      </c>
      <c r="G824" s="196">
        <v>6.94</v>
      </c>
      <c r="H824" s="196">
        <v>98.2</v>
      </c>
      <c r="I824" s="196">
        <v>99.73</v>
      </c>
      <c r="J824" s="196">
        <v>45.21</v>
      </c>
      <c r="K824" s="196"/>
      <c r="L824" s="200">
        <v>824</v>
      </c>
      <c r="M824" s="200">
        <v>2</v>
      </c>
      <c r="N824" s="200">
        <v>7</v>
      </c>
    </row>
    <row r="825" spans="1:14" x14ac:dyDescent="0.25">
      <c r="A825" s="198" t="s">
        <v>1966</v>
      </c>
      <c r="B825" s="198" t="s">
        <v>8554</v>
      </c>
      <c r="C825" s="198">
        <v>0</v>
      </c>
      <c r="D825" s="196">
        <v>65</v>
      </c>
      <c r="E825" s="196">
        <v>37.384999999999998</v>
      </c>
      <c r="F825" s="196">
        <v>0.54700000000000004</v>
      </c>
      <c r="G825" s="196">
        <v>32.54</v>
      </c>
      <c r="H825" s="196">
        <v>243.62700000000001</v>
      </c>
      <c r="I825" s="196">
        <v>209.239</v>
      </c>
      <c r="J825" s="196">
        <v>49.289000000000001</v>
      </c>
      <c r="K825" s="196"/>
      <c r="L825" s="200">
        <v>825</v>
      </c>
      <c r="M825" s="200">
        <v>2</v>
      </c>
      <c r="N825" s="200">
        <v>6</v>
      </c>
    </row>
    <row r="826" spans="1:14" x14ac:dyDescent="0.25">
      <c r="A826" s="198" t="s">
        <v>2240</v>
      </c>
      <c r="B826" s="198" t="s">
        <v>8555</v>
      </c>
      <c r="C826" s="198">
        <v>0</v>
      </c>
      <c r="D826" s="196">
        <v>116</v>
      </c>
      <c r="E826" s="196">
        <v>37.83</v>
      </c>
      <c r="F826" s="196">
        <v>0.02</v>
      </c>
      <c r="G826" s="196">
        <v>24.42</v>
      </c>
      <c r="H826" s="196">
        <v>302.18</v>
      </c>
      <c r="I826" s="196">
        <v>87.94</v>
      </c>
      <c r="J826" s="196">
        <v>208.05</v>
      </c>
      <c r="K826" s="196"/>
      <c r="L826" s="200">
        <v>826</v>
      </c>
      <c r="M826" s="200">
        <v>2</v>
      </c>
      <c r="N826" s="200">
        <v>7</v>
      </c>
    </row>
    <row r="827" spans="1:14" x14ac:dyDescent="0.25">
      <c r="A827" s="198" t="s">
        <v>1966</v>
      </c>
      <c r="B827" s="198" t="s">
        <v>8556</v>
      </c>
      <c r="C827" s="198">
        <v>0</v>
      </c>
      <c r="D827" s="196">
        <v>64</v>
      </c>
      <c r="E827" s="196">
        <v>38.048000000000002</v>
      </c>
      <c r="F827" s="196">
        <v>0.24299999999999999</v>
      </c>
      <c r="G827" s="196">
        <v>46.484000000000002</v>
      </c>
      <c r="H827" s="196">
        <v>315.44299999999998</v>
      </c>
      <c r="I827" s="196">
        <v>97.802999999999997</v>
      </c>
      <c r="J827" s="196">
        <v>1.034</v>
      </c>
      <c r="K827" s="196"/>
      <c r="L827" s="200">
        <v>827</v>
      </c>
      <c r="M827" s="200">
        <v>2</v>
      </c>
      <c r="N827" s="200">
        <v>6</v>
      </c>
    </row>
    <row r="828" spans="1:14" x14ac:dyDescent="0.25">
      <c r="A828" s="198" t="s">
        <v>2240</v>
      </c>
      <c r="B828" s="198" t="s">
        <v>8557</v>
      </c>
      <c r="C828" s="198">
        <v>0</v>
      </c>
      <c r="D828" s="196">
        <v>222</v>
      </c>
      <c r="E828" s="196">
        <v>38.058</v>
      </c>
      <c r="F828" s="196">
        <v>4.2000000000000003E-2</v>
      </c>
      <c r="G828" s="196">
        <v>4.5990000000000002</v>
      </c>
      <c r="H828" s="196">
        <v>257.82</v>
      </c>
      <c r="I828" s="196">
        <v>192.07</v>
      </c>
      <c r="J828" s="196">
        <v>301.70999999999998</v>
      </c>
      <c r="K828" s="196"/>
      <c r="L828" s="200">
        <v>828</v>
      </c>
      <c r="M828" s="200">
        <v>2</v>
      </c>
      <c r="N828" s="200">
        <v>7</v>
      </c>
    </row>
    <row r="829" spans="1:14" x14ac:dyDescent="0.25">
      <c r="A829" s="198" t="s">
        <v>1966</v>
      </c>
      <c r="B829" s="198" t="s">
        <v>2232</v>
      </c>
      <c r="C829" s="198">
        <v>1</v>
      </c>
      <c r="D829" s="196">
        <v>81</v>
      </c>
      <c r="E829" s="196">
        <v>38.264000000000003</v>
      </c>
      <c r="F829" s="196">
        <v>0.54200000000000004</v>
      </c>
      <c r="G829" s="196">
        <v>2.4249999999999998</v>
      </c>
      <c r="H829" s="196">
        <v>159.322</v>
      </c>
      <c r="I829" s="196">
        <v>351.91</v>
      </c>
      <c r="J829" s="196">
        <v>14.619</v>
      </c>
      <c r="K829" s="196">
        <v>0.66</v>
      </c>
      <c r="L829" s="200">
        <v>829</v>
      </c>
      <c r="M829" s="200">
        <v>1</v>
      </c>
      <c r="N829" s="200">
        <v>6</v>
      </c>
    </row>
    <row r="830" spans="1:14" x14ac:dyDescent="0.25">
      <c r="A830" s="198" t="s">
        <v>32</v>
      </c>
      <c r="B830" s="198" t="s">
        <v>2238</v>
      </c>
      <c r="C830" s="198"/>
      <c r="D830" s="196">
        <v>45</v>
      </c>
      <c r="E830" s="196"/>
      <c r="F830" s="196"/>
      <c r="G830" s="196"/>
      <c r="H830" s="196"/>
      <c r="I830" s="196"/>
      <c r="J830" s="196"/>
      <c r="K830" s="196"/>
      <c r="L830" s="200">
        <v>830</v>
      </c>
      <c r="M830" s="200">
        <v>1</v>
      </c>
      <c r="N830" s="200">
        <v>24</v>
      </c>
    </row>
    <row r="831" spans="1:14" x14ac:dyDescent="0.25">
      <c r="A831" s="198" t="s">
        <v>1966</v>
      </c>
      <c r="B831" s="198" t="s">
        <v>8558</v>
      </c>
      <c r="C831" s="198">
        <v>0</v>
      </c>
      <c r="D831" s="196">
        <v>70</v>
      </c>
      <c r="E831" s="196">
        <v>38.281999999999996</v>
      </c>
      <c r="F831" s="196">
        <v>0.31</v>
      </c>
      <c r="G831" s="196">
        <v>13.462999999999999</v>
      </c>
      <c r="H831" s="196">
        <v>257.26600000000002</v>
      </c>
      <c r="I831" s="196">
        <v>343.71899999999999</v>
      </c>
      <c r="J831" s="196">
        <v>95.105999999999995</v>
      </c>
      <c r="K831" s="196"/>
      <c r="L831" s="200">
        <v>831</v>
      </c>
      <c r="M831" s="200">
        <v>2</v>
      </c>
      <c r="N831" s="200">
        <v>6</v>
      </c>
    </row>
    <row r="832" spans="1:14" x14ac:dyDescent="0.25">
      <c r="A832" s="198" t="s">
        <v>2240</v>
      </c>
      <c r="B832" s="198" t="s">
        <v>8559</v>
      </c>
      <c r="C832" s="198">
        <v>0</v>
      </c>
      <c r="D832" s="196">
        <v>174</v>
      </c>
      <c r="E832" s="196">
        <v>38.32</v>
      </c>
      <c r="F832" s="196">
        <v>3.5999999999999997E-2</v>
      </c>
      <c r="G832" s="196">
        <v>26.02</v>
      </c>
      <c r="H832" s="196">
        <v>295</v>
      </c>
      <c r="I832" s="196">
        <v>43.84</v>
      </c>
      <c r="J832" s="196">
        <v>26.33</v>
      </c>
      <c r="K832" s="196"/>
      <c r="L832" s="200">
        <v>832</v>
      </c>
      <c r="M832" s="200">
        <v>2</v>
      </c>
      <c r="N832" s="200">
        <v>7</v>
      </c>
    </row>
    <row r="833" spans="1:14" x14ac:dyDescent="0.25">
      <c r="A833" s="198" t="s">
        <v>2240</v>
      </c>
      <c r="B833" s="198" t="s">
        <v>8560</v>
      </c>
      <c r="C833" s="198">
        <v>0</v>
      </c>
      <c r="D833" s="196">
        <v>108</v>
      </c>
      <c r="E833" s="196">
        <v>38.479999999999997</v>
      </c>
      <c r="F833" s="196">
        <v>0.27200000000000002</v>
      </c>
      <c r="G833" s="196">
        <v>24.15</v>
      </c>
      <c r="H833" s="196">
        <v>64.61</v>
      </c>
      <c r="I833" s="196">
        <v>217.61</v>
      </c>
      <c r="J833" s="196">
        <v>346.7</v>
      </c>
      <c r="K833" s="196"/>
      <c r="L833" s="200">
        <v>833</v>
      </c>
      <c r="M833" s="200">
        <v>2</v>
      </c>
      <c r="N833" s="200">
        <v>7</v>
      </c>
    </row>
    <row r="834" spans="1:14" x14ac:dyDescent="0.25">
      <c r="A834" s="198" t="s">
        <v>2240</v>
      </c>
      <c r="B834" s="198" t="s">
        <v>8561</v>
      </c>
      <c r="C834" s="198">
        <v>0</v>
      </c>
      <c r="D834" s="196">
        <v>107</v>
      </c>
      <c r="E834" s="196">
        <v>38.72</v>
      </c>
      <c r="F834" s="196">
        <v>4.7E-2</v>
      </c>
      <c r="G834" s="196">
        <v>4.4000000000000004</v>
      </c>
      <c r="H834" s="196">
        <v>207.2</v>
      </c>
      <c r="I834" s="196">
        <v>127.35</v>
      </c>
      <c r="J834" s="196">
        <v>295.27</v>
      </c>
      <c r="K834" s="196"/>
      <c r="L834" s="200">
        <v>834</v>
      </c>
      <c r="M834" s="200">
        <v>2</v>
      </c>
      <c r="N834" s="200">
        <v>7</v>
      </c>
    </row>
    <row r="835" spans="1:14" x14ac:dyDescent="0.25">
      <c r="A835" s="198" t="s">
        <v>2240</v>
      </c>
      <c r="B835" s="198" t="s">
        <v>8562</v>
      </c>
      <c r="C835" s="198">
        <v>0</v>
      </c>
      <c r="D835" s="196">
        <v>88</v>
      </c>
      <c r="E835" s="196">
        <v>38.74</v>
      </c>
      <c r="F835" s="196">
        <v>3.0000000000000001E-3</v>
      </c>
      <c r="G835" s="196">
        <v>2.5299999999999998</v>
      </c>
      <c r="H835" s="196">
        <v>106.4</v>
      </c>
      <c r="I835" s="196">
        <v>262.14</v>
      </c>
      <c r="J835" s="196">
        <v>87.7</v>
      </c>
      <c r="K835" s="196"/>
      <c r="L835" s="200">
        <v>835</v>
      </c>
      <c r="M835" s="200">
        <v>2</v>
      </c>
      <c r="N835" s="200">
        <v>7</v>
      </c>
    </row>
    <row r="836" spans="1:14" x14ac:dyDescent="0.25">
      <c r="A836" s="198" t="s">
        <v>2240</v>
      </c>
      <c r="B836" s="198" t="s">
        <v>3414</v>
      </c>
      <c r="C836" s="198">
        <v>0</v>
      </c>
      <c r="D836" s="196">
        <v>91</v>
      </c>
      <c r="E836" s="196">
        <v>38.777000000000001</v>
      </c>
      <c r="F836" s="196">
        <v>0.155</v>
      </c>
      <c r="G836" s="196">
        <v>12.792999999999999</v>
      </c>
      <c r="H836" s="196">
        <v>82.177999999999997</v>
      </c>
      <c r="I836" s="196">
        <v>9.9619999999999997</v>
      </c>
      <c r="J836" s="196">
        <v>97.147999999999996</v>
      </c>
      <c r="K836" s="196"/>
      <c r="L836" s="200">
        <v>836</v>
      </c>
      <c r="M836" s="200">
        <v>1</v>
      </c>
      <c r="N836" s="200">
        <v>7</v>
      </c>
    </row>
    <row r="837" spans="1:14" x14ac:dyDescent="0.25">
      <c r="A837" s="198" t="s">
        <v>2240</v>
      </c>
      <c r="B837" s="198" t="s">
        <v>8563</v>
      </c>
      <c r="C837" s="198">
        <v>0</v>
      </c>
      <c r="D837" s="196">
        <v>267</v>
      </c>
      <c r="E837" s="196">
        <v>38.78</v>
      </c>
      <c r="F837" s="196">
        <v>6.7000000000000004E-2</v>
      </c>
      <c r="G837" s="196">
        <v>24.85</v>
      </c>
      <c r="H837" s="196">
        <v>359.71</v>
      </c>
      <c r="I837" s="196">
        <v>140.614</v>
      </c>
      <c r="J837" s="196">
        <v>265.93</v>
      </c>
      <c r="K837" s="196"/>
      <c r="L837" s="200">
        <v>837</v>
      </c>
      <c r="M837" s="200">
        <v>2</v>
      </c>
      <c r="N837" s="200">
        <v>7</v>
      </c>
    </row>
    <row r="838" spans="1:14" x14ac:dyDescent="0.25">
      <c r="A838" s="198" t="s">
        <v>2240</v>
      </c>
      <c r="B838" s="198" t="s">
        <v>8564</v>
      </c>
      <c r="C838" s="198">
        <v>0</v>
      </c>
      <c r="D838" s="196">
        <v>141</v>
      </c>
      <c r="E838" s="196">
        <v>38.82</v>
      </c>
      <c r="F838" s="196">
        <v>5.0999999999999997E-2</v>
      </c>
      <c r="G838" s="196">
        <v>39.804000000000002</v>
      </c>
      <c r="H838" s="196">
        <v>304.84699999999998</v>
      </c>
      <c r="I838" s="196">
        <v>1.788</v>
      </c>
      <c r="J838" s="196">
        <v>259.80799999999999</v>
      </c>
      <c r="K838" s="196"/>
      <c r="L838" s="200">
        <v>838</v>
      </c>
      <c r="M838" s="200">
        <v>2</v>
      </c>
      <c r="N838" s="200">
        <v>7</v>
      </c>
    </row>
    <row r="839" spans="1:14" x14ac:dyDescent="0.25">
      <c r="A839" s="198" t="s">
        <v>1966</v>
      </c>
      <c r="B839" s="198" t="s">
        <v>8565</v>
      </c>
      <c r="C839" s="198">
        <v>0</v>
      </c>
      <c r="D839" s="196">
        <v>163</v>
      </c>
      <c r="E839" s="196">
        <v>38.826000000000001</v>
      </c>
      <c r="F839" s="196">
        <v>0.45700000000000002</v>
      </c>
      <c r="G839" s="196">
        <v>22.460999999999999</v>
      </c>
      <c r="H839" s="196">
        <v>3.4359999999999999</v>
      </c>
      <c r="I839" s="196">
        <v>111.23</v>
      </c>
      <c r="J839" s="196">
        <v>324.76</v>
      </c>
      <c r="K839" s="196"/>
      <c r="L839" s="200">
        <v>839</v>
      </c>
      <c r="M839" s="200">
        <v>2</v>
      </c>
      <c r="N839" s="200">
        <v>6</v>
      </c>
    </row>
    <row r="840" spans="1:14" x14ac:dyDescent="0.25">
      <c r="A840" s="198" t="s">
        <v>2240</v>
      </c>
      <c r="B840" s="198" t="s">
        <v>8566</v>
      </c>
      <c r="C840" s="198">
        <v>0</v>
      </c>
      <c r="D840" s="196">
        <v>111</v>
      </c>
      <c r="E840" s="196">
        <v>38.835999999999999</v>
      </c>
      <c r="F840" s="196">
        <v>2.9000000000000001E-2</v>
      </c>
      <c r="G840" s="196">
        <v>34.381</v>
      </c>
      <c r="H840" s="196">
        <v>358.30200000000002</v>
      </c>
      <c r="I840" s="196">
        <v>330.67200000000003</v>
      </c>
      <c r="J840" s="196">
        <v>216.48500000000001</v>
      </c>
      <c r="K840" s="196"/>
      <c r="L840" s="200">
        <v>840</v>
      </c>
      <c r="M840" s="200">
        <v>2</v>
      </c>
      <c r="N840" s="200">
        <v>7</v>
      </c>
    </row>
    <row r="841" spans="1:14" x14ac:dyDescent="0.25">
      <c r="A841" s="198" t="s">
        <v>2240</v>
      </c>
      <c r="B841" s="198" t="s">
        <v>8567</v>
      </c>
      <c r="C841" s="198">
        <v>0</v>
      </c>
      <c r="D841" s="196">
        <v>90</v>
      </c>
      <c r="E841" s="196">
        <v>38.840000000000003</v>
      </c>
      <c r="F841" s="196">
        <v>3.2000000000000001E-2</v>
      </c>
      <c r="G841" s="196">
        <v>3.82</v>
      </c>
      <c r="H841" s="196">
        <v>210.15</v>
      </c>
      <c r="I841" s="196">
        <v>135.49</v>
      </c>
      <c r="J841" s="196">
        <v>100.44</v>
      </c>
      <c r="K841" s="196"/>
      <c r="L841" s="200">
        <v>841</v>
      </c>
      <c r="M841" s="200">
        <v>2</v>
      </c>
      <c r="N841" s="200">
        <v>7</v>
      </c>
    </row>
    <row r="842" spans="1:14" x14ac:dyDescent="0.25">
      <c r="A842" s="198" t="s">
        <v>2240</v>
      </c>
      <c r="B842" s="198" t="s">
        <v>8568</v>
      </c>
      <c r="C842" s="198">
        <v>0</v>
      </c>
      <c r="D842" s="196">
        <v>214</v>
      </c>
      <c r="E842" s="196">
        <v>38.866999999999997</v>
      </c>
      <c r="F842" s="196">
        <v>4.2000000000000003E-2</v>
      </c>
      <c r="G842" s="196">
        <v>0.40400000000000003</v>
      </c>
      <c r="H842" s="196">
        <v>71.686000000000007</v>
      </c>
      <c r="I842" s="196">
        <v>286.68599999999998</v>
      </c>
      <c r="J842" s="196">
        <v>261.303</v>
      </c>
      <c r="K842" s="196">
        <v>0.9</v>
      </c>
      <c r="L842" s="200">
        <v>842</v>
      </c>
      <c r="M842" s="200">
        <v>2</v>
      </c>
      <c r="N842" s="200">
        <v>7</v>
      </c>
    </row>
    <row r="843" spans="1:14" x14ac:dyDescent="0.25">
      <c r="A843" s="198" t="s">
        <v>2240</v>
      </c>
      <c r="B843" s="198" t="s">
        <v>8569</v>
      </c>
      <c r="C843" s="198">
        <v>0</v>
      </c>
      <c r="D843" s="196">
        <v>181</v>
      </c>
      <c r="E843" s="196">
        <v>38.871000000000002</v>
      </c>
      <c r="F843" s="196">
        <v>4.3999999999999997E-2</v>
      </c>
      <c r="G843" s="196">
        <v>9.532</v>
      </c>
      <c r="H843" s="196">
        <v>149.15</v>
      </c>
      <c r="I843" s="196">
        <v>147.9</v>
      </c>
      <c r="J843" s="196">
        <v>102.254</v>
      </c>
      <c r="K843" s="196"/>
      <c r="L843" s="200">
        <v>843</v>
      </c>
      <c r="M843" s="200">
        <v>2</v>
      </c>
      <c r="N843" s="200">
        <v>7</v>
      </c>
    </row>
    <row r="844" spans="1:14" x14ac:dyDescent="0.25">
      <c r="A844" s="198" t="s">
        <v>2240</v>
      </c>
      <c r="B844" s="198" t="s">
        <v>8570</v>
      </c>
      <c r="C844" s="198">
        <v>0</v>
      </c>
      <c r="D844" s="196">
        <v>121</v>
      </c>
      <c r="E844" s="196">
        <v>39</v>
      </c>
      <c r="F844" s="196">
        <v>0.18</v>
      </c>
      <c r="G844" s="196">
        <v>12.44</v>
      </c>
      <c r="H844" s="196">
        <v>102.05</v>
      </c>
      <c r="I844" s="196">
        <v>222.5</v>
      </c>
      <c r="J844" s="196">
        <v>306.89999999999998</v>
      </c>
      <c r="K844" s="196"/>
      <c r="L844" s="200">
        <v>844</v>
      </c>
      <c r="M844" s="200">
        <v>2</v>
      </c>
      <c r="N844" s="200">
        <v>7</v>
      </c>
    </row>
    <row r="845" spans="1:14" x14ac:dyDescent="0.25">
      <c r="A845" s="198" t="s">
        <v>2240</v>
      </c>
      <c r="B845" s="198" t="s">
        <v>3421</v>
      </c>
      <c r="C845" s="198">
        <v>1</v>
      </c>
      <c r="D845" s="196">
        <v>51</v>
      </c>
      <c r="E845" s="196">
        <v>39.012</v>
      </c>
      <c r="F845" s="196">
        <v>0.26100000000000001</v>
      </c>
      <c r="G845" s="196">
        <v>11.304</v>
      </c>
      <c r="H845" s="196">
        <v>205.32</v>
      </c>
      <c r="I845" s="196">
        <v>196.75</v>
      </c>
      <c r="J845" s="196">
        <v>0.46800000000000003</v>
      </c>
      <c r="K845" s="196"/>
      <c r="L845" s="200">
        <v>845</v>
      </c>
      <c r="M845" s="200">
        <v>1</v>
      </c>
      <c r="N845" s="200">
        <v>7</v>
      </c>
    </row>
    <row r="846" spans="1:14" x14ac:dyDescent="0.25">
      <c r="A846" s="198" t="s">
        <v>32</v>
      </c>
      <c r="B846" s="198" t="s">
        <v>3427</v>
      </c>
      <c r="C846" s="198"/>
      <c r="D846" s="196">
        <v>49</v>
      </c>
      <c r="E846" s="196"/>
      <c r="F846" s="196">
        <v>0.153</v>
      </c>
      <c r="G846" s="196"/>
      <c r="H846" s="196"/>
      <c r="I846" s="196"/>
      <c r="J846" s="196"/>
      <c r="K846" s="196"/>
      <c r="L846" s="200">
        <v>846</v>
      </c>
      <c r="M846" s="200">
        <v>1</v>
      </c>
      <c r="N846" s="200">
        <v>28</v>
      </c>
    </row>
    <row r="847" spans="1:14" x14ac:dyDescent="0.25">
      <c r="A847" s="198" t="s">
        <v>2240</v>
      </c>
      <c r="B847" s="198" t="s">
        <v>8571</v>
      </c>
      <c r="C847" s="198">
        <v>0</v>
      </c>
      <c r="D847" s="196">
        <v>128</v>
      </c>
      <c r="E847" s="196">
        <v>39.018000000000001</v>
      </c>
      <c r="F847" s="196">
        <v>0.20699999999999999</v>
      </c>
      <c r="G847" s="196">
        <v>1.3759999999999999</v>
      </c>
      <c r="H847" s="196">
        <v>281.56</v>
      </c>
      <c r="I847" s="196">
        <v>267.86</v>
      </c>
      <c r="J847" s="196">
        <v>278.86</v>
      </c>
      <c r="K847" s="196"/>
      <c r="L847" s="200">
        <v>847</v>
      </c>
      <c r="M847" s="200">
        <v>2</v>
      </c>
      <c r="N847" s="200">
        <v>7</v>
      </c>
    </row>
    <row r="848" spans="1:14" x14ac:dyDescent="0.25">
      <c r="A848" s="198" t="s">
        <v>2240</v>
      </c>
      <c r="B848" s="198" t="s">
        <v>8572</v>
      </c>
      <c r="C848" s="198">
        <v>0</v>
      </c>
      <c r="D848" s="196">
        <v>203</v>
      </c>
      <c r="E848" s="196">
        <v>39.069000000000003</v>
      </c>
      <c r="F848" s="196">
        <v>6.5000000000000002E-2</v>
      </c>
      <c r="G848" s="196">
        <v>13.346</v>
      </c>
      <c r="H848" s="196">
        <v>87.197000000000003</v>
      </c>
      <c r="I848" s="196">
        <v>84.441000000000003</v>
      </c>
      <c r="J848" s="196">
        <v>167.19</v>
      </c>
      <c r="K848" s="196"/>
      <c r="L848" s="200">
        <v>848</v>
      </c>
      <c r="M848" s="200">
        <v>2</v>
      </c>
      <c r="N848" s="200">
        <v>7</v>
      </c>
    </row>
    <row r="849" spans="1:17" x14ac:dyDescent="0.25">
      <c r="A849" s="198" t="s">
        <v>2240</v>
      </c>
      <c r="B849" s="198" t="s">
        <v>8573</v>
      </c>
      <c r="C849" s="198">
        <v>0</v>
      </c>
      <c r="D849" s="196">
        <v>118</v>
      </c>
      <c r="E849" s="196">
        <v>39.084000000000003</v>
      </c>
      <c r="F849" s="196">
        <v>0.24099999999999999</v>
      </c>
      <c r="G849" s="196">
        <v>3.5009999999999999</v>
      </c>
      <c r="H849" s="196">
        <v>55.89</v>
      </c>
      <c r="I849" s="196">
        <v>314.35000000000002</v>
      </c>
      <c r="J849" s="196">
        <v>169.23</v>
      </c>
      <c r="K849" s="196"/>
      <c r="L849" s="200">
        <v>849</v>
      </c>
      <c r="M849" s="200">
        <v>2</v>
      </c>
      <c r="N849" s="200">
        <v>7</v>
      </c>
    </row>
    <row r="850" spans="1:17" x14ac:dyDescent="0.25">
      <c r="A850" s="198" t="s">
        <v>1966</v>
      </c>
      <c r="B850" s="198" t="s">
        <v>8574</v>
      </c>
      <c r="C850" s="198">
        <v>0</v>
      </c>
      <c r="D850" s="196">
        <v>59</v>
      </c>
      <c r="E850" s="196">
        <v>39.091000000000001</v>
      </c>
      <c r="F850" s="196">
        <v>0.32</v>
      </c>
      <c r="G850" s="196">
        <v>19.187000000000001</v>
      </c>
      <c r="H850" s="196">
        <v>266.11</v>
      </c>
      <c r="I850" s="196">
        <v>290.28199999999998</v>
      </c>
      <c r="J850" s="196">
        <v>352.87299999999999</v>
      </c>
      <c r="K850" s="196"/>
      <c r="L850" s="200">
        <v>850</v>
      </c>
      <c r="M850" s="200">
        <v>2</v>
      </c>
      <c r="N850" s="200">
        <v>6</v>
      </c>
    </row>
    <row r="851" spans="1:17" x14ac:dyDescent="0.25">
      <c r="A851" s="198" t="s">
        <v>2240</v>
      </c>
      <c r="B851" s="198" t="s">
        <v>8575</v>
      </c>
      <c r="C851" s="198">
        <v>0</v>
      </c>
      <c r="D851" s="196">
        <v>281</v>
      </c>
      <c r="E851" s="196">
        <v>39.103999999999999</v>
      </c>
      <c r="F851" s="196">
        <v>0.22700000000000001</v>
      </c>
      <c r="G851" s="196">
        <v>12.048999999999999</v>
      </c>
      <c r="H851" s="196">
        <v>145</v>
      </c>
      <c r="I851" s="196">
        <v>135.93</v>
      </c>
      <c r="J851" s="196">
        <v>113.43</v>
      </c>
      <c r="K851" s="196">
        <v>2.645</v>
      </c>
      <c r="L851" s="200">
        <v>851</v>
      </c>
      <c r="M851" s="200">
        <v>2</v>
      </c>
      <c r="N851" s="200">
        <v>7</v>
      </c>
    </row>
    <row r="852" spans="1:17" x14ac:dyDescent="0.25">
      <c r="A852" s="198" t="s">
        <v>2240</v>
      </c>
      <c r="B852" s="198" t="s">
        <v>8576</v>
      </c>
      <c r="C852" s="198">
        <v>0</v>
      </c>
      <c r="D852" s="196">
        <v>49</v>
      </c>
      <c r="E852" s="196">
        <v>39.11</v>
      </c>
      <c r="F852" s="196">
        <v>0.04</v>
      </c>
      <c r="G852" s="196">
        <v>1.51</v>
      </c>
      <c r="H852" s="196">
        <v>164.12</v>
      </c>
      <c r="I852" s="196">
        <v>183.55</v>
      </c>
      <c r="J852" s="196">
        <v>87.96</v>
      </c>
      <c r="K852" s="196"/>
      <c r="L852" s="200">
        <v>852</v>
      </c>
      <c r="M852" s="200">
        <v>2</v>
      </c>
      <c r="N852" s="200">
        <v>7</v>
      </c>
    </row>
    <row r="853" spans="1:17" x14ac:dyDescent="0.25">
      <c r="A853" s="198" t="s">
        <v>2240</v>
      </c>
      <c r="B853" s="198" t="s">
        <v>8577</v>
      </c>
      <c r="C853" s="198">
        <v>0</v>
      </c>
      <c r="D853" s="196">
        <v>158</v>
      </c>
      <c r="E853" s="196">
        <v>39.130000000000003</v>
      </c>
      <c r="F853" s="196">
        <v>0.29599999999999999</v>
      </c>
      <c r="G853" s="196">
        <v>10.31</v>
      </c>
      <c r="H853" s="196">
        <v>355.8</v>
      </c>
      <c r="I853" s="196">
        <v>39.880000000000003</v>
      </c>
      <c r="J853" s="196">
        <v>141.05000000000001</v>
      </c>
      <c r="K853" s="196"/>
      <c r="L853" s="200">
        <v>853</v>
      </c>
      <c r="M853" s="200">
        <v>2</v>
      </c>
      <c r="N853" s="200">
        <v>7</v>
      </c>
    </row>
    <row r="854" spans="1:17" x14ac:dyDescent="0.25">
      <c r="A854" s="198" t="s">
        <v>2240</v>
      </c>
      <c r="B854" s="198" t="s">
        <v>8578</v>
      </c>
      <c r="C854" s="198">
        <v>0</v>
      </c>
      <c r="D854" s="196">
        <v>114</v>
      </c>
      <c r="E854" s="196">
        <v>39.130000000000003</v>
      </c>
      <c r="F854" s="196">
        <v>0.19600000000000001</v>
      </c>
      <c r="G854" s="196">
        <v>6.5030000000000001</v>
      </c>
      <c r="H854" s="196">
        <v>79.86</v>
      </c>
      <c r="I854" s="196">
        <v>136.88999999999999</v>
      </c>
      <c r="J854" s="196">
        <v>145.6</v>
      </c>
      <c r="K854" s="196"/>
      <c r="L854" s="200">
        <v>854</v>
      </c>
      <c r="M854" s="200">
        <v>2</v>
      </c>
      <c r="N854" s="200">
        <v>7</v>
      </c>
    </row>
    <row r="855" spans="1:17" x14ac:dyDescent="0.25">
      <c r="A855" s="198" t="s">
        <v>2240</v>
      </c>
      <c r="B855" s="198" t="s">
        <v>8579</v>
      </c>
      <c r="C855" s="198">
        <v>0</v>
      </c>
      <c r="D855" s="196">
        <v>200</v>
      </c>
      <c r="E855" s="196">
        <v>39.159999999999997</v>
      </c>
      <c r="F855" s="196">
        <v>0.183</v>
      </c>
      <c r="G855" s="196">
        <v>15.69</v>
      </c>
      <c r="H855" s="196">
        <v>283.3</v>
      </c>
      <c r="I855" s="196">
        <v>238.68</v>
      </c>
      <c r="J855" s="196">
        <v>60.18</v>
      </c>
      <c r="K855" s="196"/>
      <c r="L855" s="200">
        <v>855</v>
      </c>
      <c r="M855" s="200">
        <v>2</v>
      </c>
      <c r="N855" s="200">
        <v>7</v>
      </c>
    </row>
    <row r="856" spans="1:17" x14ac:dyDescent="0.25">
      <c r="A856" s="199" t="s">
        <v>2257</v>
      </c>
      <c r="B856" s="198" t="s">
        <v>2258</v>
      </c>
      <c r="C856" s="198">
        <v>1</v>
      </c>
      <c r="D856" s="196">
        <v>455</v>
      </c>
      <c r="E856" s="196">
        <v>39.173999999999999</v>
      </c>
      <c r="F856" s="196">
        <v>0.22700000000000001</v>
      </c>
      <c r="G856" s="196">
        <v>20.591999999999999</v>
      </c>
      <c r="H856" s="196">
        <v>72.31</v>
      </c>
      <c r="I856" s="196">
        <v>268.79899999999998</v>
      </c>
      <c r="J856" s="196">
        <v>181.73500000000001</v>
      </c>
      <c r="K856" s="196">
        <v>1.4</v>
      </c>
      <c r="L856" s="200">
        <v>856</v>
      </c>
      <c r="M856" s="200">
        <v>1</v>
      </c>
      <c r="N856" s="200">
        <v>2</v>
      </c>
      <c r="O856" s="194" t="s">
        <v>2258</v>
      </c>
      <c r="P856" s="194" t="s">
        <v>9591</v>
      </c>
      <c r="Q856" s="200" t="s">
        <v>8068</v>
      </c>
    </row>
    <row r="857" spans="1:17" x14ac:dyDescent="0.25">
      <c r="A857" s="198" t="s">
        <v>32</v>
      </c>
      <c r="B857" s="198" t="s">
        <v>2265</v>
      </c>
      <c r="C857" s="198"/>
      <c r="D857" s="196">
        <v>221</v>
      </c>
      <c r="E857" s="196"/>
      <c r="F857" s="196">
        <v>1E-3</v>
      </c>
      <c r="G857" s="196">
        <v>90.54</v>
      </c>
      <c r="H857" s="196"/>
      <c r="I857" s="196"/>
      <c r="J857" s="196"/>
      <c r="K857" s="196">
        <v>1.7</v>
      </c>
      <c r="L857" s="200">
        <v>857</v>
      </c>
      <c r="M857" s="200">
        <v>1</v>
      </c>
      <c r="N857" s="200">
        <v>4</v>
      </c>
    </row>
    <row r="858" spans="1:17" x14ac:dyDescent="0.25">
      <c r="A858" s="198" t="s">
        <v>2240</v>
      </c>
      <c r="B858" s="198" t="s">
        <v>8580</v>
      </c>
      <c r="C858" s="198">
        <v>0</v>
      </c>
      <c r="D858" s="196">
        <v>125</v>
      </c>
      <c r="E858" s="196">
        <v>39.176000000000002</v>
      </c>
      <c r="F858" s="196">
        <v>0.28799999999999998</v>
      </c>
      <c r="G858" s="196">
        <v>16.327000000000002</v>
      </c>
      <c r="H858" s="196">
        <v>206.35</v>
      </c>
      <c r="I858" s="196">
        <v>199.72</v>
      </c>
      <c r="J858" s="196">
        <v>29.369</v>
      </c>
      <c r="K858" s="196"/>
      <c r="L858" s="200">
        <v>858</v>
      </c>
      <c r="M858" s="200">
        <v>2</v>
      </c>
      <c r="N858" s="200">
        <v>7</v>
      </c>
    </row>
    <row r="859" spans="1:17" x14ac:dyDescent="0.25">
      <c r="A859" s="198" t="s">
        <v>2240</v>
      </c>
      <c r="B859" s="198" t="s">
        <v>8581</v>
      </c>
      <c r="C859" s="198">
        <v>0</v>
      </c>
      <c r="D859" s="196">
        <v>188</v>
      </c>
      <c r="E859" s="196">
        <v>39.180999999999997</v>
      </c>
      <c r="F859" s="196">
        <v>0.183</v>
      </c>
      <c r="G859" s="196">
        <v>15.106</v>
      </c>
      <c r="H859" s="196">
        <v>124.009</v>
      </c>
      <c r="I859" s="196">
        <v>207.60499999999999</v>
      </c>
      <c r="J859" s="196">
        <v>304.06700000000001</v>
      </c>
      <c r="K859" s="196"/>
      <c r="L859" s="200">
        <v>859</v>
      </c>
      <c r="M859" s="200">
        <v>2</v>
      </c>
      <c r="N859" s="200">
        <v>7</v>
      </c>
    </row>
    <row r="860" spans="1:17" x14ac:dyDescent="0.25">
      <c r="A860" s="198" t="s">
        <v>2240</v>
      </c>
      <c r="B860" s="198" t="s">
        <v>8582</v>
      </c>
      <c r="C860" s="198">
        <v>0</v>
      </c>
      <c r="D860" s="196">
        <v>119</v>
      </c>
      <c r="E860" s="196">
        <v>39.200000000000003</v>
      </c>
      <c r="F860" s="196">
        <v>0.28000000000000003</v>
      </c>
      <c r="G860" s="196">
        <v>22.3</v>
      </c>
      <c r="H860" s="196">
        <v>292.60000000000002</v>
      </c>
      <c r="I860" s="196">
        <v>170.6</v>
      </c>
      <c r="J860" s="196">
        <v>346.2</v>
      </c>
      <c r="K860" s="196"/>
      <c r="L860" s="200">
        <v>860</v>
      </c>
      <c r="M860" s="200">
        <v>2</v>
      </c>
      <c r="N860" s="200">
        <v>7</v>
      </c>
    </row>
    <row r="861" spans="1:17" x14ac:dyDescent="0.25">
      <c r="A861" s="198" t="s">
        <v>2240</v>
      </c>
      <c r="B861" s="198" t="s">
        <v>8583</v>
      </c>
      <c r="C861" s="198">
        <v>0</v>
      </c>
      <c r="D861" s="196">
        <v>124</v>
      </c>
      <c r="E861" s="196">
        <v>39.222000000000001</v>
      </c>
      <c r="F861" s="196">
        <v>0.214</v>
      </c>
      <c r="G861" s="196">
        <v>12.858000000000001</v>
      </c>
      <c r="H861" s="196">
        <v>271.32</v>
      </c>
      <c r="I861" s="196">
        <v>26.62</v>
      </c>
      <c r="J861" s="196">
        <v>80.305000000000007</v>
      </c>
      <c r="K861" s="196"/>
      <c r="L861" s="200">
        <v>861</v>
      </c>
      <c r="M861" s="200">
        <v>2</v>
      </c>
      <c r="N861" s="200">
        <v>7</v>
      </c>
    </row>
    <row r="862" spans="1:17" x14ac:dyDescent="0.25">
      <c r="A862" s="198" t="s">
        <v>2240</v>
      </c>
      <c r="B862" s="198" t="s">
        <v>8584</v>
      </c>
      <c r="C862" s="198">
        <v>0</v>
      </c>
      <c r="D862" s="196">
        <v>110</v>
      </c>
      <c r="E862" s="196">
        <v>39.229999999999997</v>
      </c>
      <c r="F862" s="196">
        <v>0.29499999999999998</v>
      </c>
      <c r="G862" s="196">
        <v>19.28</v>
      </c>
      <c r="H862" s="196">
        <v>239.4</v>
      </c>
      <c r="I862" s="196">
        <v>20.58</v>
      </c>
      <c r="J862" s="196">
        <v>99.64</v>
      </c>
      <c r="K862" s="196"/>
      <c r="L862" s="200">
        <v>862</v>
      </c>
      <c r="M862" s="200">
        <v>2</v>
      </c>
      <c r="N862" s="200">
        <v>7</v>
      </c>
    </row>
    <row r="863" spans="1:17" x14ac:dyDescent="0.25">
      <c r="A863" s="198" t="s">
        <v>2240</v>
      </c>
      <c r="B863" s="198" t="s">
        <v>8585</v>
      </c>
      <c r="C863" s="198">
        <v>0</v>
      </c>
      <c r="D863" s="196">
        <v>208</v>
      </c>
      <c r="E863" s="196">
        <v>39.241</v>
      </c>
      <c r="F863" s="196">
        <v>0.114</v>
      </c>
      <c r="G863" s="196">
        <v>22.408000000000001</v>
      </c>
      <c r="H863" s="196">
        <v>41.215000000000003</v>
      </c>
      <c r="I863" s="196">
        <v>164.24</v>
      </c>
      <c r="J863" s="196">
        <v>154.29</v>
      </c>
      <c r="K863" s="196"/>
      <c r="L863" s="200">
        <v>863</v>
      </c>
      <c r="M863" s="200">
        <v>2</v>
      </c>
      <c r="N863" s="200">
        <v>7</v>
      </c>
    </row>
    <row r="864" spans="1:17" x14ac:dyDescent="0.25">
      <c r="A864" s="198" t="s">
        <v>2240</v>
      </c>
      <c r="B864" s="198" t="s">
        <v>8586</v>
      </c>
      <c r="C864" s="198">
        <v>0</v>
      </c>
      <c r="D864" s="196">
        <v>153</v>
      </c>
      <c r="E864" s="196">
        <v>39.270000000000003</v>
      </c>
      <c r="F864" s="196">
        <v>0.17399999999999999</v>
      </c>
      <c r="G864" s="196">
        <v>3.28</v>
      </c>
      <c r="H864" s="196">
        <v>89.4</v>
      </c>
      <c r="I864" s="196">
        <v>97.63</v>
      </c>
      <c r="J864" s="196">
        <v>138.5</v>
      </c>
      <c r="K864" s="196"/>
      <c r="L864" s="200">
        <v>864</v>
      </c>
      <c r="M864" s="200">
        <v>2</v>
      </c>
      <c r="N864" s="200">
        <v>7</v>
      </c>
    </row>
    <row r="865" spans="1:14" x14ac:dyDescent="0.25">
      <c r="A865" s="198" t="s">
        <v>2240</v>
      </c>
      <c r="B865" s="198" t="s">
        <v>8587</v>
      </c>
      <c r="C865" s="198">
        <v>0</v>
      </c>
      <c r="D865" s="196">
        <v>137</v>
      </c>
      <c r="E865" s="196">
        <v>39.262999999999998</v>
      </c>
      <c r="F865" s="196">
        <v>0.23499999999999999</v>
      </c>
      <c r="G865" s="196">
        <v>3.9750000000000001</v>
      </c>
      <c r="H865" s="196">
        <v>263.07</v>
      </c>
      <c r="I865" s="196">
        <v>90.07</v>
      </c>
      <c r="J865" s="196">
        <v>306.89999999999998</v>
      </c>
      <c r="K865" s="196"/>
      <c r="L865" s="200">
        <v>865</v>
      </c>
      <c r="M865" s="200">
        <v>2</v>
      </c>
      <c r="N865" s="200">
        <v>7</v>
      </c>
    </row>
    <row r="866" spans="1:14" x14ac:dyDescent="0.25">
      <c r="A866" s="198" t="s">
        <v>2240</v>
      </c>
      <c r="B866" s="198" t="s">
        <v>8588</v>
      </c>
      <c r="C866" s="198">
        <v>0</v>
      </c>
      <c r="D866" s="196">
        <v>139</v>
      </c>
      <c r="E866" s="196">
        <v>39.268999999999998</v>
      </c>
      <c r="F866" s="196">
        <v>0.25700000000000001</v>
      </c>
      <c r="G866" s="196">
        <v>4.1399999999999997</v>
      </c>
      <c r="H866" s="196">
        <v>100.87</v>
      </c>
      <c r="I866" s="196">
        <v>10.48</v>
      </c>
      <c r="J866" s="196">
        <v>352.31099999999998</v>
      </c>
      <c r="K866" s="196"/>
      <c r="L866" s="200">
        <v>866</v>
      </c>
      <c r="M866" s="200">
        <v>2</v>
      </c>
      <c r="N866" s="200">
        <v>7</v>
      </c>
    </row>
    <row r="867" spans="1:14" x14ac:dyDescent="0.25">
      <c r="A867" s="198" t="s">
        <v>2240</v>
      </c>
      <c r="B867" s="198" t="s">
        <v>8589</v>
      </c>
      <c r="C867" s="198">
        <v>0</v>
      </c>
      <c r="D867" s="196">
        <v>219</v>
      </c>
      <c r="E867" s="196">
        <v>39.281999999999996</v>
      </c>
      <c r="F867" s="196">
        <v>0.129</v>
      </c>
      <c r="G867" s="196">
        <v>9.5250000000000004</v>
      </c>
      <c r="H867" s="196">
        <v>102.779</v>
      </c>
      <c r="I867" s="196">
        <v>157.464</v>
      </c>
      <c r="J867" s="196">
        <v>111.46599999999999</v>
      </c>
      <c r="K867" s="196"/>
      <c r="L867" s="200">
        <v>867</v>
      </c>
      <c r="M867" s="200">
        <v>2</v>
      </c>
      <c r="N867" s="200">
        <v>7</v>
      </c>
    </row>
    <row r="868" spans="1:14" x14ac:dyDescent="0.25">
      <c r="A868" s="198" t="s">
        <v>2240</v>
      </c>
      <c r="B868" s="198" t="s">
        <v>8590</v>
      </c>
      <c r="C868" s="198">
        <v>0</v>
      </c>
      <c r="D868" s="196">
        <v>127</v>
      </c>
      <c r="E868" s="196">
        <v>39.289000000000001</v>
      </c>
      <c r="F868" s="196">
        <v>0.23699999999999999</v>
      </c>
      <c r="G868" s="196">
        <v>18.809999999999999</v>
      </c>
      <c r="H868" s="196">
        <v>173.45</v>
      </c>
      <c r="I868" s="196">
        <v>158.80000000000001</v>
      </c>
      <c r="J868" s="196">
        <v>35.93</v>
      </c>
      <c r="K868" s="196"/>
      <c r="L868" s="200">
        <v>868</v>
      </c>
      <c r="M868" s="200">
        <v>2</v>
      </c>
      <c r="N868" s="200">
        <v>7</v>
      </c>
    </row>
    <row r="869" spans="1:14" x14ac:dyDescent="0.25">
      <c r="A869" s="198" t="s">
        <v>2240</v>
      </c>
      <c r="B869" s="198" t="s">
        <v>8591</v>
      </c>
      <c r="C869" s="198">
        <v>0</v>
      </c>
      <c r="D869" s="196">
        <v>150</v>
      </c>
      <c r="E869" s="196">
        <v>39.305999999999997</v>
      </c>
      <c r="F869" s="196">
        <v>8.4000000000000005E-2</v>
      </c>
      <c r="G869" s="196">
        <v>11.016</v>
      </c>
      <c r="H869" s="196">
        <v>341.35</v>
      </c>
      <c r="I869" s="196">
        <v>175.45</v>
      </c>
      <c r="J869" s="196">
        <v>95.93</v>
      </c>
      <c r="K869" s="196"/>
      <c r="L869" s="200">
        <v>869</v>
      </c>
      <c r="M869" s="200">
        <v>2</v>
      </c>
      <c r="N869" s="200">
        <v>7</v>
      </c>
    </row>
    <row r="870" spans="1:14" x14ac:dyDescent="0.25">
      <c r="A870" s="198" t="s">
        <v>2240</v>
      </c>
      <c r="B870" s="198" t="s">
        <v>8592</v>
      </c>
      <c r="C870" s="198">
        <v>0</v>
      </c>
      <c r="D870" s="196">
        <v>121</v>
      </c>
      <c r="E870" s="196">
        <v>39.305999999999997</v>
      </c>
      <c r="F870" s="196">
        <v>0.192</v>
      </c>
      <c r="G870" s="196">
        <v>9.7230000000000008</v>
      </c>
      <c r="H870" s="196">
        <v>41.691000000000003</v>
      </c>
      <c r="I870" s="196">
        <v>48.405000000000001</v>
      </c>
      <c r="J870" s="196">
        <v>99.314999999999998</v>
      </c>
      <c r="K870" s="196"/>
      <c r="L870" s="200">
        <v>870</v>
      </c>
      <c r="M870" s="200">
        <v>2</v>
      </c>
      <c r="N870" s="200">
        <v>7</v>
      </c>
    </row>
    <row r="871" spans="1:14" x14ac:dyDescent="0.25">
      <c r="A871" s="198" t="s">
        <v>2240</v>
      </c>
      <c r="B871" s="198" t="s">
        <v>8593</v>
      </c>
      <c r="C871" s="198">
        <v>0</v>
      </c>
      <c r="D871" s="196">
        <v>113</v>
      </c>
      <c r="E871" s="196">
        <v>39.311</v>
      </c>
      <c r="F871" s="196">
        <v>0.14599999999999999</v>
      </c>
      <c r="G871" s="196">
        <v>8.8699999999999992</v>
      </c>
      <c r="H871" s="196">
        <v>222.09</v>
      </c>
      <c r="I871" s="196">
        <v>87.36</v>
      </c>
      <c r="J871" s="196">
        <v>34.36</v>
      </c>
      <c r="K871" s="196"/>
      <c r="L871" s="200">
        <v>871</v>
      </c>
      <c r="M871" s="200">
        <v>2</v>
      </c>
      <c r="N871" s="200">
        <v>7</v>
      </c>
    </row>
    <row r="872" spans="1:14" x14ac:dyDescent="0.25">
      <c r="A872" s="198" t="s">
        <v>2240</v>
      </c>
      <c r="B872" s="198" t="s">
        <v>8594</v>
      </c>
      <c r="C872" s="198">
        <v>0</v>
      </c>
      <c r="D872" s="196">
        <v>227</v>
      </c>
      <c r="E872" s="196">
        <v>39.325000000000003</v>
      </c>
      <c r="F872" s="196">
        <v>0.26300000000000001</v>
      </c>
      <c r="G872" s="196">
        <v>14.04</v>
      </c>
      <c r="H872" s="196">
        <v>287.87</v>
      </c>
      <c r="I872" s="196">
        <v>23.152000000000001</v>
      </c>
      <c r="J872" s="196">
        <v>73.453000000000003</v>
      </c>
      <c r="K872" s="196"/>
      <c r="L872" s="200">
        <v>872</v>
      </c>
      <c r="M872" s="200">
        <v>2</v>
      </c>
      <c r="N872" s="200">
        <v>7</v>
      </c>
    </row>
    <row r="873" spans="1:14" x14ac:dyDescent="0.25">
      <c r="A873" s="198" t="s">
        <v>2240</v>
      </c>
      <c r="B873" s="198" t="s">
        <v>8595</v>
      </c>
      <c r="C873" s="198">
        <v>0</v>
      </c>
      <c r="D873" s="196">
        <v>111</v>
      </c>
      <c r="E873" s="196">
        <v>39.33</v>
      </c>
      <c r="F873" s="196">
        <v>0.17599999999999999</v>
      </c>
      <c r="G873" s="196">
        <v>10.17</v>
      </c>
      <c r="H873" s="196">
        <v>20.14</v>
      </c>
      <c r="I873" s="196">
        <v>85.01</v>
      </c>
      <c r="J873" s="196">
        <v>8.09</v>
      </c>
      <c r="K873" s="196"/>
      <c r="L873" s="200">
        <v>873</v>
      </c>
      <c r="M873" s="200">
        <v>2</v>
      </c>
      <c r="N873" s="200">
        <v>7</v>
      </c>
    </row>
    <row r="874" spans="1:14" x14ac:dyDescent="0.25">
      <c r="A874" s="198" t="s">
        <v>2240</v>
      </c>
      <c r="B874" s="198" t="s">
        <v>8596</v>
      </c>
      <c r="C874" s="198">
        <v>0</v>
      </c>
      <c r="D874" s="196">
        <v>120</v>
      </c>
      <c r="E874" s="196">
        <v>39.338000000000001</v>
      </c>
      <c r="F874" s="196">
        <v>0.19900000000000001</v>
      </c>
      <c r="G874" s="196">
        <v>19.98</v>
      </c>
      <c r="H874" s="196">
        <v>153.93</v>
      </c>
      <c r="I874" s="196">
        <v>157.13999999999999</v>
      </c>
      <c r="J874" s="196">
        <v>319.51</v>
      </c>
      <c r="K874" s="196"/>
      <c r="L874" s="200">
        <v>874</v>
      </c>
      <c r="M874" s="200">
        <v>2</v>
      </c>
      <c r="N874" s="200">
        <v>7</v>
      </c>
    </row>
    <row r="875" spans="1:14" x14ac:dyDescent="0.25">
      <c r="A875" s="198" t="s">
        <v>2240</v>
      </c>
      <c r="B875" s="198" t="s">
        <v>8597</v>
      </c>
      <c r="C875" s="198">
        <v>0</v>
      </c>
      <c r="D875" s="196">
        <v>123</v>
      </c>
      <c r="E875" s="196">
        <v>39.353000000000002</v>
      </c>
      <c r="F875" s="196">
        <v>0.152</v>
      </c>
      <c r="G875" s="196">
        <v>6.53</v>
      </c>
      <c r="H875" s="196">
        <v>19.43</v>
      </c>
      <c r="I875" s="196">
        <v>209.21199999999999</v>
      </c>
      <c r="J875" s="196">
        <v>157.1</v>
      </c>
      <c r="K875" s="196"/>
      <c r="L875" s="200">
        <v>875</v>
      </c>
      <c r="M875" s="200">
        <v>2</v>
      </c>
      <c r="N875" s="200">
        <v>7</v>
      </c>
    </row>
    <row r="876" spans="1:14" x14ac:dyDescent="0.25">
      <c r="A876" s="198" t="s">
        <v>2240</v>
      </c>
      <c r="B876" s="198" t="s">
        <v>8598</v>
      </c>
      <c r="C876" s="198">
        <v>0</v>
      </c>
      <c r="D876" s="196">
        <v>104</v>
      </c>
      <c r="E876" s="196">
        <v>39.36</v>
      </c>
      <c r="F876" s="196">
        <v>0.245</v>
      </c>
      <c r="G876" s="196">
        <v>4.72</v>
      </c>
      <c r="H876" s="196">
        <v>185.11</v>
      </c>
      <c r="I876" s="196">
        <v>126.02</v>
      </c>
      <c r="J876" s="196">
        <v>322.02999999999997</v>
      </c>
      <c r="K876" s="196"/>
      <c r="L876" s="200">
        <v>876</v>
      </c>
      <c r="M876" s="200">
        <v>2</v>
      </c>
      <c r="N876" s="200">
        <v>7</v>
      </c>
    </row>
    <row r="877" spans="1:14" x14ac:dyDescent="0.25">
      <c r="A877" s="198" t="s">
        <v>2240</v>
      </c>
      <c r="B877" s="198" t="s">
        <v>7887</v>
      </c>
      <c r="C877" s="198">
        <v>1</v>
      </c>
      <c r="D877" s="196">
        <v>386</v>
      </c>
      <c r="E877" s="196">
        <v>39.362000000000002</v>
      </c>
      <c r="F877" s="196">
        <v>0.183</v>
      </c>
      <c r="G877" s="196">
        <v>13.596</v>
      </c>
      <c r="H877" s="196">
        <v>15.211</v>
      </c>
      <c r="I877" s="196">
        <v>252.202</v>
      </c>
      <c r="J877" s="196">
        <v>232.61099999999999</v>
      </c>
      <c r="K877" s="196">
        <v>0.87</v>
      </c>
      <c r="L877" s="200">
        <v>877</v>
      </c>
      <c r="M877" s="200">
        <v>1</v>
      </c>
      <c r="N877" s="200">
        <v>7</v>
      </c>
    </row>
    <row r="878" spans="1:14" x14ac:dyDescent="0.25">
      <c r="A878" s="198" t="s">
        <v>32</v>
      </c>
      <c r="B878" s="198" t="s">
        <v>2289</v>
      </c>
      <c r="C878" s="198"/>
      <c r="D878" s="196">
        <v>36</v>
      </c>
      <c r="E878" s="196"/>
      <c r="F878" s="196"/>
      <c r="G878" s="196"/>
      <c r="H878" s="196"/>
      <c r="I878" s="196"/>
      <c r="J878" s="196"/>
      <c r="K878" s="196"/>
      <c r="L878" s="200">
        <v>878</v>
      </c>
      <c r="M878" s="200">
        <v>3</v>
      </c>
      <c r="N878" s="200">
        <v>28</v>
      </c>
    </row>
    <row r="879" spans="1:14" x14ac:dyDescent="0.25">
      <c r="A879" s="198" t="s">
        <v>2240</v>
      </c>
      <c r="B879" s="198" t="s">
        <v>8599</v>
      </c>
      <c r="C879" s="198">
        <v>0</v>
      </c>
      <c r="D879" s="196">
        <v>111</v>
      </c>
      <c r="E879" s="196">
        <v>39.375</v>
      </c>
      <c r="F879" s="196">
        <v>7.9000000000000001E-2</v>
      </c>
      <c r="G879" s="196">
        <v>18.981999999999999</v>
      </c>
      <c r="H879" s="196">
        <v>188.49100000000001</v>
      </c>
      <c r="I879" s="196">
        <v>110.687</v>
      </c>
      <c r="J879" s="196">
        <v>179.65100000000001</v>
      </c>
      <c r="K879" s="196"/>
      <c r="L879" s="200">
        <v>879</v>
      </c>
      <c r="M879" s="200">
        <v>2</v>
      </c>
      <c r="N879" s="200">
        <v>7</v>
      </c>
    </row>
    <row r="880" spans="1:14" x14ac:dyDescent="0.25">
      <c r="A880" s="198" t="s">
        <v>2240</v>
      </c>
      <c r="B880" s="198" t="s">
        <v>8600</v>
      </c>
      <c r="C880" s="198">
        <v>0</v>
      </c>
      <c r="D880" s="196">
        <v>111</v>
      </c>
      <c r="E880" s="196">
        <v>39.381999999999998</v>
      </c>
      <c r="F880" s="196">
        <v>0.254</v>
      </c>
      <c r="G880" s="196">
        <v>3.0339999999999998</v>
      </c>
      <c r="H880" s="196">
        <v>324.77999999999997</v>
      </c>
      <c r="I880" s="196">
        <v>127.99</v>
      </c>
      <c r="J880" s="196">
        <v>2.7450000000000001</v>
      </c>
      <c r="K880" s="196"/>
      <c r="L880" s="200">
        <v>880</v>
      </c>
      <c r="M880" s="200">
        <v>2</v>
      </c>
      <c r="N880" s="200">
        <v>7</v>
      </c>
    </row>
    <row r="881" spans="1:14" x14ac:dyDescent="0.25">
      <c r="A881" s="198" t="s">
        <v>2240</v>
      </c>
      <c r="B881" s="198" t="s">
        <v>8601</v>
      </c>
      <c r="C881" s="198">
        <v>0</v>
      </c>
      <c r="D881" s="196">
        <v>162</v>
      </c>
      <c r="E881" s="196">
        <v>39.39</v>
      </c>
      <c r="F881" s="196">
        <v>0.14099999999999999</v>
      </c>
      <c r="G881" s="196">
        <v>9.82</v>
      </c>
      <c r="H881" s="196">
        <v>207.6</v>
      </c>
      <c r="I881" s="196">
        <v>40.78</v>
      </c>
      <c r="J881" s="196">
        <v>224.7</v>
      </c>
      <c r="K881" s="196"/>
      <c r="L881" s="200">
        <v>881</v>
      </c>
      <c r="M881" s="200">
        <v>2</v>
      </c>
      <c r="N881" s="200">
        <v>7</v>
      </c>
    </row>
    <row r="882" spans="1:14" x14ac:dyDescent="0.25">
      <c r="A882" s="198" t="s">
        <v>2240</v>
      </c>
      <c r="B882" s="198" t="s">
        <v>8602</v>
      </c>
      <c r="C882" s="198">
        <v>0</v>
      </c>
      <c r="D882" s="196">
        <v>114</v>
      </c>
      <c r="E882" s="196">
        <v>39.408999999999999</v>
      </c>
      <c r="F882" s="196">
        <v>0.25600000000000001</v>
      </c>
      <c r="G882" s="196">
        <v>8.9</v>
      </c>
      <c r="H882" s="196">
        <v>304.39999999999998</v>
      </c>
      <c r="I882" s="196">
        <v>209.5</v>
      </c>
      <c r="J882" s="196">
        <v>46</v>
      </c>
      <c r="K882" s="196"/>
      <c r="L882" s="200">
        <v>882</v>
      </c>
      <c r="M882" s="200">
        <v>2</v>
      </c>
      <c r="N882" s="200">
        <v>7</v>
      </c>
    </row>
    <row r="883" spans="1:14" x14ac:dyDescent="0.25">
      <c r="A883" s="198" t="s">
        <v>2240</v>
      </c>
      <c r="B883" s="198" t="s">
        <v>8603</v>
      </c>
      <c r="C883" s="198">
        <v>0</v>
      </c>
      <c r="D883" s="196">
        <v>105</v>
      </c>
      <c r="E883" s="196">
        <v>39.409999999999997</v>
      </c>
      <c r="F883" s="196">
        <v>0.217</v>
      </c>
      <c r="G883" s="196">
        <v>17.48</v>
      </c>
      <c r="H883" s="196">
        <v>178.6</v>
      </c>
      <c r="I883" s="196">
        <v>167.29</v>
      </c>
      <c r="J883" s="196">
        <v>70.14</v>
      </c>
      <c r="K883" s="196"/>
      <c r="L883" s="200">
        <v>883</v>
      </c>
      <c r="M883" s="200">
        <v>2</v>
      </c>
      <c r="N883" s="200">
        <v>7</v>
      </c>
    </row>
    <row r="884" spans="1:14" x14ac:dyDescent="0.25">
      <c r="A884" s="198" t="s">
        <v>2240</v>
      </c>
      <c r="B884" s="198" t="s">
        <v>8604</v>
      </c>
      <c r="C884" s="198">
        <v>0</v>
      </c>
      <c r="D884" s="196">
        <v>278</v>
      </c>
      <c r="E884" s="196">
        <v>39.415999999999997</v>
      </c>
      <c r="F884" s="196">
        <v>0.127</v>
      </c>
      <c r="G884" s="196">
        <v>13.281000000000001</v>
      </c>
      <c r="H884" s="196">
        <v>163.53</v>
      </c>
      <c r="I884" s="196">
        <v>19.170000000000002</v>
      </c>
      <c r="J884" s="196">
        <v>282.08</v>
      </c>
      <c r="K884" s="196"/>
      <c r="L884" s="200">
        <v>884</v>
      </c>
      <c r="M884" s="200">
        <v>2</v>
      </c>
      <c r="N884" s="200">
        <v>7</v>
      </c>
    </row>
    <row r="885" spans="1:14" x14ac:dyDescent="0.25">
      <c r="A885" s="198" t="s">
        <v>2240</v>
      </c>
      <c r="B885" s="198" t="s">
        <v>8605</v>
      </c>
      <c r="C885" s="198">
        <v>0</v>
      </c>
      <c r="D885" s="196">
        <v>103</v>
      </c>
      <c r="E885" s="196">
        <v>39.42</v>
      </c>
      <c r="F885" s="196">
        <v>0.29699999999999999</v>
      </c>
      <c r="G885" s="196">
        <v>17.559999999999999</v>
      </c>
      <c r="H885" s="196">
        <v>256.05</v>
      </c>
      <c r="I885" s="196">
        <v>211.07</v>
      </c>
      <c r="J885" s="196">
        <v>346.4</v>
      </c>
      <c r="K885" s="196"/>
      <c r="L885" s="200">
        <v>885</v>
      </c>
      <c r="M885" s="200">
        <v>2</v>
      </c>
      <c r="N885" s="200">
        <v>7</v>
      </c>
    </row>
    <row r="886" spans="1:14" x14ac:dyDescent="0.25">
      <c r="A886" s="198" t="s">
        <v>2240</v>
      </c>
      <c r="B886" s="198" t="s">
        <v>8606</v>
      </c>
      <c r="C886" s="198">
        <v>0</v>
      </c>
      <c r="D886" s="196">
        <v>267</v>
      </c>
      <c r="E886" s="196">
        <v>39.435000000000002</v>
      </c>
      <c r="F886" s="196">
        <v>7.5999999999999998E-2</v>
      </c>
      <c r="G886" s="196">
        <v>14.776999999999999</v>
      </c>
      <c r="H886" s="196">
        <v>114.31699999999999</v>
      </c>
      <c r="I886" s="196">
        <v>302.79199999999997</v>
      </c>
      <c r="J886" s="196">
        <v>15.535</v>
      </c>
      <c r="K886" s="196">
        <v>1.4</v>
      </c>
      <c r="L886" s="200">
        <v>886</v>
      </c>
      <c r="M886" s="200">
        <v>2</v>
      </c>
      <c r="N886" s="200">
        <v>7</v>
      </c>
    </row>
    <row r="887" spans="1:14" x14ac:dyDescent="0.25">
      <c r="A887" s="198" t="s">
        <v>2240</v>
      </c>
      <c r="B887" s="198" t="s">
        <v>8607</v>
      </c>
      <c r="C887" s="198">
        <v>0</v>
      </c>
      <c r="D887" s="196">
        <v>116</v>
      </c>
      <c r="E887" s="196">
        <v>39.439</v>
      </c>
      <c r="F887" s="196">
        <v>0.19800000000000001</v>
      </c>
      <c r="G887" s="196">
        <v>9.65</v>
      </c>
      <c r="H887" s="196">
        <v>92.72</v>
      </c>
      <c r="I887" s="196">
        <v>96.3</v>
      </c>
      <c r="J887" s="196">
        <v>50.35</v>
      </c>
      <c r="K887" s="196"/>
      <c r="L887" s="200">
        <v>887</v>
      </c>
      <c r="M887" s="200">
        <v>2</v>
      </c>
      <c r="N887" s="200">
        <v>7</v>
      </c>
    </row>
    <row r="888" spans="1:14" x14ac:dyDescent="0.25">
      <c r="A888" s="198" t="s">
        <v>2240</v>
      </c>
      <c r="B888" s="198" t="s">
        <v>8608</v>
      </c>
      <c r="C888" s="198">
        <v>0</v>
      </c>
      <c r="D888" s="196">
        <v>232</v>
      </c>
      <c r="E888" s="196">
        <v>39.447000000000003</v>
      </c>
      <c r="F888" s="196">
        <v>7.5999999999999998E-2</v>
      </c>
      <c r="G888" s="196">
        <v>19.388000000000002</v>
      </c>
      <c r="H888" s="196">
        <v>318.88299999999998</v>
      </c>
      <c r="I888" s="196">
        <v>146.261</v>
      </c>
      <c r="J888" s="196">
        <v>214.922</v>
      </c>
      <c r="K888" s="196"/>
      <c r="L888" s="200">
        <v>888</v>
      </c>
      <c r="M888" s="200">
        <v>2</v>
      </c>
      <c r="N888" s="200">
        <v>7</v>
      </c>
    </row>
    <row r="889" spans="1:14" x14ac:dyDescent="0.25">
      <c r="A889" s="198" t="s">
        <v>2240</v>
      </c>
      <c r="B889" s="198" t="s">
        <v>8609</v>
      </c>
      <c r="C889" s="198">
        <v>0</v>
      </c>
      <c r="D889" s="196">
        <v>151</v>
      </c>
      <c r="E889" s="196">
        <v>39.451999999999998</v>
      </c>
      <c r="F889" s="196">
        <v>0.156</v>
      </c>
      <c r="G889" s="196">
        <v>7.843</v>
      </c>
      <c r="H889" s="196">
        <v>126.9</v>
      </c>
      <c r="I889" s="196">
        <v>43.006</v>
      </c>
      <c r="J889" s="196">
        <v>173.8</v>
      </c>
      <c r="K889" s="196"/>
      <c r="L889" s="200">
        <v>889</v>
      </c>
      <c r="M889" s="200">
        <v>2</v>
      </c>
      <c r="N889" s="200">
        <v>7</v>
      </c>
    </row>
    <row r="890" spans="1:14" x14ac:dyDescent="0.25">
      <c r="A890" s="198" t="s">
        <v>2240</v>
      </c>
      <c r="B890" s="198" t="s">
        <v>8610</v>
      </c>
      <c r="C890" s="198">
        <v>0</v>
      </c>
      <c r="D890" s="196">
        <v>91</v>
      </c>
      <c r="E890" s="196">
        <v>39.468000000000004</v>
      </c>
      <c r="F890" s="196">
        <v>0.16700000000000001</v>
      </c>
      <c r="G890" s="196">
        <v>11.98</v>
      </c>
      <c r="H890" s="196">
        <v>262.06</v>
      </c>
      <c r="I890" s="196">
        <v>174.7</v>
      </c>
      <c r="J890" s="196">
        <v>108.58</v>
      </c>
      <c r="K890" s="196"/>
      <c r="L890" s="200">
        <v>890</v>
      </c>
      <c r="M890" s="200">
        <v>2</v>
      </c>
      <c r="N890" s="200">
        <v>7</v>
      </c>
    </row>
    <row r="891" spans="1:14" x14ac:dyDescent="0.25">
      <c r="A891" s="198" t="s">
        <v>2240</v>
      </c>
      <c r="B891" s="198" t="s">
        <v>2344</v>
      </c>
      <c r="C891" s="198">
        <v>2</v>
      </c>
      <c r="D891" s="196">
        <v>136</v>
      </c>
      <c r="E891" s="196">
        <v>39.47</v>
      </c>
      <c r="F891" s="196">
        <v>0.22600000000000001</v>
      </c>
      <c r="G891" s="196">
        <v>8.423</v>
      </c>
      <c r="H891" s="196">
        <v>294.42399999999998</v>
      </c>
      <c r="I891" s="196">
        <v>97.02</v>
      </c>
      <c r="J891" s="196">
        <v>8.5470000000000006</v>
      </c>
      <c r="K891" s="196"/>
      <c r="L891" s="200">
        <v>891</v>
      </c>
      <c r="M891" s="200">
        <v>1</v>
      </c>
      <c r="N891" s="200">
        <v>7</v>
      </c>
    </row>
    <row r="892" spans="1:14" x14ac:dyDescent="0.25">
      <c r="A892" s="198" t="s">
        <v>32</v>
      </c>
      <c r="B892" s="198" t="s">
        <v>2350</v>
      </c>
      <c r="C892" s="198"/>
      <c r="D892" s="196">
        <v>126</v>
      </c>
      <c r="E892" s="196"/>
      <c r="F892" s="196"/>
      <c r="G892" s="196"/>
      <c r="H892" s="196"/>
      <c r="I892" s="196"/>
      <c r="J892" s="196"/>
      <c r="K892" s="196"/>
      <c r="L892" s="200">
        <v>892</v>
      </c>
      <c r="M892" s="200">
        <v>1</v>
      </c>
      <c r="N892" s="200">
        <v>28</v>
      </c>
    </row>
    <row r="893" spans="1:14" x14ac:dyDescent="0.25">
      <c r="A893" s="198" t="s">
        <v>32</v>
      </c>
      <c r="B893" s="198" t="s">
        <v>2353</v>
      </c>
      <c r="C893" s="198"/>
      <c r="D893" s="196">
        <v>66</v>
      </c>
      <c r="E893" s="196"/>
      <c r="F893" s="196"/>
      <c r="G893" s="196"/>
      <c r="H893" s="196"/>
      <c r="I893" s="196"/>
      <c r="J893" s="196"/>
      <c r="K893" s="196"/>
      <c r="L893" s="200">
        <v>893</v>
      </c>
      <c r="M893" s="200">
        <v>1</v>
      </c>
      <c r="N893" s="200">
        <v>28</v>
      </c>
    </row>
    <row r="894" spans="1:14" x14ac:dyDescent="0.25">
      <c r="A894" s="198" t="s">
        <v>2240</v>
      </c>
      <c r="B894" s="198" t="s">
        <v>8611</v>
      </c>
      <c r="C894" s="198">
        <v>0</v>
      </c>
      <c r="D894" s="196">
        <v>138</v>
      </c>
      <c r="E894" s="196">
        <v>39.47</v>
      </c>
      <c r="F894" s="196">
        <v>7.0000000000000007E-2</v>
      </c>
      <c r="G894" s="196">
        <v>22.8</v>
      </c>
      <c r="H894" s="196">
        <v>278.10000000000002</v>
      </c>
      <c r="I894" s="196">
        <v>53.6</v>
      </c>
      <c r="J894" s="196">
        <v>93.6</v>
      </c>
      <c r="K894" s="196"/>
      <c r="L894" s="200">
        <v>894</v>
      </c>
      <c r="M894" s="200">
        <v>2</v>
      </c>
      <c r="N894" s="200">
        <v>7</v>
      </c>
    </row>
    <row r="895" spans="1:14" x14ac:dyDescent="0.25">
      <c r="A895" s="198" t="s">
        <v>2240</v>
      </c>
      <c r="B895" s="198" t="s">
        <v>7483</v>
      </c>
      <c r="C895" s="198">
        <v>0</v>
      </c>
      <c r="D895" s="196">
        <v>76</v>
      </c>
      <c r="E895" s="196">
        <v>39.479999999999997</v>
      </c>
      <c r="F895" s="196">
        <v>0.121</v>
      </c>
      <c r="G895" s="196">
        <v>3.8069999999999999</v>
      </c>
      <c r="H895" s="196">
        <v>101.89</v>
      </c>
      <c r="I895" s="196">
        <v>144.69</v>
      </c>
      <c r="J895" s="196">
        <v>30.638000000000002</v>
      </c>
      <c r="K895" s="196"/>
      <c r="L895" s="200">
        <v>895</v>
      </c>
      <c r="M895" s="200">
        <v>1</v>
      </c>
      <c r="N895" s="200">
        <v>7</v>
      </c>
    </row>
    <row r="896" spans="1:14" x14ac:dyDescent="0.25">
      <c r="A896" s="198" t="s">
        <v>2240</v>
      </c>
      <c r="B896" s="198" t="s">
        <v>8612</v>
      </c>
      <c r="C896" s="198">
        <v>0</v>
      </c>
      <c r="D896" s="196">
        <v>118</v>
      </c>
      <c r="E896" s="196">
        <v>39.479999999999997</v>
      </c>
      <c r="F896" s="196">
        <v>0.114</v>
      </c>
      <c r="G896" s="196">
        <v>2.254</v>
      </c>
      <c r="H896" s="196">
        <v>88.09</v>
      </c>
      <c r="I896" s="196">
        <v>139.08000000000001</v>
      </c>
      <c r="J896" s="196">
        <v>37.090000000000003</v>
      </c>
      <c r="K896" s="196"/>
      <c r="L896" s="200">
        <v>896</v>
      </c>
      <c r="M896" s="200">
        <v>2</v>
      </c>
      <c r="N896" s="200">
        <v>7</v>
      </c>
    </row>
    <row r="897" spans="1:17" x14ac:dyDescent="0.25">
      <c r="A897" s="197" t="s">
        <v>2303</v>
      </c>
      <c r="B897" s="198" t="s">
        <v>2304</v>
      </c>
      <c r="C897" s="198">
        <v>5</v>
      </c>
      <c r="D897" s="196">
        <v>1188</v>
      </c>
      <c r="E897" s="196">
        <v>39.481999999999999</v>
      </c>
      <c r="F897" s="196">
        <v>0.249</v>
      </c>
      <c r="G897" s="196">
        <v>17.16</v>
      </c>
      <c r="H897" s="196">
        <v>113.834</v>
      </c>
      <c r="I897" s="196">
        <v>110.29900000000001</v>
      </c>
      <c r="J897" s="196">
        <v>14.53</v>
      </c>
      <c r="K897" s="196">
        <v>1.853</v>
      </c>
      <c r="L897" s="200">
        <v>897</v>
      </c>
      <c r="M897" s="200">
        <v>1</v>
      </c>
      <c r="N897" s="200">
        <v>2</v>
      </c>
      <c r="O897" s="194" t="s">
        <v>2304</v>
      </c>
      <c r="P897" s="194" t="s">
        <v>9590</v>
      </c>
      <c r="Q897" s="200" t="s">
        <v>8068</v>
      </c>
    </row>
    <row r="898" spans="1:17" x14ac:dyDescent="0.25">
      <c r="A898" s="198" t="s">
        <v>32</v>
      </c>
      <c r="B898" s="198" t="s">
        <v>2311</v>
      </c>
      <c r="C898" s="198"/>
      <c r="D898" s="196">
        <v>606</v>
      </c>
      <c r="E898" s="196"/>
      <c r="F898" s="196">
        <v>0</v>
      </c>
      <c r="G898" s="196">
        <v>112.783</v>
      </c>
      <c r="H898" s="196"/>
      <c r="I898" s="196"/>
      <c r="J898" s="196"/>
      <c r="K898" s="196">
        <v>1.7050000000000001</v>
      </c>
      <c r="L898" s="200">
        <v>898</v>
      </c>
      <c r="M898" s="200">
        <v>1</v>
      </c>
      <c r="N898" s="200">
        <v>4</v>
      </c>
    </row>
    <row r="899" spans="1:17" x14ac:dyDescent="0.25">
      <c r="A899" s="198" t="s">
        <v>32</v>
      </c>
      <c r="B899" s="198" t="s">
        <v>2315</v>
      </c>
      <c r="C899" s="198"/>
      <c r="D899" s="196">
        <v>8</v>
      </c>
      <c r="E899" s="196"/>
      <c r="F899" s="196">
        <v>6.0000000000000001E-3</v>
      </c>
      <c r="G899" s="196"/>
      <c r="H899" s="196"/>
      <c r="I899" s="196"/>
      <c r="J899" s="196"/>
      <c r="K899" s="196"/>
      <c r="L899" s="200">
        <v>899</v>
      </c>
      <c r="M899" s="200">
        <v>1</v>
      </c>
      <c r="N899" s="200">
        <v>27</v>
      </c>
    </row>
    <row r="900" spans="1:17" x14ac:dyDescent="0.25">
      <c r="A900" s="198" t="s">
        <v>32</v>
      </c>
      <c r="B900" s="198" t="s">
        <v>2317</v>
      </c>
      <c r="C900" s="198"/>
      <c r="D900" s="196">
        <v>25</v>
      </c>
      <c r="E900" s="196"/>
      <c r="F900" s="196">
        <v>2E-3</v>
      </c>
      <c r="G900" s="196"/>
      <c r="H900" s="196"/>
      <c r="I900" s="196"/>
      <c r="J900" s="196"/>
      <c r="K900" s="196">
        <v>1.0309999999999999</v>
      </c>
      <c r="L900" s="200">
        <v>900</v>
      </c>
      <c r="M900" s="200">
        <v>1</v>
      </c>
      <c r="N900" s="200">
        <v>27</v>
      </c>
    </row>
    <row r="901" spans="1:17" x14ac:dyDescent="0.25">
      <c r="A901" s="198" t="s">
        <v>32</v>
      </c>
      <c r="B901" s="198" t="s">
        <v>2319</v>
      </c>
      <c r="C901" s="198"/>
      <c r="D901" s="196">
        <v>10</v>
      </c>
      <c r="E901" s="196"/>
      <c r="F901" s="196">
        <v>3.0000000000000001E-3</v>
      </c>
      <c r="G901" s="196"/>
      <c r="H901" s="196"/>
      <c r="I901" s="196"/>
      <c r="J901" s="196"/>
      <c r="K901" s="196"/>
      <c r="L901" s="200">
        <v>901</v>
      </c>
      <c r="M901" s="200">
        <v>1</v>
      </c>
      <c r="N901" s="200">
        <v>27</v>
      </c>
    </row>
    <row r="902" spans="1:17" x14ac:dyDescent="0.25">
      <c r="A902" s="198" t="s">
        <v>32</v>
      </c>
      <c r="B902" s="198" t="s">
        <v>2321</v>
      </c>
      <c r="C902" s="198"/>
      <c r="D902" s="196">
        <v>26</v>
      </c>
      <c r="E902" s="196"/>
      <c r="F902" s="196">
        <v>6.0000000000000001E-3</v>
      </c>
      <c r="G902" s="196"/>
      <c r="H902" s="196"/>
      <c r="I902" s="196"/>
      <c r="J902" s="196"/>
      <c r="K902" s="196">
        <v>1.22</v>
      </c>
      <c r="L902" s="200">
        <v>902</v>
      </c>
      <c r="M902" s="200">
        <v>1</v>
      </c>
      <c r="N902" s="200">
        <v>27</v>
      </c>
    </row>
    <row r="903" spans="1:17" x14ac:dyDescent="0.25">
      <c r="A903" s="198" t="s">
        <v>2240</v>
      </c>
      <c r="B903" s="198" t="s">
        <v>8613</v>
      </c>
      <c r="C903" s="198">
        <v>0</v>
      </c>
      <c r="D903" s="196">
        <v>111</v>
      </c>
      <c r="E903" s="196">
        <v>39.515000000000001</v>
      </c>
      <c r="F903" s="196">
        <v>0.16900000000000001</v>
      </c>
      <c r="G903" s="196">
        <v>2.7810000000000001</v>
      </c>
      <c r="H903" s="196">
        <v>54.43</v>
      </c>
      <c r="I903" s="196">
        <v>44.32</v>
      </c>
      <c r="J903" s="196">
        <v>129.9</v>
      </c>
      <c r="K903" s="196"/>
      <c r="L903" s="200">
        <v>903</v>
      </c>
      <c r="M903" s="200">
        <v>2</v>
      </c>
      <c r="N903" s="200">
        <v>7</v>
      </c>
    </row>
    <row r="904" spans="1:17" x14ac:dyDescent="0.25">
      <c r="A904" s="198" t="s">
        <v>2240</v>
      </c>
      <c r="B904" s="198" t="s">
        <v>8614</v>
      </c>
      <c r="C904" s="198">
        <v>0</v>
      </c>
      <c r="D904" s="196">
        <v>53</v>
      </c>
      <c r="E904" s="196">
        <v>39.533999999999999</v>
      </c>
      <c r="F904" s="196">
        <v>0.24</v>
      </c>
      <c r="G904" s="196">
        <v>23.518999999999998</v>
      </c>
      <c r="H904" s="196">
        <v>309.65899999999999</v>
      </c>
      <c r="I904" s="196">
        <v>102.315</v>
      </c>
      <c r="J904" s="196">
        <v>357.92500000000001</v>
      </c>
      <c r="K904" s="196"/>
      <c r="L904" s="200">
        <v>904</v>
      </c>
      <c r="M904" s="200">
        <v>2</v>
      </c>
      <c r="N904" s="200">
        <v>7</v>
      </c>
    </row>
    <row r="905" spans="1:17" x14ac:dyDescent="0.25">
      <c r="A905" s="198" t="s">
        <v>2240</v>
      </c>
      <c r="B905" s="198" t="s">
        <v>8615</v>
      </c>
      <c r="C905" s="198">
        <v>0</v>
      </c>
      <c r="D905" s="196">
        <v>126</v>
      </c>
      <c r="E905" s="196">
        <v>39.534999999999997</v>
      </c>
      <c r="F905" s="196">
        <v>0.30099999999999999</v>
      </c>
      <c r="G905" s="196">
        <v>12.433</v>
      </c>
      <c r="H905" s="196">
        <v>101.59</v>
      </c>
      <c r="I905" s="196">
        <v>222.53</v>
      </c>
      <c r="J905" s="196">
        <v>309.05</v>
      </c>
      <c r="K905" s="196"/>
      <c r="L905" s="200">
        <v>905</v>
      </c>
      <c r="M905" s="200">
        <v>2</v>
      </c>
      <c r="N905" s="200">
        <v>7</v>
      </c>
    </row>
    <row r="906" spans="1:17" x14ac:dyDescent="0.25">
      <c r="A906" s="198" t="s">
        <v>2240</v>
      </c>
      <c r="B906" s="198" t="s">
        <v>8616</v>
      </c>
      <c r="C906" s="198">
        <v>0</v>
      </c>
      <c r="D906" s="196">
        <v>158</v>
      </c>
      <c r="E906" s="196">
        <v>39.549999999999997</v>
      </c>
      <c r="F906" s="196">
        <v>0.22</v>
      </c>
      <c r="G906" s="196">
        <v>5.27</v>
      </c>
      <c r="H906" s="196">
        <v>260.5</v>
      </c>
      <c r="I906" s="196">
        <v>73.66</v>
      </c>
      <c r="J906" s="196">
        <v>176.2</v>
      </c>
      <c r="K906" s="196"/>
      <c r="L906" s="200">
        <v>906</v>
      </c>
      <c r="M906" s="200">
        <v>2</v>
      </c>
      <c r="N906" s="200">
        <v>7</v>
      </c>
    </row>
    <row r="907" spans="1:17" x14ac:dyDescent="0.25">
      <c r="A907" s="198" t="s">
        <v>2240</v>
      </c>
      <c r="B907" s="198" t="s">
        <v>8617</v>
      </c>
      <c r="C907" s="198">
        <v>0</v>
      </c>
      <c r="D907" s="196">
        <v>110</v>
      </c>
      <c r="E907" s="196">
        <v>39.549999999999997</v>
      </c>
      <c r="F907" s="196">
        <v>0.27100000000000002</v>
      </c>
      <c r="G907" s="196">
        <v>4.91</v>
      </c>
      <c r="H907" s="196">
        <v>108.44</v>
      </c>
      <c r="I907" s="196">
        <v>8.4</v>
      </c>
      <c r="J907" s="196">
        <v>310.8</v>
      </c>
      <c r="K907" s="196"/>
      <c r="L907" s="200">
        <v>907</v>
      </c>
      <c r="M907" s="200">
        <v>2</v>
      </c>
      <c r="N907" s="200">
        <v>7</v>
      </c>
    </row>
    <row r="908" spans="1:17" x14ac:dyDescent="0.25">
      <c r="A908" s="198" t="s">
        <v>2240</v>
      </c>
      <c r="B908" s="198" t="s">
        <v>8618</v>
      </c>
      <c r="C908" s="198">
        <v>0</v>
      </c>
      <c r="D908" s="196">
        <v>166</v>
      </c>
      <c r="E908" s="196">
        <v>39.554000000000002</v>
      </c>
      <c r="F908" s="196">
        <v>0.112</v>
      </c>
      <c r="G908" s="196">
        <v>18.09</v>
      </c>
      <c r="H908" s="196">
        <v>108.58</v>
      </c>
      <c r="I908" s="196">
        <v>106.67</v>
      </c>
      <c r="J908" s="196">
        <v>282</v>
      </c>
      <c r="K908" s="196"/>
      <c r="L908" s="200">
        <v>908</v>
      </c>
      <c r="M908" s="200">
        <v>2</v>
      </c>
      <c r="N908" s="200">
        <v>7</v>
      </c>
    </row>
    <row r="909" spans="1:17" x14ac:dyDescent="0.25">
      <c r="A909" s="198" t="s">
        <v>2240</v>
      </c>
      <c r="B909" s="198" t="s">
        <v>8619</v>
      </c>
      <c r="C909" s="198">
        <v>0</v>
      </c>
      <c r="D909" s="196">
        <v>131</v>
      </c>
      <c r="E909" s="196">
        <v>39.57</v>
      </c>
      <c r="F909" s="196">
        <v>0.26700000000000002</v>
      </c>
      <c r="G909" s="196">
        <v>14.07</v>
      </c>
      <c r="H909" s="196">
        <v>159.56</v>
      </c>
      <c r="I909" s="196">
        <v>132</v>
      </c>
      <c r="J909" s="196">
        <v>5.71</v>
      </c>
      <c r="K909" s="196"/>
      <c r="L909" s="200">
        <v>909</v>
      </c>
      <c r="M909" s="200">
        <v>2</v>
      </c>
      <c r="N909" s="200">
        <v>7</v>
      </c>
    </row>
    <row r="910" spans="1:17" x14ac:dyDescent="0.25">
      <c r="A910" s="198" t="s">
        <v>2240</v>
      </c>
      <c r="B910" s="198" t="s">
        <v>8620</v>
      </c>
      <c r="C910" s="198">
        <v>0</v>
      </c>
      <c r="D910" s="196">
        <v>265</v>
      </c>
      <c r="E910" s="196">
        <v>39.588999999999999</v>
      </c>
      <c r="F910" s="196">
        <v>2.5000000000000001E-2</v>
      </c>
      <c r="G910" s="196">
        <v>18.129000000000001</v>
      </c>
      <c r="H910" s="196">
        <v>4.7050000000000001</v>
      </c>
      <c r="I910" s="196">
        <v>64.584000000000003</v>
      </c>
      <c r="J910" s="196">
        <v>177.14</v>
      </c>
      <c r="K910" s="196"/>
      <c r="L910" s="200">
        <v>910</v>
      </c>
      <c r="M910" s="200">
        <v>2</v>
      </c>
      <c r="N910" s="200">
        <v>7</v>
      </c>
    </row>
    <row r="911" spans="1:17" x14ac:dyDescent="0.25">
      <c r="A911" s="198" t="s">
        <v>2240</v>
      </c>
      <c r="B911" s="198" t="s">
        <v>8621</v>
      </c>
      <c r="C911" s="198">
        <v>0</v>
      </c>
      <c r="D911" s="196">
        <v>238</v>
      </c>
      <c r="E911" s="196">
        <v>39.590000000000003</v>
      </c>
      <c r="F911" s="196">
        <v>0.09</v>
      </c>
      <c r="G911" s="196">
        <v>15.39</v>
      </c>
      <c r="H911" s="196">
        <v>299.8</v>
      </c>
      <c r="I911" s="196">
        <v>119.14</v>
      </c>
      <c r="J911" s="196">
        <v>243.4</v>
      </c>
      <c r="K911" s="196"/>
      <c r="L911" s="200">
        <v>911</v>
      </c>
      <c r="M911" s="200">
        <v>2</v>
      </c>
      <c r="N911" s="200">
        <v>7</v>
      </c>
    </row>
    <row r="912" spans="1:17" x14ac:dyDescent="0.25">
      <c r="A912" s="198" t="s">
        <v>2240</v>
      </c>
      <c r="B912" s="198" t="s">
        <v>8622</v>
      </c>
      <c r="C912" s="198">
        <v>0</v>
      </c>
      <c r="D912" s="196">
        <v>133</v>
      </c>
      <c r="E912" s="196">
        <v>39.590000000000003</v>
      </c>
      <c r="F912" s="196">
        <v>0.22700000000000001</v>
      </c>
      <c r="G912" s="196">
        <v>8.11</v>
      </c>
      <c r="H912" s="196">
        <v>352.1</v>
      </c>
      <c r="I912" s="196">
        <v>326.52</v>
      </c>
      <c r="J912" s="196">
        <v>190</v>
      </c>
      <c r="K912" s="196"/>
      <c r="L912" s="200">
        <v>912</v>
      </c>
      <c r="M912" s="200">
        <v>2</v>
      </c>
      <c r="N912" s="200">
        <v>7</v>
      </c>
    </row>
    <row r="913" spans="1:14" x14ac:dyDescent="0.25">
      <c r="A913" s="198" t="s">
        <v>2240</v>
      </c>
      <c r="B913" s="198" t="s">
        <v>8623</v>
      </c>
      <c r="C913" s="198">
        <v>0</v>
      </c>
      <c r="D913" s="196">
        <v>141</v>
      </c>
      <c r="E913" s="196">
        <v>39.606999999999999</v>
      </c>
      <c r="F913" s="196">
        <v>0.14599999999999999</v>
      </c>
      <c r="G913" s="196">
        <v>11.587999999999999</v>
      </c>
      <c r="H913" s="196">
        <v>76.48</v>
      </c>
      <c r="I913" s="196">
        <v>146.54</v>
      </c>
      <c r="J913" s="196">
        <v>171.64</v>
      </c>
      <c r="K913" s="196"/>
      <c r="L913" s="200">
        <v>913</v>
      </c>
      <c r="M913" s="200">
        <v>2</v>
      </c>
      <c r="N913" s="200">
        <v>7</v>
      </c>
    </row>
    <row r="914" spans="1:14" x14ac:dyDescent="0.25">
      <c r="A914" s="198" t="s">
        <v>2240</v>
      </c>
      <c r="B914" s="198" t="s">
        <v>8624</v>
      </c>
      <c r="C914" s="198">
        <v>0</v>
      </c>
      <c r="D914" s="196">
        <v>124</v>
      </c>
      <c r="E914" s="196">
        <v>39.615000000000002</v>
      </c>
      <c r="F914" s="196">
        <v>0.13600000000000001</v>
      </c>
      <c r="G914" s="196">
        <v>12.385</v>
      </c>
      <c r="H914" s="196">
        <v>101.02</v>
      </c>
      <c r="I914" s="196">
        <v>61.999000000000002</v>
      </c>
      <c r="J914" s="196">
        <v>52.901000000000003</v>
      </c>
      <c r="K914" s="196"/>
      <c r="L914" s="200">
        <v>914</v>
      </c>
      <c r="M914" s="200">
        <v>2</v>
      </c>
      <c r="N914" s="200">
        <v>7</v>
      </c>
    </row>
    <row r="915" spans="1:14" x14ac:dyDescent="0.25">
      <c r="A915" s="198" t="s">
        <v>2240</v>
      </c>
      <c r="B915" s="198" t="s">
        <v>8625</v>
      </c>
      <c r="C915" s="198">
        <v>0</v>
      </c>
      <c r="D915" s="196">
        <v>263</v>
      </c>
      <c r="E915" s="196">
        <v>39.631</v>
      </c>
      <c r="F915" s="196">
        <v>0.20699999999999999</v>
      </c>
      <c r="G915" s="196">
        <v>13.654</v>
      </c>
      <c r="H915" s="196">
        <v>215.37</v>
      </c>
      <c r="I915" s="196">
        <v>218.53</v>
      </c>
      <c r="J915" s="196">
        <v>251.02</v>
      </c>
      <c r="K915" s="196"/>
      <c r="L915" s="200">
        <v>915</v>
      </c>
      <c r="M915" s="200">
        <v>2</v>
      </c>
      <c r="N915" s="200">
        <v>7</v>
      </c>
    </row>
    <row r="916" spans="1:14" x14ac:dyDescent="0.25">
      <c r="A916" s="198" t="s">
        <v>2240</v>
      </c>
      <c r="B916" s="198" t="s">
        <v>8626</v>
      </c>
      <c r="C916" s="198">
        <v>0</v>
      </c>
      <c r="D916" s="196">
        <v>119</v>
      </c>
      <c r="E916" s="196">
        <v>39.64</v>
      </c>
      <c r="F916" s="196">
        <v>0.17100000000000001</v>
      </c>
      <c r="G916" s="196">
        <v>8.84</v>
      </c>
      <c r="H916" s="196">
        <v>201</v>
      </c>
      <c r="I916" s="196">
        <v>251.17</v>
      </c>
      <c r="J916" s="196">
        <v>93</v>
      </c>
      <c r="K916" s="196"/>
      <c r="L916" s="200">
        <v>916</v>
      </c>
      <c r="M916" s="200">
        <v>2</v>
      </c>
      <c r="N916" s="200">
        <v>7</v>
      </c>
    </row>
    <row r="917" spans="1:14" x14ac:dyDescent="0.25">
      <c r="A917" s="198" t="s">
        <v>2240</v>
      </c>
      <c r="B917" s="198" t="s">
        <v>8627</v>
      </c>
      <c r="C917" s="198">
        <v>0</v>
      </c>
      <c r="D917" s="196">
        <v>130</v>
      </c>
      <c r="E917" s="196">
        <v>39.659999999999997</v>
      </c>
      <c r="F917" s="196">
        <v>0.153</v>
      </c>
      <c r="G917" s="196">
        <v>22.81</v>
      </c>
      <c r="H917" s="196">
        <v>17.5</v>
      </c>
      <c r="I917" s="196">
        <v>334.53</v>
      </c>
      <c r="J917" s="196">
        <v>146.1</v>
      </c>
      <c r="K917" s="196"/>
      <c r="L917" s="200">
        <v>917</v>
      </c>
      <c r="M917" s="200">
        <v>2</v>
      </c>
      <c r="N917" s="200">
        <v>7</v>
      </c>
    </row>
    <row r="918" spans="1:14" x14ac:dyDescent="0.25">
      <c r="A918" s="198" t="s">
        <v>2240</v>
      </c>
      <c r="B918" s="198" t="s">
        <v>2378</v>
      </c>
      <c r="C918" s="198">
        <v>1</v>
      </c>
      <c r="D918" s="196">
        <v>233</v>
      </c>
      <c r="E918" s="196">
        <v>39.694000000000003</v>
      </c>
      <c r="F918" s="196">
        <v>0.28100000000000003</v>
      </c>
      <c r="G918" s="196">
        <v>15.474</v>
      </c>
      <c r="H918" s="196">
        <v>68.484999999999999</v>
      </c>
      <c r="I918" s="196">
        <v>169.42</v>
      </c>
      <c r="J918" s="196">
        <v>8.0380000000000003</v>
      </c>
      <c r="K918" s="196">
        <v>1.073</v>
      </c>
      <c r="L918" s="200">
        <v>918</v>
      </c>
      <c r="M918" s="200">
        <v>1</v>
      </c>
      <c r="N918" s="200">
        <v>7</v>
      </c>
    </row>
    <row r="919" spans="1:14" x14ac:dyDescent="0.25">
      <c r="A919" s="198" t="s">
        <v>32</v>
      </c>
      <c r="B919" s="198" t="s">
        <v>2385</v>
      </c>
      <c r="C919" s="198"/>
      <c r="D919" s="196">
        <v>107</v>
      </c>
      <c r="E919" s="196"/>
      <c r="F919" s="196"/>
      <c r="G919" s="196"/>
      <c r="H919" s="196"/>
      <c r="I919" s="196"/>
      <c r="J919" s="196"/>
      <c r="K919" s="196">
        <v>0.5</v>
      </c>
      <c r="L919" s="200">
        <v>919</v>
      </c>
      <c r="M919" s="200">
        <v>3</v>
      </c>
      <c r="N919" s="200">
        <v>28</v>
      </c>
    </row>
    <row r="920" spans="1:14" x14ac:dyDescent="0.25">
      <c r="A920" s="198" t="s">
        <v>2240</v>
      </c>
      <c r="B920" s="198" t="s">
        <v>8628</v>
      </c>
      <c r="C920" s="198">
        <v>0</v>
      </c>
      <c r="D920" s="196">
        <v>141</v>
      </c>
      <c r="E920" s="196">
        <v>39.706000000000003</v>
      </c>
      <c r="F920" s="196">
        <v>0.187</v>
      </c>
      <c r="G920" s="196">
        <v>22.8</v>
      </c>
      <c r="H920" s="196">
        <v>214.36</v>
      </c>
      <c r="I920" s="196">
        <v>350.09</v>
      </c>
      <c r="J920" s="196">
        <v>185.14</v>
      </c>
      <c r="K920" s="196"/>
      <c r="L920" s="200">
        <v>920</v>
      </c>
      <c r="M920" s="200">
        <v>2</v>
      </c>
      <c r="N920" s="200">
        <v>7</v>
      </c>
    </row>
    <row r="921" spans="1:14" x14ac:dyDescent="0.25">
      <c r="A921" s="198" t="s">
        <v>2240</v>
      </c>
      <c r="B921" s="198" t="s">
        <v>8629</v>
      </c>
      <c r="C921" s="198">
        <v>0</v>
      </c>
      <c r="D921" s="196">
        <v>184</v>
      </c>
      <c r="E921" s="196">
        <v>39.72</v>
      </c>
      <c r="F921" s="196">
        <v>0.125</v>
      </c>
      <c r="G921" s="196">
        <v>20.76</v>
      </c>
      <c r="H921" s="196">
        <v>343.1</v>
      </c>
      <c r="I921" s="196">
        <v>185.17</v>
      </c>
      <c r="J921" s="196">
        <v>62.9</v>
      </c>
      <c r="K921" s="196"/>
      <c r="L921" s="200">
        <v>921</v>
      </c>
      <c r="M921" s="200">
        <v>2</v>
      </c>
      <c r="N921" s="200">
        <v>7</v>
      </c>
    </row>
    <row r="922" spans="1:14" x14ac:dyDescent="0.25">
      <c r="A922" s="198" t="s">
        <v>2240</v>
      </c>
      <c r="B922" s="198" t="s">
        <v>8630</v>
      </c>
      <c r="C922" s="198">
        <v>0</v>
      </c>
      <c r="D922" s="196">
        <v>116</v>
      </c>
      <c r="E922" s="196">
        <v>39.725999999999999</v>
      </c>
      <c r="F922" s="196">
        <v>0.192</v>
      </c>
      <c r="G922" s="196">
        <v>4.4660000000000002</v>
      </c>
      <c r="H922" s="196">
        <v>10.701000000000001</v>
      </c>
      <c r="I922" s="196">
        <v>168.60499999999999</v>
      </c>
      <c r="J922" s="196">
        <v>290.58499999999998</v>
      </c>
      <c r="K922" s="196"/>
      <c r="L922" s="200">
        <v>922</v>
      </c>
      <c r="M922" s="200">
        <v>2</v>
      </c>
      <c r="N922" s="200">
        <v>7</v>
      </c>
    </row>
    <row r="923" spans="1:14" x14ac:dyDescent="0.25">
      <c r="A923" s="198" t="s">
        <v>2240</v>
      </c>
      <c r="B923" s="198" t="s">
        <v>8631</v>
      </c>
      <c r="C923" s="198">
        <v>0</v>
      </c>
      <c r="D923" s="196">
        <v>154</v>
      </c>
      <c r="E923" s="196">
        <v>39.747</v>
      </c>
      <c r="F923" s="196">
        <v>0.185</v>
      </c>
      <c r="G923" s="196">
        <v>9.532</v>
      </c>
      <c r="H923" s="196">
        <v>121.01</v>
      </c>
      <c r="I923" s="196">
        <v>12.912000000000001</v>
      </c>
      <c r="J923" s="196">
        <v>343.5</v>
      </c>
      <c r="K923" s="196"/>
      <c r="L923" s="200">
        <v>923</v>
      </c>
      <c r="M923" s="200">
        <v>2</v>
      </c>
      <c r="N923" s="200">
        <v>7</v>
      </c>
    </row>
    <row r="924" spans="1:14" x14ac:dyDescent="0.25">
      <c r="A924" s="198" t="s">
        <v>2240</v>
      </c>
      <c r="B924" s="198" t="s">
        <v>8632</v>
      </c>
      <c r="C924" s="198">
        <v>0</v>
      </c>
      <c r="D924" s="196">
        <v>101</v>
      </c>
      <c r="E924" s="196">
        <v>39.747</v>
      </c>
      <c r="F924" s="196">
        <v>0.218</v>
      </c>
      <c r="G924" s="196">
        <v>1.91</v>
      </c>
      <c r="H924" s="196">
        <v>169.49</v>
      </c>
      <c r="I924" s="196">
        <v>91.734999999999999</v>
      </c>
      <c r="J924" s="196">
        <v>347.185</v>
      </c>
      <c r="K924" s="196"/>
      <c r="L924" s="200">
        <v>924</v>
      </c>
      <c r="M924" s="200">
        <v>2</v>
      </c>
      <c r="N924" s="200">
        <v>7</v>
      </c>
    </row>
    <row r="925" spans="1:14" x14ac:dyDescent="0.25">
      <c r="A925" s="198" t="s">
        <v>2240</v>
      </c>
      <c r="B925" s="198" t="s">
        <v>8633</v>
      </c>
      <c r="C925" s="198">
        <v>0</v>
      </c>
      <c r="D925" s="196">
        <v>104</v>
      </c>
      <c r="E925" s="196">
        <v>39.75</v>
      </c>
      <c r="F925" s="196">
        <v>0.156</v>
      </c>
      <c r="G925" s="196">
        <v>1.77</v>
      </c>
      <c r="H925" s="196">
        <v>210.8</v>
      </c>
      <c r="I925" s="196">
        <v>24.41</v>
      </c>
      <c r="J925" s="196">
        <v>336.1</v>
      </c>
      <c r="K925" s="196"/>
      <c r="L925" s="200">
        <v>925</v>
      </c>
      <c r="M925" s="200">
        <v>2</v>
      </c>
      <c r="N925" s="200">
        <v>7</v>
      </c>
    </row>
    <row r="926" spans="1:14" x14ac:dyDescent="0.25">
      <c r="A926" s="198" t="s">
        <v>2240</v>
      </c>
      <c r="B926" s="198" t="s">
        <v>8634</v>
      </c>
      <c r="C926" s="198">
        <v>0</v>
      </c>
      <c r="D926" s="196">
        <v>85</v>
      </c>
      <c r="E926" s="196">
        <v>39.756</v>
      </c>
      <c r="F926" s="196">
        <v>0.28499999999999998</v>
      </c>
      <c r="G926" s="196">
        <v>17.489999999999998</v>
      </c>
      <c r="H926" s="196">
        <v>52.32</v>
      </c>
      <c r="I926" s="196">
        <v>222.96</v>
      </c>
      <c r="J926" s="196">
        <v>348.02</v>
      </c>
      <c r="K926" s="196"/>
      <c r="L926" s="200">
        <v>926</v>
      </c>
      <c r="M926" s="200">
        <v>2</v>
      </c>
      <c r="N926" s="200">
        <v>7</v>
      </c>
    </row>
    <row r="927" spans="1:14" x14ac:dyDescent="0.25">
      <c r="A927" s="198" t="s">
        <v>2240</v>
      </c>
      <c r="B927" s="198" t="s">
        <v>8635</v>
      </c>
      <c r="C927" s="198">
        <v>0</v>
      </c>
      <c r="D927" s="196">
        <v>146</v>
      </c>
      <c r="E927" s="196">
        <v>39.783000000000001</v>
      </c>
      <c r="F927" s="196">
        <v>0.32200000000000001</v>
      </c>
      <c r="G927" s="196">
        <v>29.234000000000002</v>
      </c>
      <c r="H927" s="196">
        <v>204.67</v>
      </c>
      <c r="I927" s="196">
        <v>25.704000000000001</v>
      </c>
      <c r="J927" s="196">
        <v>359.95</v>
      </c>
      <c r="K927" s="196"/>
      <c r="L927" s="200">
        <v>927</v>
      </c>
      <c r="M927" s="200">
        <v>2</v>
      </c>
      <c r="N927" s="200">
        <v>7</v>
      </c>
    </row>
    <row r="928" spans="1:14" x14ac:dyDescent="0.25">
      <c r="A928" s="198" t="s">
        <v>2240</v>
      </c>
      <c r="B928" s="198" t="s">
        <v>8636</v>
      </c>
      <c r="C928" s="198">
        <v>0</v>
      </c>
      <c r="D928" s="196">
        <v>182</v>
      </c>
      <c r="E928" s="196">
        <v>39.799999999999997</v>
      </c>
      <c r="F928" s="196">
        <v>4.1000000000000002E-2</v>
      </c>
      <c r="G928" s="196">
        <v>15.57</v>
      </c>
      <c r="H928" s="196">
        <v>99.61</v>
      </c>
      <c r="I928" s="196">
        <v>109.7</v>
      </c>
      <c r="J928" s="196">
        <v>233.6</v>
      </c>
      <c r="K928" s="196"/>
      <c r="L928" s="200">
        <v>928</v>
      </c>
      <c r="M928" s="200">
        <v>2</v>
      </c>
      <c r="N928" s="200">
        <v>7</v>
      </c>
    </row>
    <row r="929" spans="1:14" x14ac:dyDescent="0.25">
      <c r="A929" s="198" t="s">
        <v>2240</v>
      </c>
      <c r="B929" s="198" t="s">
        <v>2387</v>
      </c>
      <c r="C929" s="198">
        <v>0</v>
      </c>
      <c r="D929" s="196">
        <v>355</v>
      </c>
      <c r="E929" s="196">
        <v>39.802</v>
      </c>
      <c r="F929" s="196">
        <v>0.246</v>
      </c>
      <c r="G929" s="196">
        <v>19.600000000000001</v>
      </c>
      <c r="H929" s="196">
        <v>298.31400000000002</v>
      </c>
      <c r="I929" s="196">
        <v>71.010999999999996</v>
      </c>
      <c r="J929" s="196">
        <v>289.58699999999999</v>
      </c>
      <c r="K929" s="196"/>
      <c r="L929" s="200">
        <v>929</v>
      </c>
      <c r="M929" s="200">
        <v>1</v>
      </c>
      <c r="N929" s="200">
        <v>7</v>
      </c>
    </row>
    <row r="930" spans="1:14" x14ac:dyDescent="0.25">
      <c r="A930" s="198" t="s">
        <v>2240</v>
      </c>
      <c r="B930" s="198" t="s">
        <v>8637</v>
      </c>
      <c r="C930" s="198">
        <v>0</v>
      </c>
      <c r="D930" s="196">
        <v>103</v>
      </c>
      <c r="E930" s="196">
        <v>39.81</v>
      </c>
      <c r="F930" s="196">
        <v>2.9000000000000001E-2</v>
      </c>
      <c r="G930" s="196">
        <v>20.61</v>
      </c>
      <c r="H930" s="196">
        <v>317</v>
      </c>
      <c r="I930" s="196">
        <v>83.07</v>
      </c>
      <c r="J930" s="196">
        <v>352</v>
      </c>
      <c r="K930" s="196"/>
      <c r="L930" s="200">
        <v>930</v>
      </c>
      <c r="M930" s="200">
        <v>2</v>
      </c>
      <c r="N930" s="200">
        <v>7</v>
      </c>
    </row>
    <row r="931" spans="1:14" x14ac:dyDescent="0.25">
      <c r="A931" s="198" t="s">
        <v>1966</v>
      </c>
      <c r="B931" s="198" t="s">
        <v>8638</v>
      </c>
      <c r="C931" s="198">
        <v>0</v>
      </c>
      <c r="D931" s="196">
        <v>66</v>
      </c>
      <c r="E931" s="196">
        <v>39.826999999999998</v>
      </c>
      <c r="F931" s="196">
        <v>0.38</v>
      </c>
      <c r="G931" s="196">
        <v>4.6760000000000002</v>
      </c>
      <c r="H931" s="196">
        <v>290.57900000000001</v>
      </c>
      <c r="I931" s="196">
        <v>2.012</v>
      </c>
      <c r="J931" s="196">
        <v>26.337</v>
      </c>
      <c r="K931" s="196"/>
      <c r="L931" s="200">
        <v>931</v>
      </c>
      <c r="M931" s="200">
        <v>2</v>
      </c>
      <c r="N931" s="200">
        <v>6</v>
      </c>
    </row>
    <row r="932" spans="1:14" x14ac:dyDescent="0.25">
      <c r="A932" s="198" t="s">
        <v>2240</v>
      </c>
      <c r="B932" s="198" t="s">
        <v>8639</v>
      </c>
      <c r="C932" s="198">
        <v>0</v>
      </c>
      <c r="D932" s="196">
        <v>165</v>
      </c>
      <c r="E932" s="196">
        <v>39.838999999999999</v>
      </c>
      <c r="F932" s="196">
        <v>0.18099999999999999</v>
      </c>
      <c r="G932" s="196">
        <v>13.472</v>
      </c>
      <c r="H932" s="196">
        <v>106.96299999999999</v>
      </c>
      <c r="I932" s="196">
        <v>19.736999999999998</v>
      </c>
      <c r="J932" s="196">
        <v>302.77199999999999</v>
      </c>
      <c r="K932" s="196"/>
      <c r="L932" s="200">
        <v>932</v>
      </c>
      <c r="M932" s="200">
        <v>2</v>
      </c>
      <c r="N932" s="200">
        <v>7</v>
      </c>
    </row>
    <row r="933" spans="1:14" x14ac:dyDescent="0.25">
      <c r="A933" s="198" t="s">
        <v>2240</v>
      </c>
      <c r="B933" s="198" t="s">
        <v>8640</v>
      </c>
      <c r="C933" s="198">
        <v>0</v>
      </c>
      <c r="D933" s="196">
        <v>121</v>
      </c>
      <c r="E933" s="196">
        <v>39.840000000000003</v>
      </c>
      <c r="F933" s="196">
        <v>0.187</v>
      </c>
      <c r="G933" s="196">
        <v>15.54</v>
      </c>
      <c r="H933" s="196">
        <v>214.36</v>
      </c>
      <c r="I933" s="196">
        <v>152.74</v>
      </c>
      <c r="J933" s="196">
        <v>295.97000000000003</v>
      </c>
      <c r="K933" s="196"/>
      <c r="L933" s="200">
        <v>933</v>
      </c>
      <c r="M933" s="200">
        <v>2</v>
      </c>
      <c r="N933" s="200">
        <v>7</v>
      </c>
    </row>
    <row r="934" spans="1:14" x14ac:dyDescent="0.25">
      <c r="A934" s="198" t="s">
        <v>2240</v>
      </c>
      <c r="B934" s="198" t="s">
        <v>8641</v>
      </c>
      <c r="C934" s="198">
        <v>0</v>
      </c>
      <c r="D934" s="196">
        <v>106</v>
      </c>
      <c r="E934" s="196">
        <v>39.853999999999999</v>
      </c>
      <c r="F934" s="196">
        <v>7.5999999999999998E-2</v>
      </c>
      <c r="G934" s="196">
        <v>4.91</v>
      </c>
      <c r="H934" s="196">
        <v>221.7</v>
      </c>
      <c r="I934" s="196">
        <v>23.4</v>
      </c>
      <c r="J934" s="196">
        <v>342.7</v>
      </c>
      <c r="K934" s="196"/>
      <c r="L934" s="200">
        <v>934</v>
      </c>
      <c r="M934" s="200">
        <v>2</v>
      </c>
      <c r="N934" s="200">
        <v>7</v>
      </c>
    </row>
    <row r="935" spans="1:14" x14ac:dyDescent="0.25">
      <c r="A935" s="198" t="s">
        <v>1966</v>
      </c>
      <c r="B935" s="198" t="s">
        <v>8642</v>
      </c>
      <c r="C935" s="198">
        <v>0</v>
      </c>
      <c r="D935" s="196">
        <v>77</v>
      </c>
      <c r="E935" s="196">
        <v>40.219000000000001</v>
      </c>
      <c r="F935" s="196">
        <v>0.28199999999999997</v>
      </c>
      <c r="G935" s="196">
        <v>23.369</v>
      </c>
      <c r="H935" s="196">
        <v>153.56200000000001</v>
      </c>
      <c r="I935" s="196">
        <v>130.02199999999999</v>
      </c>
      <c r="J935" s="196">
        <v>44.177</v>
      </c>
      <c r="K935" s="196"/>
      <c r="L935" s="200">
        <v>935</v>
      </c>
      <c r="M935" s="200">
        <v>2</v>
      </c>
      <c r="N935" s="200">
        <v>6</v>
      </c>
    </row>
    <row r="936" spans="1:14" x14ac:dyDescent="0.25">
      <c r="A936" s="198" t="s">
        <v>2240</v>
      </c>
      <c r="B936" s="198" t="s">
        <v>8643</v>
      </c>
      <c r="C936" s="198">
        <v>0</v>
      </c>
      <c r="D936" s="196">
        <v>139</v>
      </c>
      <c r="E936" s="196">
        <v>40.229999999999997</v>
      </c>
      <c r="F936" s="196">
        <v>5.7000000000000002E-2</v>
      </c>
      <c r="G936" s="196">
        <v>27.97</v>
      </c>
      <c r="H936" s="196">
        <v>0.14199999999999999</v>
      </c>
      <c r="I936" s="196">
        <v>65.102999999999994</v>
      </c>
      <c r="J936" s="196">
        <v>305.5</v>
      </c>
      <c r="K936" s="196"/>
      <c r="L936" s="200">
        <v>936</v>
      </c>
      <c r="M936" s="200">
        <v>2</v>
      </c>
      <c r="N936" s="200">
        <v>7</v>
      </c>
    </row>
    <row r="937" spans="1:14" x14ac:dyDescent="0.25">
      <c r="A937" s="198" t="s">
        <v>2240</v>
      </c>
      <c r="B937" s="198" t="s">
        <v>8644</v>
      </c>
      <c r="C937" s="198">
        <v>0</v>
      </c>
      <c r="D937" s="196">
        <v>161</v>
      </c>
      <c r="E937" s="196">
        <v>40.253</v>
      </c>
      <c r="F937" s="196">
        <v>7.6999999999999999E-2</v>
      </c>
      <c r="G937" s="196">
        <v>25.24</v>
      </c>
      <c r="H937" s="196">
        <v>228.8</v>
      </c>
      <c r="I937" s="196">
        <v>140.04</v>
      </c>
      <c r="J937" s="196">
        <v>38.68</v>
      </c>
      <c r="K937" s="196"/>
      <c r="L937" s="200">
        <v>937</v>
      </c>
      <c r="M937" s="200">
        <v>2</v>
      </c>
      <c r="N937" s="200">
        <v>7</v>
      </c>
    </row>
    <row r="938" spans="1:14" x14ac:dyDescent="0.25">
      <c r="A938" s="198" t="s">
        <v>2240</v>
      </c>
      <c r="B938" s="198" t="s">
        <v>8645</v>
      </c>
      <c r="C938" s="198">
        <v>0</v>
      </c>
      <c r="D938" s="196">
        <v>172</v>
      </c>
      <c r="E938" s="196">
        <v>40.280999999999999</v>
      </c>
      <c r="F938" s="196">
        <v>9.1999999999999998E-2</v>
      </c>
      <c r="G938" s="196">
        <v>15.872</v>
      </c>
      <c r="H938" s="196">
        <v>63.423000000000002</v>
      </c>
      <c r="I938" s="196">
        <v>251.017</v>
      </c>
      <c r="J938" s="196">
        <v>198.024</v>
      </c>
      <c r="K938" s="196"/>
      <c r="L938" s="200">
        <v>938</v>
      </c>
      <c r="M938" s="200">
        <v>2</v>
      </c>
      <c r="N938" s="200">
        <v>7</v>
      </c>
    </row>
    <row r="939" spans="1:14" x14ac:dyDescent="0.25">
      <c r="A939" s="198" t="s">
        <v>2240</v>
      </c>
      <c r="B939" s="198" t="s">
        <v>8646</v>
      </c>
      <c r="C939" s="198">
        <v>0</v>
      </c>
      <c r="D939" s="196">
        <v>144</v>
      </c>
      <c r="E939" s="196">
        <v>40.340000000000003</v>
      </c>
      <c r="F939" s="196">
        <v>6.4000000000000001E-2</v>
      </c>
      <c r="G939" s="196">
        <v>30.372</v>
      </c>
      <c r="H939" s="196">
        <v>315</v>
      </c>
      <c r="I939" s="196">
        <v>117.59</v>
      </c>
      <c r="J939" s="196">
        <v>266</v>
      </c>
      <c r="K939" s="196"/>
      <c r="L939" s="200">
        <v>939</v>
      </c>
      <c r="M939" s="200">
        <v>2</v>
      </c>
      <c r="N939" s="200">
        <v>7</v>
      </c>
    </row>
    <row r="940" spans="1:14" x14ac:dyDescent="0.25">
      <c r="A940" s="198" t="s">
        <v>2240</v>
      </c>
      <c r="B940" s="198" t="s">
        <v>8647</v>
      </c>
      <c r="C940" s="198">
        <v>0</v>
      </c>
      <c r="D940" s="196">
        <v>105</v>
      </c>
      <c r="E940" s="196">
        <v>40.371000000000002</v>
      </c>
      <c r="F940" s="196">
        <v>2.3E-2</v>
      </c>
      <c r="G940" s="196">
        <v>16.602</v>
      </c>
      <c r="H940" s="196">
        <v>315.51</v>
      </c>
      <c r="I940" s="196">
        <v>47.67</v>
      </c>
      <c r="J940" s="196">
        <v>229.06</v>
      </c>
      <c r="K940" s="196"/>
      <c r="L940" s="200">
        <v>940</v>
      </c>
      <c r="M940" s="200">
        <v>2</v>
      </c>
      <c r="N940" s="200">
        <v>7</v>
      </c>
    </row>
    <row r="941" spans="1:14" x14ac:dyDescent="0.25">
      <c r="A941" s="198" t="s">
        <v>2240</v>
      </c>
      <c r="B941" s="198" t="s">
        <v>8648</v>
      </c>
      <c r="C941" s="198">
        <v>0</v>
      </c>
      <c r="D941" s="196">
        <v>176</v>
      </c>
      <c r="E941" s="196">
        <v>40.42</v>
      </c>
      <c r="F941" s="196">
        <v>5.5E-2</v>
      </c>
      <c r="G941" s="196">
        <v>26.18</v>
      </c>
      <c r="H941" s="196">
        <v>20.5</v>
      </c>
      <c r="I941" s="196">
        <v>320</v>
      </c>
      <c r="J941" s="196">
        <v>350.4</v>
      </c>
      <c r="K941" s="196"/>
      <c r="L941" s="200">
        <v>941</v>
      </c>
      <c r="M941" s="200">
        <v>2</v>
      </c>
      <c r="N941" s="200">
        <v>7</v>
      </c>
    </row>
    <row r="942" spans="1:14" x14ac:dyDescent="0.25">
      <c r="A942" s="198" t="s">
        <v>2240</v>
      </c>
      <c r="B942" s="198" t="s">
        <v>8649</v>
      </c>
      <c r="C942" s="198">
        <v>0</v>
      </c>
      <c r="D942" s="196">
        <v>196</v>
      </c>
      <c r="E942" s="196">
        <v>40.47</v>
      </c>
      <c r="F942" s="196">
        <v>2.3E-2</v>
      </c>
      <c r="G942" s="196">
        <v>17.16</v>
      </c>
      <c r="H942" s="196">
        <v>47.5</v>
      </c>
      <c r="I942" s="196">
        <v>130.9</v>
      </c>
      <c r="J942" s="196">
        <v>0.13200000000000001</v>
      </c>
      <c r="K942" s="196"/>
      <c r="L942" s="200">
        <v>942</v>
      </c>
      <c r="M942" s="200">
        <v>2</v>
      </c>
      <c r="N942" s="200">
        <v>7</v>
      </c>
    </row>
    <row r="943" spans="1:14" x14ac:dyDescent="0.25">
      <c r="A943" s="198" t="s">
        <v>2240</v>
      </c>
      <c r="B943" s="198" t="s">
        <v>8650</v>
      </c>
      <c r="C943" s="198">
        <v>0</v>
      </c>
      <c r="D943" s="196">
        <v>157</v>
      </c>
      <c r="E943" s="196">
        <v>40.520000000000003</v>
      </c>
      <c r="F943" s="196">
        <v>5.2999999999999999E-2</v>
      </c>
      <c r="G943" s="196">
        <v>17.43</v>
      </c>
      <c r="H943" s="196">
        <v>205.12</v>
      </c>
      <c r="I943" s="196">
        <v>1.03</v>
      </c>
      <c r="J943" s="196">
        <v>126.7</v>
      </c>
      <c r="K943" s="196"/>
      <c r="L943" s="200">
        <v>943</v>
      </c>
      <c r="M943" s="200">
        <v>2</v>
      </c>
      <c r="N943" s="200">
        <v>7</v>
      </c>
    </row>
    <row r="944" spans="1:14" x14ac:dyDescent="0.25">
      <c r="A944" s="198" t="s">
        <v>2240</v>
      </c>
      <c r="B944" s="198" t="s">
        <v>8651</v>
      </c>
      <c r="C944" s="198">
        <v>0</v>
      </c>
      <c r="D944" s="196">
        <v>116</v>
      </c>
      <c r="E944" s="196">
        <v>40.520000000000003</v>
      </c>
      <c r="F944" s="196">
        <v>7.8E-2</v>
      </c>
      <c r="G944" s="196">
        <v>19.68</v>
      </c>
      <c r="H944" s="196">
        <v>48.14</v>
      </c>
      <c r="I944" s="196">
        <v>221.49</v>
      </c>
      <c r="J944" s="196">
        <v>234.61</v>
      </c>
      <c r="K944" s="196"/>
      <c r="L944" s="200">
        <v>944</v>
      </c>
      <c r="M944" s="200">
        <v>2</v>
      </c>
      <c r="N944" s="200">
        <v>7</v>
      </c>
    </row>
    <row r="945" spans="1:14" x14ac:dyDescent="0.25">
      <c r="A945" s="198" t="s">
        <v>2240</v>
      </c>
      <c r="B945" s="198" t="s">
        <v>8652</v>
      </c>
      <c r="C945" s="198">
        <v>0</v>
      </c>
      <c r="D945" s="196">
        <v>217</v>
      </c>
      <c r="E945" s="196">
        <v>40.555</v>
      </c>
      <c r="F945" s="196">
        <v>4.7E-2</v>
      </c>
      <c r="G945" s="196">
        <v>28.63</v>
      </c>
      <c r="H945" s="196">
        <v>336</v>
      </c>
      <c r="I945" s="196">
        <v>248.16</v>
      </c>
      <c r="J945" s="196">
        <v>204.1</v>
      </c>
      <c r="K945" s="196"/>
      <c r="L945" s="200">
        <v>945</v>
      </c>
      <c r="M945" s="200">
        <v>2</v>
      </c>
      <c r="N945" s="200">
        <v>7</v>
      </c>
    </row>
    <row r="946" spans="1:14" x14ac:dyDescent="0.25">
      <c r="A946" s="198" t="s">
        <v>2240</v>
      </c>
      <c r="B946" s="198" t="s">
        <v>8653</v>
      </c>
      <c r="C946" s="198">
        <v>0</v>
      </c>
      <c r="D946" s="196">
        <v>182</v>
      </c>
      <c r="E946" s="196">
        <v>40.65</v>
      </c>
      <c r="F946" s="196">
        <v>5.0000000000000001E-3</v>
      </c>
      <c r="G946" s="196">
        <v>13.646000000000001</v>
      </c>
      <c r="H946" s="196">
        <v>85.811000000000007</v>
      </c>
      <c r="I946" s="196">
        <v>331.63499999999999</v>
      </c>
      <c r="J946" s="196">
        <v>266.69400000000002</v>
      </c>
      <c r="K946" s="196"/>
      <c r="L946" s="200">
        <v>946</v>
      </c>
      <c r="M946" s="200">
        <v>2</v>
      </c>
      <c r="N946" s="200">
        <v>7</v>
      </c>
    </row>
    <row r="947" spans="1:14" x14ac:dyDescent="0.25">
      <c r="A947" s="198" t="s">
        <v>2240</v>
      </c>
      <c r="B947" s="198" t="s">
        <v>8654</v>
      </c>
      <c r="C947" s="198">
        <v>0</v>
      </c>
      <c r="D947" s="196">
        <v>103</v>
      </c>
      <c r="E947" s="196">
        <v>40.659999999999997</v>
      </c>
      <c r="F947" s="196">
        <v>0.86699999999999999</v>
      </c>
      <c r="G947" s="196">
        <v>32.04</v>
      </c>
      <c r="H947" s="196">
        <v>106.89</v>
      </c>
      <c r="I947" s="196">
        <v>65.2</v>
      </c>
      <c r="J947" s="196">
        <v>153.28</v>
      </c>
      <c r="K947" s="196"/>
      <c r="L947" s="200">
        <v>947</v>
      </c>
      <c r="M947" s="200">
        <v>2</v>
      </c>
      <c r="N947" s="200">
        <v>7</v>
      </c>
    </row>
    <row r="948" spans="1:14" x14ac:dyDescent="0.25">
      <c r="A948" s="198" t="s">
        <v>2240</v>
      </c>
      <c r="B948" s="198" t="s">
        <v>8655</v>
      </c>
      <c r="C948" s="198">
        <v>0</v>
      </c>
      <c r="D948" s="196">
        <v>135</v>
      </c>
      <c r="E948" s="196">
        <v>40.685000000000002</v>
      </c>
      <c r="F948" s="196">
        <v>8.4000000000000005E-2</v>
      </c>
      <c r="G948" s="196">
        <v>19.332999999999998</v>
      </c>
      <c r="H948" s="196">
        <v>50.63</v>
      </c>
      <c r="I948" s="196">
        <v>200.12</v>
      </c>
      <c r="J948" s="196">
        <v>48.58</v>
      </c>
      <c r="K948" s="196"/>
      <c r="L948" s="200">
        <v>948</v>
      </c>
      <c r="M948" s="200">
        <v>2</v>
      </c>
      <c r="N948" s="200">
        <v>7</v>
      </c>
    </row>
    <row r="949" spans="1:14" x14ac:dyDescent="0.25">
      <c r="A949" s="198" t="s">
        <v>2240</v>
      </c>
      <c r="B949" s="198" t="s">
        <v>8656</v>
      </c>
      <c r="C949" s="198">
        <v>0</v>
      </c>
      <c r="D949" s="196">
        <v>159</v>
      </c>
      <c r="E949" s="196">
        <v>40.69</v>
      </c>
      <c r="F949" s="196">
        <v>9.1999999999999998E-2</v>
      </c>
      <c r="G949" s="196">
        <v>28.204999999999998</v>
      </c>
      <c r="H949" s="196">
        <v>312.98</v>
      </c>
      <c r="I949" s="196">
        <v>161.68</v>
      </c>
      <c r="J949" s="196">
        <v>337.11</v>
      </c>
      <c r="K949" s="196"/>
      <c r="L949" s="200">
        <v>949</v>
      </c>
      <c r="M949" s="200">
        <v>2</v>
      </c>
      <c r="N949" s="200">
        <v>7</v>
      </c>
    </row>
    <row r="950" spans="1:14" x14ac:dyDescent="0.25">
      <c r="A950" s="198" t="s">
        <v>2240</v>
      </c>
      <c r="B950" s="198" t="s">
        <v>8657</v>
      </c>
      <c r="C950" s="198">
        <v>0</v>
      </c>
      <c r="D950" s="196">
        <v>182</v>
      </c>
      <c r="E950" s="196">
        <v>40.700000000000003</v>
      </c>
      <c r="F950" s="196">
        <v>8.3000000000000004E-2</v>
      </c>
      <c r="G950" s="196">
        <v>19.8</v>
      </c>
      <c r="H950" s="196">
        <v>41</v>
      </c>
      <c r="I950" s="196">
        <v>68.5</v>
      </c>
      <c r="J950" s="196">
        <v>269.60000000000002</v>
      </c>
      <c r="K950" s="196"/>
      <c r="L950" s="200">
        <v>950</v>
      </c>
      <c r="M950" s="200">
        <v>2</v>
      </c>
      <c r="N950" s="200">
        <v>7</v>
      </c>
    </row>
    <row r="951" spans="1:14" x14ac:dyDescent="0.25">
      <c r="A951" s="198" t="s">
        <v>2240</v>
      </c>
      <c r="B951" s="198" t="s">
        <v>8658</v>
      </c>
      <c r="C951" s="198">
        <v>0</v>
      </c>
      <c r="D951" s="196">
        <v>159</v>
      </c>
      <c r="E951" s="196">
        <v>40.716999999999999</v>
      </c>
      <c r="F951" s="196">
        <v>4.9000000000000002E-2</v>
      </c>
      <c r="G951" s="196">
        <v>18</v>
      </c>
      <c r="H951" s="196">
        <v>50.54</v>
      </c>
      <c r="I951" s="196">
        <v>127.63500000000001</v>
      </c>
      <c r="J951" s="196">
        <v>320.3</v>
      </c>
      <c r="K951" s="196"/>
      <c r="L951" s="200">
        <v>951</v>
      </c>
      <c r="M951" s="200">
        <v>2</v>
      </c>
      <c r="N951" s="200">
        <v>7</v>
      </c>
    </row>
    <row r="952" spans="1:14" x14ac:dyDescent="0.25">
      <c r="A952" s="198" t="s">
        <v>2240</v>
      </c>
      <c r="B952" s="198" t="s">
        <v>8659</v>
      </c>
      <c r="C952" s="198">
        <v>0</v>
      </c>
      <c r="D952" s="196">
        <v>107</v>
      </c>
      <c r="E952" s="196">
        <v>40.718000000000004</v>
      </c>
      <c r="F952" s="196">
        <v>8.2000000000000003E-2</v>
      </c>
      <c r="G952" s="196">
        <v>18.481999999999999</v>
      </c>
      <c r="H952" s="196">
        <v>164.08699999999999</v>
      </c>
      <c r="I952" s="196">
        <v>257.44</v>
      </c>
      <c r="J952" s="196">
        <v>280.24099999999999</v>
      </c>
      <c r="K952" s="196"/>
      <c r="L952" s="200">
        <v>952</v>
      </c>
      <c r="M952" s="200">
        <v>2</v>
      </c>
      <c r="N952" s="200">
        <v>7</v>
      </c>
    </row>
    <row r="953" spans="1:14" x14ac:dyDescent="0.25">
      <c r="A953" s="198" t="s">
        <v>2240</v>
      </c>
      <c r="B953" s="198" t="s">
        <v>8660</v>
      </c>
      <c r="C953" s="198">
        <v>0</v>
      </c>
      <c r="D953" s="196">
        <v>134</v>
      </c>
      <c r="E953" s="196">
        <v>40.770000000000003</v>
      </c>
      <c r="F953" s="196">
        <v>8.6999999999999994E-2</v>
      </c>
      <c r="G953" s="196">
        <v>18.388000000000002</v>
      </c>
      <c r="H953" s="196">
        <v>349.17</v>
      </c>
      <c r="I953" s="196">
        <v>178.94</v>
      </c>
      <c r="J953" s="196">
        <v>271.8</v>
      </c>
      <c r="K953" s="196"/>
      <c r="L953" s="200">
        <v>953</v>
      </c>
      <c r="M953" s="200">
        <v>2</v>
      </c>
      <c r="N953" s="200">
        <v>7</v>
      </c>
    </row>
    <row r="954" spans="1:14" x14ac:dyDescent="0.25">
      <c r="A954" s="198" t="s">
        <v>2240</v>
      </c>
      <c r="B954" s="198" t="s">
        <v>8661</v>
      </c>
      <c r="C954" s="198">
        <v>0</v>
      </c>
      <c r="D954" s="196">
        <v>112</v>
      </c>
      <c r="E954" s="196">
        <v>40.79</v>
      </c>
      <c r="F954" s="196">
        <v>8.7999999999999995E-2</v>
      </c>
      <c r="G954" s="196">
        <v>34.78</v>
      </c>
      <c r="H954" s="196">
        <v>123.6</v>
      </c>
      <c r="I954" s="196">
        <v>159.16</v>
      </c>
      <c r="J954" s="196">
        <v>64.7</v>
      </c>
      <c r="K954" s="196"/>
      <c r="L954" s="200">
        <v>954</v>
      </c>
      <c r="M954" s="200">
        <v>2</v>
      </c>
      <c r="N954" s="200">
        <v>7</v>
      </c>
    </row>
    <row r="955" spans="1:14" x14ac:dyDescent="0.25">
      <c r="A955" s="198" t="s">
        <v>2240</v>
      </c>
      <c r="B955" s="198" t="s">
        <v>8662</v>
      </c>
      <c r="C955" s="198">
        <v>0</v>
      </c>
      <c r="D955" s="196">
        <v>103</v>
      </c>
      <c r="E955" s="196">
        <v>40.86</v>
      </c>
      <c r="F955" s="196">
        <v>6.4000000000000001E-2</v>
      </c>
      <c r="G955" s="196">
        <v>27.44</v>
      </c>
      <c r="H955" s="196">
        <v>70.8</v>
      </c>
      <c r="I955" s="196">
        <v>86.89</v>
      </c>
      <c r="J955" s="196">
        <v>12.85</v>
      </c>
      <c r="K955" s="196"/>
      <c r="L955" s="200">
        <v>955</v>
      </c>
      <c r="M955" s="200">
        <v>2</v>
      </c>
      <c r="N955" s="200">
        <v>7</v>
      </c>
    </row>
    <row r="956" spans="1:14" x14ac:dyDescent="0.25">
      <c r="A956" s="198" t="s">
        <v>2240</v>
      </c>
      <c r="B956" s="198" t="s">
        <v>8663</v>
      </c>
      <c r="C956" s="198">
        <v>0</v>
      </c>
      <c r="D956" s="196">
        <v>145</v>
      </c>
      <c r="E956" s="196">
        <v>40.9</v>
      </c>
      <c r="F956" s="196">
        <v>0.12</v>
      </c>
      <c r="G956" s="196">
        <v>19.52</v>
      </c>
      <c r="H956" s="196">
        <v>240</v>
      </c>
      <c r="I956" s="196">
        <v>141.29</v>
      </c>
      <c r="J956" s="196">
        <v>355</v>
      </c>
      <c r="K956" s="196"/>
      <c r="L956" s="200">
        <v>956</v>
      </c>
      <c r="M956" s="200">
        <v>2</v>
      </c>
      <c r="N956" s="200">
        <v>7</v>
      </c>
    </row>
    <row r="957" spans="1:14" x14ac:dyDescent="0.25">
      <c r="A957" s="198" t="s">
        <v>2240</v>
      </c>
      <c r="B957" s="198" t="s">
        <v>8664</v>
      </c>
      <c r="C957" s="198">
        <v>0</v>
      </c>
      <c r="D957" s="196">
        <v>102</v>
      </c>
      <c r="E957" s="196">
        <v>40.92</v>
      </c>
      <c r="F957" s="196">
        <v>0.11600000000000001</v>
      </c>
      <c r="G957" s="196">
        <v>35.15</v>
      </c>
      <c r="H957" s="196">
        <v>227.4</v>
      </c>
      <c r="I957" s="196">
        <v>232.93</v>
      </c>
      <c r="J957" s="196">
        <v>135.19999999999999</v>
      </c>
      <c r="K957" s="196"/>
      <c r="L957" s="200">
        <v>957</v>
      </c>
      <c r="M957" s="200">
        <v>2</v>
      </c>
      <c r="N957" s="200">
        <v>7</v>
      </c>
    </row>
    <row r="958" spans="1:14" x14ac:dyDescent="0.25">
      <c r="A958" s="198" t="s">
        <v>2240</v>
      </c>
      <c r="B958" s="198" t="s">
        <v>8665</v>
      </c>
      <c r="C958" s="198">
        <v>0</v>
      </c>
      <c r="D958" s="196">
        <v>168</v>
      </c>
      <c r="E958" s="196">
        <v>40.98</v>
      </c>
      <c r="F958" s="196">
        <v>0.14399999999999999</v>
      </c>
      <c r="G958" s="196">
        <v>14</v>
      </c>
      <c r="H958" s="196">
        <v>128.81</v>
      </c>
      <c r="I958" s="196">
        <v>97.14</v>
      </c>
      <c r="J958" s="196">
        <v>353.18</v>
      </c>
      <c r="K958" s="196"/>
      <c r="L958" s="200">
        <v>958</v>
      </c>
      <c r="M958" s="200">
        <v>2</v>
      </c>
      <c r="N958" s="200">
        <v>7</v>
      </c>
    </row>
    <row r="959" spans="1:14" x14ac:dyDescent="0.25">
      <c r="A959" s="198" t="s">
        <v>2240</v>
      </c>
      <c r="B959" s="198" t="s">
        <v>8666</v>
      </c>
      <c r="C959" s="198">
        <v>0</v>
      </c>
      <c r="D959" s="196">
        <v>101</v>
      </c>
      <c r="E959" s="196">
        <v>41.033000000000001</v>
      </c>
      <c r="F959" s="196">
        <v>0.246</v>
      </c>
      <c r="G959" s="196">
        <v>18.84</v>
      </c>
      <c r="H959" s="196">
        <v>127.45</v>
      </c>
      <c r="I959" s="196">
        <v>66.78</v>
      </c>
      <c r="J959" s="196">
        <v>23.89</v>
      </c>
      <c r="K959" s="196"/>
      <c r="L959" s="200">
        <v>959</v>
      </c>
      <c r="M959" s="200">
        <v>2</v>
      </c>
      <c r="N959" s="200">
        <v>7</v>
      </c>
    </row>
    <row r="960" spans="1:14" x14ac:dyDescent="0.25">
      <c r="A960" s="198" t="s">
        <v>2240</v>
      </c>
      <c r="B960" s="198" t="s">
        <v>8667</v>
      </c>
      <c r="C960" s="198">
        <v>0</v>
      </c>
      <c r="D960" s="196">
        <v>218</v>
      </c>
      <c r="E960" s="196">
        <v>41.127000000000002</v>
      </c>
      <c r="F960" s="196">
        <v>0.14099999999999999</v>
      </c>
      <c r="G960" s="196">
        <v>23.08</v>
      </c>
      <c r="H960" s="196">
        <v>140.4</v>
      </c>
      <c r="I960" s="196">
        <v>129.41999999999999</v>
      </c>
      <c r="J960" s="196">
        <v>21.5</v>
      </c>
      <c r="K960" s="196"/>
      <c r="L960" s="200">
        <v>960</v>
      </c>
      <c r="M960" s="200">
        <v>2</v>
      </c>
      <c r="N960" s="200">
        <v>7</v>
      </c>
    </row>
    <row r="961" spans="1:14" x14ac:dyDescent="0.25">
      <c r="A961" s="198" t="s">
        <v>2240</v>
      </c>
      <c r="B961" s="198" t="s">
        <v>8668</v>
      </c>
      <c r="C961" s="198">
        <v>0</v>
      </c>
      <c r="D961" s="196">
        <v>145</v>
      </c>
      <c r="E961" s="196">
        <v>41.137</v>
      </c>
      <c r="F961" s="196">
        <v>0.11</v>
      </c>
      <c r="G961" s="196">
        <v>32.752000000000002</v>
      </c>
      <c r="H961" s="196">
        <v>320.11</v>
      </c>
      <c r="I961" s="196">
        <v>123.34</v>
      </c>
      <c r="J961" s="196">
        <v>293.29000000000002</v>
      </c>
      <c r="K961" s="196"/>
      <c r="L961" s="200">
        <v>961</v>
      </c>
      <c r="M961" s="200">
        <v>2</v>
      </c>
      <c r="N961" s="200">
        <v>7</v>
      </c>
    </row>
    <row r="962" spans="1:14" x14ac:dyDescent="0.25">
      <c r="A962" s="198" t="s">
        <v>2240</v>
      </c>
      <c r="B962" s="198" t="s">
        <v>8669</v>
      </c>
      <c r="C962" s="198">
        <v>0</v>
      </c>
      <c r="D962" s="196">
        <v>104</v>
      </c>
      <c r="E962" s="196">
        <v>41.14</v>
      </c>
      <c r="F962" s="196">
        <v>0.03</v>
      </c>
      <c r="G962" s="196">
        <v>12.762</v>
      </c>
      <c r="H962" s="196">
        <v>19.2</v>
      </c>
      <c r="I962" s="196">
        <v>163.80000000000001</v>
      </c>
      <c r="J962" s="196">
        <v>185.5</v>
      </c>
      <c r="K962" s="196"/>
      <c r="L962" s="200">
        <v>962</v>
      </c>
      <c r="M962" s="200">
        <v>2</v>
      </c>
      <c r="N962" s="200">
        <v>7</v>
      </c>
    </row>
    <row r="963" spans="1:14" x14ac:dyDescent="0.25">
      <c r="A963" s="198" t="s">
        <v>2240</v>
      </c>
      <c r="B963" s="198" t="s">
        <v>8670</v>
      </c>
      <c r="C963" s="198">
        <v>0</v>
      </c>
      <c r="D963" s="196">
        <v>133</v>
      </c>
      <c r="E963" s="196">
        <v>41.145000000000003</v>
      </c>
      <c r="F963" s="196">
        <v>0.05</v>
      </c>
      <c r="G963" s="196">
        <v>18.68</v>
      </c>
      <c r="H963" s="196">
        <v>288.12</v>
      </c>
      <c r="I963" s="196">
        <v>118.58</v>
      </c>
      <c r="J963" s="196">
        <v>61.026000000000003</v>
      </c>
      <c r="K963" s="196"/>
      <c r="L963" s="200">
        <v>963</v>
      </c>
      <c r="M963" s="200">
        <v>2</v>
      </c>
      <c r="N963" s="200">
        <v>7</v>
      </c>
    </row>
    <row r="964" spans="1:14" x14ac:dyDescent="0.25">
      <c r="A964" s="198" t="s">
        <v>2240</v>
      </c>
      <c r="B964" s="198" t="s">
        <v>8671</v>
      </c>
      <c r="C964" s="198">
        <v>0</v>
      </c>
      <c r="D964" s="196">
        <v>144</v>
      </c>
      <c r="E964" s="196">
        <v>41.22</v>
      </c>
      <c r="F964" s="196">
        <v>8.4000000000000005E-2</v>
      </c>
      <c r="G964" s="196">
        <v>19.14</v>
      </c>
      <c r="H964" s="196">
        <v>304.5</v>
      </c>
      <c r="I964" s="196">
        <v>145.88999999999999</v>
      </c>
      <c r="J964" s="196">
        <v>164.8</v>
      </c>
      <c r="K964" s="196"/>
      <c r="L964" s="200">
        <v>964</v>
      </c>
      <c r="M964" s="200">
        <v>2</v>
      </c>
      <c r="N964" s="200">
        <v>7</v>
      </c>
    </row>
    <row r="965" spans="1:14" x14ac:dyDescent="0.25">
      <c r="A965" s="198" t="s">
        <v>2240</v>
      </c>
      <c r="B965" s="198" t="s">
        <v>8672</v>
      </c>
      <c r="C965" s="198">
        <v>0</v>
      </c>
      <c r="D965" s="196">
        <v>123</v>
      </c>
      <c r="E965" s="196">
        <v>41.23</v>
      </c>
      <c r="F965" s="196">
        <v>9.1999999999999998E-2</v>
      </c>
      <c r="G965" s="196">
        <v>20.22</v>
      </c>
      <c r="H965" s="196">
        <v>267.39999999999998</v>
      </c>
      <c r="I965" s="196">
        <v>66.260000000000005</v>
      </c>
      <c r="J965" s="196">
        <v>66.11</v>
      </c>
      <c r="K965" s="196"/>
      <c r="L965" s="200">
        <v>965</v>
      </c>
      <c r="M965" s="200">
        <v>2</v>
      </c>
      <c r="N965" s="200">
        <v>7</v>
      </c>
    </row>
    <row r="966" spans="1:14" x14ac:dyDescent="0.25">
      <c r="A966" s="198" t="s">
        <v>2240</v>
      </c>
      <c r="B966" s="198" t="s">
        <v>8673</v>
      </c>
      <c r="C966" s="198">
        <v>0</v>
      </c>
      <c r="D966" s="196">
        <v>174</v>
      </c>
      <c r="E966" s="196">
        <v>41.24</v>
      </c>
      <c r="F966" s="196">
        <v>0.13400000000000001</v>
      </c>
      <c r="G966" s="196">
        <v>22.95</v>
      </c>
      <c r="H966" s="196">
        <v>10.026</v>
      </c>
      <c r="I966" s="196">
        <v>276.61</v>
      </c>
      <c r="J966" s="196">
        <v>218.99</v>
      </c>
      <c r="K966" s="196"/>
      <c r="L966" s="200">
        <v>966</v>
      </c>
      <c r="M966" s="200">
        <v>2</v>
      </c>
      <c r="N966" s="200">
        <v>7</v>
      </c>
    </row>
    <row r="967" spans="1:14" x14ac:dyDescent="0.25">
      <c r="A967" s="198" t="s">
        <v>2240</v>
      </c>
      <c r="B967" s="198" t="s">
        <v>8674</v>
      </c>
      <c r="C967" s="198">
        <v>0</v>
      </c>
      <c r="D967" s="196">
        <v>183</v>
      </c>
      <c r="E967" s="196">
        <v>41.26</v>
      </c>
      <c r="F967" s="196">
        <v>0.13500000000000001</v>
      </c>
      <c r="G967" s="196">
        <v>27.812000000000001</v>
      </c>
      <c r="H967" s="196">
        <v>249.96</v>
      </c>
      <c r="I967" s="196">
        <v>236.82</v>
      </c>
      <c r="J967" s="196">
        <v>101.69</v>
      </c>
      <c r="K967" s="196"/>
      <c r="L967" s="200">
        <v>967</v>
      </c>
      <c r="M967" s="200">
        <v>2</v>
      </c>
      <c r="N967" s="200">
        <v>7</v>
      </c>
    </row>
    <row r="968" spans="1:14" x14ac:dyDescent="0.25">
      <c r="A968" s="198" t="s">
        <v>2240</v>
      </c>
      <c r="B968" s="198" t="s">
        <v>8675</v>
      </c>
      <c r="C968" s="198">
        <v>0</v>
      </c>
      <c r="D968" s="196">
        <v>138</v>
      </c>
      <c r="E968" s="196">
        <v>41.265999999999998</v>
      </c>
      <c r="F968" s="196">
        <v>0.13100000000000001</v>
      </c>
      <c r="G968" s="196">
        <v>15.13</v>
      </c>
      <c r="H968" s="196">
        <v>49.59</v>
      </c>
      <c r="I968" s="196">
        <v>184.27</v>
      </c>
      <c r="J968" s="196">
        <v>281.26</v>
      </c>
      <c r="K968" s="196"/>
      <c r="L968" s="200">
        <v>968</v>
      </c>
      <c r="M968" s="200">
        <v>2</v>
      </c>
      <c r="N968" s="200">
        <v>7</v>
      </c>
    </row>
    <row r="969" spans="1:14" x14ac:dyDescent="0.25">
      <c r="A969" s="198" t="s">
        <v>2240</v>
      </c>
      <c r="B969" s="198" t="s">
        <v>8676</v>
      </c>
      <c r="C969" s="198">
        <v>0</v>
      </c>
      <c r="D969" s="196">
        <v>111</v>
      </c>
      <c r="E969" s="196">
        <v>41.35</v>
      </c>
      <c r="F969" s="196">
        <v>0.13500000000000001</v>
      </c>
      <c r="G969" s="196">
        <v>5.35</v>
      </c>
      <c r="H969" s="196">
        <v>209.12</v>
      </c>
      <c r="I969" s="196">
        <v>335.65</v>
      </c>
      <c r="J969" s="196">
        <v>326.43</v>
      </c>
      <c r="K969" s="196"/>
      <c r="L969" s="200">
        <v>969</v>
      </c>
      <c r="M969" s="200">
        <v>2</v>
      </c>
      <c r="N969" s="200">
        <v>7</v>
      </c>
    </row>
    <row r="970" spans="1:14" x14ac:dyDescent="0.25">
      <c r="A970" s="198" t="s">
        <v>2240</v>
      </c>
      <c r="B970" s="198" t="s">
        <v>7888</v>
      </c>
      <c r="C970" s="198">
        <v>0</v>
      </c>
      <c r="D970" s="196">
        <v>340</v>
      </c>
      <c r="E970" s="196">
        <v>41.359000000000002</v>
      </c>
      <c r="F970" s="196">
        <v>1.9E-2</v>
      </c>
      <c r="G970" s="196">
        <v>19.312999999999999</v>
      </c>
      <c r="H970" s="196">
        <v>174.88</v>
      </c>
      <c r="I970" s="196">
        <v>186.93</v>
      </c>
      <c r="J970" s="196">
        <v>338.28</v>
      </c>
      <c r="K970" s="196"/>
      <c r="L970" s="200">
        <v>970</v>
      </c>
      <c r="M970" s="200">
        <v>1</v>
      </c>
      <c r="N970" s="200">
        <v>7</v>
      </c>
    </row>
    <row r="971" spans="1:14" x14ac:dyDescent="0.25">
      <c r="A971" s="198" t="s">
        <v>2240</v>
      </c>
      <c r="B971" s="198" t="s">
        <v>8677</v>
      </c>
      <c r="C971" s="198">
        <v>0</v>
      </c>
      <c r="D971" s="196">
        <v>103</v>
      </c>
      <c r="E971" s="196">
        <v>41.36</v>
      </c>
      <c r="F971" s="196">
        <v>0.106</v>
      </c>
      <c r="G971" s="196">
        <v>17.73</v>
      </c>
      <c r="H971" s="196">
        <v>157.9</v>
      </c>
      <c r="I971" s="196">
        <v>138.72</v>
      </c>
      <c r="J971" s="196">
        <v>332.12</v>
      </c>
      <c r="K971" s="196"/>
      <c r="L971" s="200">
        <v>971</v>
      </c>
      <c r="M971" s="200">
        <v>2</v>
      </c>
      <c r="N971" s="200">
        <v>7</v>
      </c>
    </row>
    <row r="972" spans="1:14" x14ac:dyDescent="0.25">
      <c r="A972" s="198" t="s">
        <v>2240</v>
      </c>
      <c r="B972" s="198" t="s">
        <v>8678</v>
      </c>
      <c r="C972" s="198">
        <v>0</v>
      </c>
      <c r="D972" s="196">
        <v>134</v>
      </c>
      <c r="E972" s="196">
        <v>41.381999999999998</v>
      </c>
      <c r="F972" s="196">
        <v>0.04</v>
      </c>
      <c r="G972" s="196">
        <v>18.984000000000002</v>
      </c>
      <c r="H972" s="196">
        <v>354.34</v>
      </c>
      <c r="I972" s="196">
        <v>209.73</v>
      </c>
      <c r="J972" s="196">
        <v>356.43</v>
      </c>
      <c r="K972" s="196"/>
      <c r="L972" s="200">
        <v>972</v>
      </c>
      <c r="M972" s="200">
        <v>2</v>
      </c>
      <c r="N972" s="200">
        <v>7</v>
      </c>
    </row>
    <row r="973" spans="1:14" x14ac:dyDescent="0.25">
      <c r="A973" s="198" t="s">
        <v>2240</v>
      </c>
      <c r="B973" s="198" t="s">
        <v>8679</v>
      </c>
      <c r="C973" s="198">
        <v>0</v>
      </c>
      <c r="D973" s="196">
        <v>107</v>
      </c>
      <c r="E973" s="196">
        <v>41.417000000000002</v>
      </c>
      <c r="F973" s="196">
        <v>0.21299999999999999</v>
      </c>
      <c r="G973" s="196">
        <v>19.085999999999999</v>
      </c>
      <c r="H973" s="196">
        <v>9.8879999999999999</v>
      </c>
      <c r="I973" s="196">
        <v>42.351999999999997</v>
      </c>
      <c r="J973" s="196">
        <v>11.413</v>
      </c>
      <c r="K973" s="196"/>
      <c r="L973" s="200">
        <v>973</v>
      </c>
      <c r="M973" s="200">
        <v>2</v>
      </c>
      <c r="N973" s="200">
        <v>7</v>
      </c>
    </row>
    <row r="974" spans="1:14" x14ac:dyDescent="0.25">
      <c r="A974" s="198" t="s">
        <v>2240</v>
      </c>
      <c r="B974" s="198" t="s">
        <v>8680</v>
      </c>
      <c r="C974" s="198">
        <v>0</v>
      </c>
      <c r="D974" s="196">
        <v>122</v>
      </c>
      <c r="E974" s="196">
        <v>41.42</v>
      </c>
      <c r="F974" s="196">
        <v>5.3999999999999999E-2</v>
      </c>
      <c r="G974" s="196">
        <v>16.04</v>
      </c>
      <c r="H974" s="196">
        <v>136.93</v>
      </c>
      <c r="I974" s="196">
        <v>177.02</v>
      </c>
      <c r="J974" s="196">
        <v>16.3</v>
      </c>
      <c r="K974" s="196"/>
      <c r="L974" s="200">
        <v>974</v>
      </c>
      <c r="M974" s="200">
        <v>2</v>
      </c>
      <c r="N974" s="200">
        <v>7</v>
      </c>
    </row>
    <row r="975" spans="1:14" x14ac:dyDescent="0.25">
      <c r="A975" s="198" t="s">
        <v>2240</v>
      </c>
      <c r="B975" s="198" t="s">
        <v>8681</v>
      </c>
      <c r="C975" s="198">
        <v>0</v>
      </c>
      <c r="D975" s="196">
        <v>106</v>
      </c>
      <c r="E975" s="196">
        <v>41.44</v>
      </c>
      <c r="F975" s="196">
        <v>0.21099999999999999</v>
      </c>
      <c r="G975" s="196">
        <v>10</v>
      </c>
      <c r="H975" s="196">
        <v>327.7</v>
      </c>
      <c r="I975" s="196">
        <v>120.1</v>
      </c>
      <c r="J975" s="196">
        <v>40.1</v>
      </c>
      <c r="K975" s="196"/>
      <c r="L975" s="200">
        <v>975</v>
      </c>
      <c r="M975" s="200">
        <v>2</v>
      </c>
      <c r="N975" s="200">
        <v>7</v>
      </c>
    </row>
    <row r="976" spans="1:14" x14ac:dyDescent="0.25">
      <c r="A976" s="198" t="s">
        <v>2240</v>
      </c>
      <c r="B976" s="198" t="s">
        <v>8682</v>
      </c>
      <c r="C976" s="198">
        <v>0</v>
      </c>
      <c r="D976" s="196">
        <v>167</v>
      </c>
      <c r="E976" s="196">
        <v>41.5</v>
      </c>
      <c r="F976" s="196">
        <v>8.3000000000000004E-2</v>
      </c>
      <c r="G976" s="196">
        <v>21.88</v>
      </c>
      <c r="H976" s="196">
        <v>235.4</v>
      </c>
      <c r="I976" s="196">
        <v>54.86</v>
      </c>
      <c r="J976" s="196">
        <v>294.08</v>
      </c>
      <c r="K976" s="196"/>
      <c r="L976" s="200">
        <v>976</v>
      </c>
      <c r="M976" s="200">
        <v>2</v>
      </c>
      <c r="N976" s="200">
        <v>7</v>
      </c>
    </row>
    <row r="977" spans="1:14" x14ac:dyDescent="0.25">
      <c r="A977" s="198" t="s">
        <v>2240</v>
      </c>
      <c r="B977" s="198" t="s">
        <v>8683</v>
      </c>
      <c r="C977" s="198">
        <v>0</v>
      </c>
      <c r="D977" s="196">
        <v>167</v>
      </c>
      <c r="E977" s="196">
        <v>41.503</v>
      </c>
      <c r="F977" s="196">
        <v>0.15</v>
      </c>
      <c r="G977" s="196">
        <v>30.923999999999999</v>
      </c>
      <c r="H977" s="196">
        <v>36.398000000000003</v>
      </c>
      <c r="I977" s="196">
        <v>86.701999999999998</v>
      </c>
      <c r="J977" s="196">
        <v>320.69</v>
      </c>
      <c r="K977" s="196"/>
      <c r="L977" s="200">
        <v>977</v>
      </c>
      <c r="M977" s="200">
        <v>2</v>
      </c>
      <c r="N977" s="200">
        <v>7</v>
      </c>
    </row>
    <row r="978" spans="1:14" x14ac:dyDescent="0.25">
      <c r="A978" s="198" t="s">
        <v>2240</v>
      </c>
      <c r="B978" s="198" t="s">
        <v>8684</v>
      </c>
      <c r="C978" s="198">
        <v>0</v>
      </c>
      <c r="D978" s="196">
        <v>109</v>
      </c>
      <c r="E978" s="196">
        <v>41.533999999999999</v>
      </c>
      <c r="F978" s="196">
        <v>2.5000000000000001E-2</v>
      </c>
      <c r="G978" s="196">
        <v>9.8930000000000007</v>
      </c>
      <c r="H978" s="196">
        <v>193.44</v>
      </c>
      <c r="I978" s="196">
        <v>228.81</v>
      </c>
      <c r="J978" s="196">
        <v>136.25</v>
      </c>
      <c r="K978" s="196"/>
      <c r="L978" s="200">
        <v>978</v>
      </c>
      <c r="M978" s="200">
        <v>2</v>
      </c>
      <c r="N978" s="200">
        <v>7</v>
      </c>
    </row>
    <row r="979" spans="1:14" x14ac:dyDescent="0.25">
      <c r="A979" s="198" t="s">
        <v>2240</v>
      </c>
      <c r="B979" s="198" t="s">
        <v>8685</v>
      </c>
      <c r="C979" s="198">
        <v>0</v>
      </c>
      <c r="D979" s="196">
        <v>138</v>
      </c>
      <c r="E979" s="196">
        <v>41.548000000000002</v>
      </c>
      <c r="F979" s="196">
        <v>7.4999999999999997E-2</v>
      </c>
      <c r="G979" s="196">
        <v>19.616</v>
      </c>
      <c r="H979" s="196">
        <v>332.94</v>
      </c>
      <c r="I979" s="196">
        <v>193.29</v>
      </c>
      <c r="J979" s="196">
        <v>285.42</v>
      </c>
      <c r="K979" s="196"/>
      <c r="L979" s="200">
        <v>979</v>
      </c>
      <c r="M979" s="200">
        <v>2</v>
      </c>
      <c r="N979" s="200">
        <v>7</v>
      </c>
    </row>
    <row r="980" spans="1:14" x14ac:dyDescent="0.25">
      <c r="A980" s="198" t="s">
        <v>2240</v>
      </c>
      <c r="B980" s="198" t="s">
        <v>8686</v>
      </c>
      <c r="C980" s="198">
        <v>0</v>
      </c>
      <c r="D980" s="196">
        <v>113</v>
      </c>
      <c r="E980" s="196">
        <v>41.601999999999997</v>
      </c>
      <c r="F980" s="196">
        <v>0.14599999999999999</v>
      </c>
      <c r="G980" s="196">
        <v>27.446000000000002</v>
      </c>
      <c r="H980" s="196">
        <v>669.21</v>
      </c>
      <c r="I980" s="196">
        <v>323.83999999999997</v>
      </c>
      <c r="J980" s="196">
        <v>128.80000000000001</v>
      </c>
      <c r="K980" s="196"/>
      <c r="L980" s="200">
        <v>980</v>
      </c>
      <c r="M980" s="200">
        <v>2</v>
      </c>
      <c r="N980" s="200">
        <v>7</v>
      </c>
    </row>
    <row r="981" spans="1:14" x14ac:dyDescent="0.25">
      <c r="A981" s="198" t="s">
        <v>2240</v>
      </c>
      <c r="B981" s="198" t="s">
        <v>8687</v>
      </c>
      <c r="C981" s="198">
        <v>0</v>
      </c>
      <c r="D981" s="196">
        <v>98</v>
      </c>
      <c r="E981" s="196">
        <v>41.63</v>
      </c>
      <c r="F981" s="196">
        <v>0.104</v>
      </c>
      <c r="G981" s="196">
        <v>28.63</v>
      </c>
      <c r="H981" s="196">
        <v>205.83</v>
      </c>
      <c r="I981" s="196">
        <v>17.329999999999998</v>
      </c>
      <c r="J981" s="196">
        <v>326.60000000000002</v>
      </c>
      <c r="K981" s="196"/>
      <c r="L981" s="200">
        <v>981</v>
      </c>
      <c r="M981" s="200">
        <v>2</v>
      </c>
      <c r="N981" s="200">
        <v>7</v>
      </c>
    </row>
    <row r="982" spans="1:14" x14ac:dyDescent="0.25">
      <c r="A982" s="198" t="s">
        <v>2240</v>
      </c>
      <c r="B982" s="198" t="s">
        <v>8688</v>
      </c>
      <c r="C982" s="198">
        <v>0</v>
      </c>
      <c r="D982" s="196">
        <v>113</v>
      </c>
      <c r="E982" s="196">
        <v>41.65</v>
      </c>
      <c r="F982" s="196">
        <v>5.5E-2</v>
      </c>
      <c r="G982" s="196">
        <v>21.22</v>
      </c>
      <c r="H982" s="196">
        <v>291</v>
      </c>
      <c r="I982" s="196">
        <v>29.57</v>
      </c>
      <c r="J982" s="196">
        <v>98.1</v>
      </c>
      <c r="K982" s="196"/>
      <c r="L982" s="200">
        <v>982</v>
      </c>
      <c r="M982" s="200">
        <v>2</v>
      </c>
      <c r="N982" s="200">
        <v>7</v>
      </c>
    </row>
    <row r="983" spans="1:14" x14ac:dyDescent="0.25">
      <c r="A983" s="198" t="s">
        <v>2240</v>
      </c>
      <c r="B983" s="198" t="s">
        <v>8689</v>
      </c>
      <c r="C983" s="198">
        <v>0</v>
      </c>
      <c r="D983" s="196">
        <v>243</v>
      </c>
      <c r="E983" s="196">
        <v>41.67</v>
      </c>
      <c r="F983" s="196">
        <v>0.14000000000000001</v>
      </c>
      <c r="G983" s="196">
        <v>27.457999999999998</v>
      </c>
      <c r="H983" s="196">
        <v>56.567</v>
      </c>
      <c r="I983" s="196">
        <v>14.757</v>
      </c>
      <c r="J983" s="196">
        <v>57.045000000000002</v>
      </c>
      <c r="K983" s="196"/>
      <c r="L983" s="200">
        <v>983</v>
      </c>
      <c r="M983" s="200">
        <v>2</v>
      </c>
      <c r="N983" s="200">
        <v>7</v>
      </c>
    </row>
    <row r="984" spans="1:14" x14ac:dyDescent="0.25">
      <c r="A984" s="198" t="s">
        <v>2240</v>
      </c>
      <c r="B984" s="198" t="s">
        <v>8690</v>
      </c>
      <c r="C984" s="198">
        <v>0</v>
      </c>
      <c r="D984" s="196">
        <v>180</v>
      </c>
      <c r="E984" s="196">
        <v>41.67</v>
      </c>
      <c r="F984" s="196">
        <v>0.10299999999999999</v>
      </c>
      <c r="G984" s="196">
        <v>18.96</v>
      </c>
      <c r="H984" s="196">
        <v>88</v>
      </c>
      <c r="I984" s="196">
        <v>140.5</v>
      </c>
      <c r="J984" s="196">
        <v>339.3</v>
      </c>
      <c r="K984" s="196"/>
      <c r="L984" s="200">
        <v>984</v>
      </c>
      <c r="M984" s="200">
        <v>2</v>
      </c>
      <c r="N984" s="200">
        <v>7</v>
      </c>
    </row>
    <row r="985" spans="1:14" x14ac:dyDescent="0.25">
      <c r="A985" s="198" t="s">
        <v>1966</v>
      </c>
      <c r="B985" s="198" t="s">
        <v>8691</v>
      </c>
      <c r="C985" s="198">
        <v>0</v>
      </c>
      <c r="D985" s="196">
        <v>67</v>
      </c>
      <c r="E985" s="196">
        <v>41.670999999999999</v>
      </c>
      <c r="F985" s="196">
        <v>0.47599999999999998</v>
      </c>
      <c r="G985" s="196">
        <v>34.819000000000003</v>
      </c>
      <c r="H985" s="196">
        <v>137.833</v>
      </c>
      <c r="I985" s="196">
        <v>130.875</v>
      </c>
      <c r="J985" s="196">
        <v>44.51</v>
      </c>
      <c r="K985" s="196"/>
      <c r="L985" s="200">
        <v>985</v>
      </c>
      <c r="M985" s="200">
        <v>2</v>
      </c>
      <c r="N985" s="200">
        <v>6</v>
      </c>
    </row>
    <row r="986" spans="1:14" x14ac:dyDescent="0.25">
      <c r="A986" s="198" t="s">
        <v>2240</v>
      </c>
      <c r="B986" s="198" t="s">
        <v>8692</v>
      </c>
      <c r="C986" s="198">
        <v>0</v>
      </c>
      <c r="D986" s="196">
        <v>170</v>
      </c>
      <c r="E986" s="196">
        <v>41.677</v>
      </c>
      <c r="F986" s="196">
        <v>6.2E-2</v>
      </c>
      <c r="G986" s="196">
        <v>23.334</v>
      </c>
      <c r="H986" s="196">
        <v>314.83</v>
      </c>
      <c r="I986" s="196">
        <v>114.98</v>
      </c>
      <c r="J986" s="196">
        <v>254.4</v>
      </c>
      <c r="K986" s="196"/>
      <c r="L986" s="200">
        <v>986</v>
      </c>
      <c r="M986" s="200">
        <v>2</v>
      </c>
      <c r="N986" s="200">
        <v>7</v>
      </c>
    </row>
    <row r="987" spans="1:14" x14ac:dyDescent="0.25">
      <c r="A987" s="198" t="s">
        <v>2240</v>
      </c>
      <c r="B987" s="198" t="s">
        <v>8693</v>
      </c>
      <c r="C987" s="198">
        <v>0</v>
      </c>
      <c r="D987" s="196">
        <v>99</v>
      </c>
      <c r="E987" s="196">
        <v>41.68</v>
      </c>
      <c r="F987" s="196">
        <v>9.1999999999999998E-2</v>
      </c>
      <c r="G987" s="196">
        <v>13.611000000000001</v>
      </c>
      <c r="H987" s="196">
        <v>88.19</v>
      </c>
      <c r="I987" s="196">
        <v>256.47000000000003</v>
      </c>
      <c r="J987" s="196">
        <v>93.4</v>
      </c>
      <c r="K987" s="196"/>
      <c r="L987" s="200">
        <v>987</v>
      </c>
      <c r="M987" s="200">
        <v>2</v>
      </c>
      <c r="N987" s="200">
        <v>7</v>
      </c>
    </row>
    <row r="988" spans="1:14" x14ac:dyDescent="0.25">
      <c r="A988" s="198" t="s">
        <v>2240</v>
      </c>
      <c r="B988" s="198" t="s">
        <v>8694</v>
      </c>
      <c r="C988" s="198">
        <v>0</v>
      </c>
      <c r="D988" s="196">
        <v>140</v>
      </c>
      <c r="E988" s="196">
        <v>41.7</v>
      </c>
      <c r="F988" s="196">
        <v>9.7000000000000003E-2</v>
      </c>
      <c r="G988" s="196">
        <v>28.62</v>
      </c>
      <c r="H988" s="196">
        <v>35</v>
      </c>
      <c r="I988" s="196">
        <v>104.03</v>
      </c>
      <c r="J988" s="196">
        <v>344</v>
      </c>
      <c r="K988" s="196"/>
      <c r="L988" s="200">
        <v>988</v>
      </c>
      <c r="M988" s="200">
        <v>2</v>
      </c>
      <c r="N988" s="200">
        <v>7</v>
      </c>
    </row>
    <row r="989" spans="1:14" x14ac:dyDescent="0.25">
      <c r="A989" s="198" t="s">
        <v>2240</v>
      </c>
      <c r="B989" s="198" t="s">
        <v>8695</v>
      </c>
      <c r="C989" s="198">
        <v>0</v>
      </c>
      <c r="D989" s="196">
        <v>142</v>
      </c>
      <c r="E989" s="196">
        <v>41.71</v>
      </c>
      <c r="F989" s="196">
        <v>0.14799999999999999</v>
      </c>
      <c r="G989" s="196">
        <v>24.54</v>
      </c>
      <c r="H989" s="196">
        <v>198.8</v>
      </c>
      <c r="I989" s="196">
        <v>312.39999999999998</v>
      </c>
      <c r="J989" s="196">
        <v>352.5</v>
      </c>
      <c r="K989" s="196"/>
      <c r="L989" s="200">
        <v>989</v>
      </c>
      <c r="M989" s="200">
        <v>2</v>
      </c>
      <c r="N989" s="200">
        <v>7</v>
      </c>
    </row>
    <row r="990" spans="1:14" x14ac:dyDescent="0.25">
      <c r="A990" s="198" t="s">
        <v>2240</v>
      </c>
      <c r="B990" s="198" t="s">
        <v>8696</v>
      </c>
      <c r="C990" s="198">
        <v>0</v>
      </c>
      <c r="D990" s="196">
        <v>106</v>
      </c>
      <c r="E990" s="196">
        <v>41.72</v>
      </c>
      <c r="F990" s="196">
        <v>0.15</v>
      </c>
      <c r="G990" s="196">
        <v>20.48</v>
      </c>
      <c r="H990" s="196">
        <v>242.97</v>
      </c>
      <c r="I990" s="196">
        <v>202.17</v>
      </c>
      <c r="J990" s="196">
        <v>36.92</v>
      </c>
      <c r="K990" s="196"/>
      <c r="L990" s="200">
        <v>990</v>
      </c>
      <c r="M990" s="200">
        <v>2</v>
      </c>
      <c r="N990" s="200">
        <v>7</v>
      </c>
    </row>
    <row r="991" spans="1:14" x14ac:dyDescent="0.25">
      <c r="A991" s="198" t="s">
        <v>2240</v>
      </c>
      <c r="B991" s="198" t="s">
        <v>7885</v>
      </c>
      <c r="C991" s="198">
        <v>0</v>
      </c>
      <c r="D991" s="196">
        <v>398</v>
      </c>
      <c r="E991" s="196">
        <v>41.738999999999997</v>
      </c>
      <c r="F991" s="196">
        <v>0.14499999999999999</v>
      </c>
      <c r="G991" s="196">
        <v>17.693000000000001</v>
      </c>
      <c r="H991" s="196">
        <v>214.57499999999999</v>
      </c>
      <c r="I991" s="196">
        <v>216.07499999999999</v>
      </c>
      <c r="J991" s="196">
        <v>226.84399999999999</v>
      </c>
      <c r="K991" s="196"/>
      <c r="L991" s="200">
        <v>991</v>
      </c>
      <c r="M991" s="200">
        <v>1</v>
      </c>
      <c r="N991" s="200">
        <v>7</v>
      </c>
    </row>
    <row r="992" spans="1:14" x14ac:dyDescent="0.25">
      <c r="A992" s="198" t="s">
        <v>2240</v>
      </c>
      <c r="B992" s="198" t="s">
        <v>8697</v>
      </c>
      <c r="C992" s="198">
        <v>0</v>
      </c>
      <c r="D992" s="196">
        <v>146</v>
      </c>
      <c r="E992" s="196">
        <v>41.74</v>
      </c>
      <c r="F992" s="196">
        <v>4.9000000000000002E-2</v>
      </c>
      <c r="G992" s="196">
        <v>16.024000000000001</v>
      </c>
      <c r="H992" s="196">
        <v>136</v>
      </c>
      <c r="I992" s="196">
        <v>271.04399999999998</v>
      </c>
      <c r="J992" s="196">
        <v>108</v>
      </c>
      <c r="K992" s="196"/>
      <c r="L992" s="200">
        <v>992</v>
      </c>
      <c r="M992" s="200">
        <v>2</v>
      </c>
      <c r="N992" s="200">
        <v>7</v>
      </c>
    </row>
    <row r="993" spans="1:14" x14ac:dyDescent="0.25">
      <c r="A993" s="198" t="s">
        <v>2240</v>
      </c>
      <c r="B993" s="198" t="s">
        <v>8698</v>
      </c>
      <c r="C993" s="198">
        <v>0</v>
      </c>
      <c r="D993" s="196">
        <v>106</v>
      </c>
      <c r="E993" s="196">
        <v>41.76</v>
      </c>
      <c r="F993" s="196">
        <v>0.152</v>
      </c>
      <c r="G993" s="196">
        <v>26.65</v>
      </c>
      <c r="H993" s="196">
        <v>18.559999999999999</v>
      </c>
      <c r="I993" s="196">
        <v>191.49</v>
      </c>
      <c r="J993" s="196">
        <v>180.1</v>
      </c>
      <c r="K993" s="196"/>
      <c r="L993" s="200">
        <v>993</v>
      </c>
      <c r="M993" s="200">
        <v>2</v>
      </c>
      <c r="N993" s="200">
        <v>7</v>
      </c>
    </row>
    <row r="994" spans="1:14" x14ac:dyDescent="0.25">
      <c r="A994" s="198" t="s">
        <v>2240</v>
      </c>
      <c r="B994" s="198" t="s">
        <v>8699</v>
      </c>
      <c r="C994" s="198">
        <v>0</v>
      </c>
      <c r="D994" s="196">
        <v>108</v>
      </c>
      <c r="E994" s="196">
        <v>41.787999999999997</v>
      </c>
      <c r="F994" s="196">
        <v>0.14499999999999999</v>
      </c>
      <c r="G994" s="196">
        <v>26.76</v>
      </c>
      <c r="H994" s="196">
        <v>331.9</v>
      </c>
      <c r="I994" s="196">
        <v>320.10000000000002</v>
      </c>
      <c r="J994" s="196">
        <v>20.37</v>
      </c>
      <c r="K994" s="196"/>
      <c r="L994" s="200">
        <v>994</v>
      </c>
      <c r="M994" s="200">
        <v>2</v>
      </c>
      <c r="N994" s="200">
        <v>7</v>
      </c>
    </row>
    <row r="995" spans="1:14" x14ac:dyDescent="0.25">
      <c r="A995" s="198" t="s">
        <v>2240</v>
      </c>
      <c r="B995" s="198" t="s">
        <v>8700</v>
      </c>
      <c r="C995" s="198">
        <v>0</v>
      </c>
      <c r="D995" s="196">
        <v>130</v>
      </c>
      <c r="E995" s="196">
        <v>41.79</v>
      </c>
      <c r="F995" s="196">
        <v>0.14000000000000001</v>
      </c>
      <c r="G995" s="196">
        <v>17.202000000000002</v>
      </c>
      <c r="H995" s="196">
        <v>87.1</v>
      </c>
      <c r="I995" s="196">
        <v>310.43</v>
      </c>
      <c r="J995" s="196">
        <v>325.95999999999998</v>
      </c>
      <c r="K995" s="196"/>
      <c r="L995" s="200">
        <v>995</v>
      </c>
      <c r="M995" s="200">
        <v>2</v>
      </c>
      <c r="N995" s="200">
        <v>7</v>
      </c>
    </row>
    <row r="996" spans="1:14" x14ac:dyDescent="0.25">
      <c r="A996" s="198" t="s">
        <v>2240</v>
      </c>
      <c r="B996" s="198" t="s">
        <v>8701</v>
      </c>
      <c r="C996" s="198">
        <v>0</v>
      </c>
      <c r="D996" s="196">
        <v>93</v>
      </c>
      <c r="E996" s="196">
        <v>41.81</v>
      </c>
      <c r="F996" s="196">
        <v>6.4000000000000001E-2</v>
      </c>
      <c r="G996" s="196">
        <v>15.141</v>
      </c>
      <c r="H996" s="196">
        <v>327.55</v>
      </c>
      <c r="I996" s="196">
        <v>347.03</v>
      </c>
      <c r="J996" s="196">
        <v>43.7</v>
      </c>
      <c r="K996" s="196"/>
      <c r="L996" s="200">
        <v>996</v>
      </c>
      <c r="M996" s="200">
        <v>2</v>
      </c>
      <c r="N996" s="200">
        <v>7</v>
      </c>
    </row>
    <row r="997" spans="1:14" x14ac:dyDescent="0.25">
      <c r="A997" s="198" t="s">
        <v>2240</v>
      </c>
      <c r="B997" s="198" t="s">
        <v>8702</v>
      </c>
      <c r="C997" s="198">
        <v>0</v>
      </c>
      <c r="D997" s="196">
        <v>139</v>
      </c>
      <c r="E997" s="196">
        <v>41.865000000000002</v>
      </c>
      <c r="F997" s="196">
        <v>9.7000000000000003E-2</v>
      </c>
      <c r="G997" s="196">
        <v>26.31</v>
      </c>
      <c r="H997" s="196">
        <v>75.12</v>
      </c>
      <c r="I997" s="196">
        <v>320.36</v>
      </c>
      <c r="J997" s="196">
        <v>339.7</v>
      </c>
      <c r="K997" s="196"/>
      <c r="L997" s="200">
        <v>997</v>
      </c>
      <c r="M997" s="200">
        <v>2</v>
      </c>
      <c r="N997" s="200">
        <v>7</v>
      </c>
    </row>
    <row r="998" spans="1:14" x14ac:dyDescent="0.25">
      <c r="A998" s="198" t="s">
        <v>1966</v>
      </c>
      <c r="B998" s="198" t="s">
        <v>8703</v>
      </c>
      <c r="C998" s="198">
        <v>0</v>
      </c>
      <c r="D998" s="196">
        <v>101</v>
      </c>
      <c r="E998" s="196">
        <v>41.914000000000001</v>
      </c>
      <c r="F998" s="196">
        <v>0.371</v>
      </c>
      <c r="G998" s="196">
        <v>0.96299999999999997</v>
      </c>
      <c r="H998" s="196">
        <v>133.41300000000001</v>
      </c>
      <c r="I998" s="196">
        <v>217.959</v>
      </c>
      <c r="J998" s="196">
        <v>316.95100000000002</v>
      </c>
      <c r="K998" s="196"/>
      <c r="L998" s="200">
        <v>998</v>
      </c>
      <c r="M998" s="200">
        <v>2</v>
      </c>
      <c r="N998" s="200">
        <v>6</v>
      </c>
    </row>
    <row r="999" spans="1:14" x14ac:dyDescent="0.25">
      <c r="A999" s="198" t="s">
        <v>1966</v>
      </c>
      <c r="B999" s="198" t="s">
        <v>8704</v>
      </c>
      <c r="C999" s="198">
        <v>0</v>
      </c>
      <c r="D999" s="196">
        <v>54</v>
      </c>
      <c r="E999" s="196">
        <v>41.948</v>
      </c>
      <c r="F999" s="196">
        <v>0.307</v>
      </c>
      <c r="G999" s="196">
        <v>13.566000000000001</v>
      </c>
      <c r="H999" s="196">
        <v>179.685</v>
      </c>
      <c r="I999" s="196">
        <v>149.464</v>
      </c>
      <c r="J999" s="196">
        <v>34.777999999999999</v>
      </c>
      <c r="K999" s="196"/>
      <c r="L999" s="200">
        <v>999</v>
      </c>
      <c r="M999" s="200">
        <v>2</v>
      </c>
      <c r="N999" s="200">
        <v>6</v>
      </c>
    </row>
    <row r="1000" spans="1:14" x14ac:dyDescent="0.25">
      <c r="A1000" s="198" t="s">
        <v>1966</v>
      </c>
      <c r="B1000" s="198" t="s">
        <v>8705</v>
      </c>
      <c r="C1000" s="198">
        <v>0</v>
      </c>
      <c r="D1000" s="196">
        <v>58</v>
      </c>
      <c r="E1000" s="196">
        <v>41.954000000000001</v>
      </c>
      <c r="F1000" s="196">
        <v>0.67900000000000005</v>
      </c>
      <c r="G1000" s="196">
        <v>10.782999999999999</v>
      </c>
      <c r="H1000" s="196">
        <v>294.22000000000003</v>
      </c>
      <c r="I1000" s="196">
        <v>14.382999999999999</v>
      </c>
      <c r="J1000" s="196">
        <v>358.64499999999998</v>
      </c>
      <c r="K1000" s="196"/>
      <c r="L1000" s="200">
        <v>1000</v>
      </c>
      <c r="M1000" s="200">
        <v>2</v>
      </c>
      <c r="N1000" s="200">
        <v>6</v>
      </c>
    </row>
    <row r="1001" spans="1:14" x14ac:dyDescent="0.25">
      <c r="A1001" s="198" t="s">
        <v>2240</v>
      </c>
      <c r="B1001" s="198" t="s">
        <v>8706</v>
      </c>
      <c r="C1001" s="198">
        <v>0</v>
      </c>
      <c r="D1001" s="196">
        <v>221</v>
      </c>
      <c r="E1001" s="196">
        <v>41.972000000000001</v>
      </c>
      <c r="F1001" s="196">
        <v>0.14399999999999999</v>
      </c>
      <c r="G1001" s="196">
        <v>17.45</v>
      </c>
      <c r="H1001" s="196">
        <v>226.46</v>
      </c>
      <c r="I1001" s="196">
        <v>55.37</v>
      </c>
      <c r="J1001" s="196">
        <v>266.05</v>
      </c>
      <c r="K1001" s="196"/>
      <c r="L1001" s="200">
        <v>1001</v>
      </c>
      <c r="M1001" s="200">
        <v>2</v>
      </c>
      <c r="N1001" s="200">
        <v>7</v>
      </c>
    </row>
    <row r="1002" spans="1:14" x14ac:dyDescent="0.25">
      <c r="A1002" s="198" t="s">
        <v>2240</v>
      </c>
      <c r="B1002" s="198" t="s">
        <v>8707</v>
      </c>
      <c r="C1002" s="198">
        <v>0</v>
      </c>
      <c r="D1002" s="196">
        <v>92</v>
      </c>
      <c r="E1002" s="196">
        <v>42.021999999999998</v>
      </c>
      <c r="F1002" s="196">
        <v>0.23100000000000001</v>
      </c>
      <c r="G1002" s="196">
        <v>9.76</v>
      </c>
      <c r="H1002" s="196">
        <v>111.017</v>
      </c>
      <c r="I1002" s="196">
        <v>128</v>
      </c>
      <c r="J1002" s="196">
        <v>309.45</v>
      </c>
      <c r="K1002" s="196"/>
      <c r="L1002" s="200">
        <v>1002</v>
      </c>
      <c r="M1002" s="200">
        <v>2</v>
      </c>
      <c r="N1002" s="200">
        <v>7</v>
      </c>
    </row>
    <row r="1003" spans="1:14" x14ac:dyDescent="0.25">
      <c r="A1003" s="198" t="s">
        <v>2240</v>
      </c>
      <c r="B1003" s="198" t="s">
        <v>8708</v>
      </c>
      <c r="C1003" s="198">
        <v>0</v>
      </c>
      <c r="D1003" s="196">
        <v>239</v>
      </c>
      <c r="E1003" s="196">
        <v>42.05</v>
      </c>
      <c r="F1003" s="196">
        <v>0.13200000000000001</v>
      </c>
      <c r="G1003" s="196">
        <v>25.91</v>
      </c>
      <c r="H1003" s="196">
        <v>248.1</v>
      </c>
      <c r="I1003" s="196">
        <v>219.71</v>
      </c>
      <c r="J1003" s="196">
        <v>237.4</v>
      </c>
      <c r="K1003" s="196"/>
      <c r="L1003" s="200">
        <v>1003</v>
      </c>
      <c r="M1003" s="200">
        <v>2</v>
      </c>
      <c r="N1003" s="200">
        <v>7</v>
      </c>
    </row>
    <row r="1004" spans="1:14" x14ac:dyDescent="0.25">
      <c r="A1004" s="198" t="s">
        <v>2240</v>
      </c>
      <c r="B1004" s="198" t="s">
        <v>8709</v>
      </c>
      <c r="C1004" s="198">
        <v>0</v>
      </c>
      <c r="D1004" s="196">
        <v>122</v>
      </c>
      <c r="E1004" s="196">
        <v>42.058999999999997</v>
      </c>
      <c r="F1004" s="196">
        <v>0.16500000000000001</v>
      </c>
      <c r="G1004" s="196">
        <v>15.96</v>
      </c>
      <c r="H1004" s="196">
        <v>149.79</v>
      </c>
      <c r="I1004" s="196">
        <v>326.70999999999998</v>
      </c>
      <c r="J1004" s="196">
        <v>39.53</v>
      </c>
      <c r="K1004" s="196"/>
      <c r="L1004" s="200">
        <v>1004</v>
      </c>
      <c r="M1004" s="200">
        <v>2</v>
      </c>
      <c r="N1004" s="200">
        <v>7</v>
      </c>
    </row>
    <row r="1005" spans="1:14" x14ac:dyDescent="0.25">
      <c r="A1005" s="198" t="s">
        <v>2240</v>
      </c>
      <c r="B1005" s="198" t="s">
        <v>8710</v>
      </c>
      <c r="C1005" s="198">
        <v>0</v>
      </c>
      <c r="D1005" s="196">
        <v>131</v>
      </c>
      <c r="E1005" s="196">
        <v>42.027999999999999</v>
      </c>
      <c r="F1005" s="196">
        <v>9.8000000000000004E-2</v>
      </c>
      <c r="G1005" s="196">
        <v>27.98</v>
      </c>
      <c r="H1005" s="196">
        <v>118.925</v>
      </c>
      <c r="I1005" s="196">
        <v>172.69</v>
      </c>
      <c r="J1005" s="196">
        <v>323.14999999999998</v>
      </c>
      <c r="K1005" s="196"/>
      <c r="L1005" s="200">
        <v>1005</v>
      </c>
      <c r="M1005" s="200">
        <v>2</v>
      </c>
      <c r="N1005" s="200">
        <v>7</v>
      </c>
    </row>
    <row r="1006" spans="1:14" x14ac:dyDescent="0.25">
      <c r="A1006" s="198" t="s">
        <v>2240</v>
      </c>
      <c r="B1006" s="198" t="s">
        <v>8711</v>
      </c>
      <c r="C1006" s="198">
        <v>0</v>
      </c>
      <c r="D1006" s="196">
        <v>135</v>
      </c>
      <c r="E1006" s="196">
        <v>42.061999999999998</v>
      </c>
      <c r="F1006" s="196">
        <v>5.1999999999999998E-2</v>
      </c>
      <c r="G1006" s="196">
        <v>7.11</v>
      </c>
      <c r="H1006" s="196">
        <v>317.39999999999998</v>
      </c>
      <c r="I1006" s="196">
        <v>276.86</v>
      </c>
      <c r="J1006" s="196">
        <v>294.47000000000003</v>
      </c>
      <c r="K1006" s="196"/>
      <c r="L1006" s="200">
        <v>1006</v>
      </c>
      <c r="M1006" s="200">
        <v>2</v>
      </c>
      <c r="N1006" s="200">
        <v>7</v>
      </c>
    </row>
    <row r="1007" spans="1:14" x14ac:dyDescent="0.25">
      <c r="A1007" s="198" t="s">
        <v>2240</v>
      </c>
      <c r="B1007" s="198" t="s">
        <v>8712</v>
      </c>
      <c r="C1007" s="198">
        <v>0</v>
      </c>
      <c r="D1007" s="196">
        <v>125</v>
      </c>
      <c r="E1007" s="196">
        <v>42.104999999999997</v>
      </c>
      <c r="F1007" s="196">
        <v>0.10299999999999999</v>
      </c>
      <c r="G1007" s="196">
        <v>9.3109999999999999</v>
      </c>
      <c r="H1007" s="196">
        <v>141.1</v>
      </c>
      <c r="I1007" s="196">
        <v>219.3</v>
      </c>
      <c r="J1007" s="196">
        <v>34.04</v>
      </c>
      <c r="K1007" s="196"/>
      <c r="L1007" s="200">
        <v>1007</v>
      </c>
      <c r="M1007" s="200">
        <v>2</v>
      </c>
      <c r="N1007" s="200">
        <v>7</v>
      </c>
    </row>
    <row r="1008" spans="1:14" x14ac:dyDescent="0.25">
      <c r="A1008" s="198" t="s">
        <v>2240</v>
      </c>
      <c r="B1008" s="198" t="s">
        <v>8713</v>
      </c>
      <c r="C1008" s="198">
        <v>0</v>
      </c>
      <c r="D1008" s="196">
        <v>158</v>
      </c>
      <c r="E1008" s="196">
        <v>42.15</v>
      </c>
      <c r="F1008" s="196">
        <v>0.111</v>
      </c>
      <c r="G1008" s="196">
        <v>7.33</v>
      </c>
      <c r="H1008" s="196">
        <v>226.08</v>
      </c>
      <c r="I1008" s="196">
        <v>253.23</v>
      </c>
      <c r="J1008" s="196">
        <v>328.9</v>
      </c>
      <c r="K1008" s="196"/>
      <c r="L1008" s="200">
        <v>1008</v>
      </c>
      <c r="M1008" s="200">
        <v>2</v>
      </c>
      <c r="N1008" s="200">
        <v>7</v>
      </c>
    </row>
    <row r="1009" spans="1:14" x14ac:dyDescent="0.25">
      <c r="A1009" s="198" t="s">
        <v>2240</v>
      </c>
      <c r="B1009" s="198" t="s">
        <v>8432</v>
      </c>
      <c r="C1009" s="198">
        <v>0</v>
      </c>
      <c r="D1009" s="196">
        <v>352</v>
      </c>
      <c r="E1009" s="196">
        <v>42.173000000000002</v>
      </c>
      <c r="F1009" s="196">
        <v>8.2000000000000003E-2</v>
      </c>
      <c r="G1009" s="196">
        <v>21.972000000000001</v>
      </c>
      <c r="H1009" s="196">
        <v>293.2</v>
      </c>
      <c r="I1009" s="196">
        <v>250.614</v>
      </c>
      <c r="J1009" s="196">
        <v>34.603000000000002</v>
      </c>
      <c r="K1009" s="196"/>
      <c r="L1009" s="200">
        <v>1009</v>
      </c>
      <c r="M1009" s="200">
        <v>1</v>
      </c>
      <c r="N1009" s="200">
        <v>7</v>
      </c>
    </row>
    <row r="1010" spans="1:14" x14ac:dyDescent="0.25">
      <c r="A1010" s="198" t="s">
        <v>2240</v>
      </c>
      <c r="B1010" s="198" t="s">
        <v>8714</v>
      </c>
      <c r="C1010" s="198">
        <v>0</v>
      </c>
      <c r="D1010" s="196">
        <v>127</v>
      </c>
      <c r="E1010" s="196">
        <v>42.180999999999997</v>
      </c>
      <c r="F1010" s="196">
        <v>0.16200000000000001</v>
      </c>
      <c r="G1010" s="196">
        <v>12.385</v>
      </c>
      <c r="H1010" s="196">
        <v>8.5559999999999992</v>
      </c>
      <c r="I1010" s="196">
        <v>39.369999999999997</v>
      </c>
      <c r="J1010" s="196">
        <v>5.3330000000000002</v>
      </c>
      <c r="K1010" s="196"/>
      <c r="L1010" s="200">
        <v>1010</v>
      </c>
      <c r="M1010" s="200">
        <v>2</v>
      </c>
      <c r="N1010" s="200">
        <v>7</v>
      </c>
    </row>
    <row r="1011" spans="1:14" x14ac:dyDescent="0.25">
      <c r="A1011" s="198" t="s">
        <v>2240</v>
      </c>
      <c r="B1011" s="198" t="s">
        <v>2438</v>
      </c>
      <c r="C1011" s="198">
        <v>1</v>
      </c>
      <c r="D1011" s="196">
        <v>423</v>
      </c>
      <c r="E1011" s="196">
        <v>42.183999999999997</v>
      </c>
      <c r="F1011" s="196">
        <v>0.106</v>
      </c>
      <c r="G1011" s="196">
        <v>23.920999999999999</v>
      </c>
      <c r="H1011" s="196">
        <v>312.29399999999998</v>
      </c>
      <c r="I1011" s="196">
        <v>279.88</v>
      </c>
      <c r="J1011" s="196">
        <v>123.13800000000001</v>
      </c>
      <c r="K1011" s="196">
        <v>1.38</v>
      </c>
      <c r="L1011" s="200">
        <v>1011</v>
      </c>
      <c r="M1011" s="200">
        <v>1</v>
      </c>
      <c r="N1011" s="200">
        <v>7</v>
      </c>
    </row>
    <row r="1012" spans="1:14" x14ac:dyDescent="0.25">
      <c r="A1012" s="198" t="s">
        <v>32</v>
      </c>
      <c r="B1012" s="198" t="s">
        <v>2445</v>
      </c>
      <c r="C1012" s="198"/>
      <c r="D1012" s="196">
        <v>142</v>
      </c>
      <c r="E1012" s="196"/>
      <c r="F1012" s="196">
        <v>0.01</v>
      </c>
      <c r="G1012" s="196"/>
      <c r="H1012" s="196"/>
      <c r="I1012" s="196"/>
      <c r="J1012" s="196"/>
      <c r="K1012" s="196"/>
      <c r="L1012" s="200">
        <v>1012</v>
      </c>
      <c r="M1012" s="200">
        <v>1</v>
      </c>
      <c r="N1012" s="200">
        <v>28</v>
      </c>
    </row>
    <row r="1013" spans="1:14" x14ac:dyDescent="0.25">
      <c r="A1013" s="198" t="s">
        <v>2240</v>
      </c>
      <c r="B1013" s="198" t="s">
        <v>8715</v>
      </c>
      <c r="C1013" s="198">
        <v>0</v>
      </c>
      <c r="D1013" s="196">
        <v>99</v>
      </c>
      <c r="E1013" s="196">
        <v>42.2</v>
      </c>
      <c r="F1013" s="196">
        <v>0.25</v>
      </c>
      <c r="G1013" s="196">
        <v>21.96</v>
      </c>
      <c r="H1013" s="196">
        <v>350.5</v>
      </c>
      <c r="I1013" s="196">
        <v>147.15</v>
      </c>
      <c r="J1013" s="196">
        <v>286</v>
      </c>
      <c r="K1013" s="196"/>
      <c r="L1013" s="200">
        <v>1013</v>
      </c>
      <c r="M1013" s="200">
        <v>2</v>
      </c>
      <c r="N1013" s="200">
        <v>7</v>
      </c>
    </row>
    <row r="1014" spans="1:14" x14ac:dyDescent="0.25">
      <c r="A1014" s="198" t="s">
        <v>2240</v>
      </c>
      <c r="B1014" s="198" t="s">
        <v>8716</v>
      </c>
      <c r="C1014" s="198">
        <v>0</v>
      </c>
      <c r="D1014" s="196">
        <v>179</v>
      </c>
      <c r="E1014" s="196">
        <v>42.21</v>
      </c>
      <c r="F1014" s="196">
        <v>0.17299999999999999</v>
      </c>
      <c r="G1014" s="196">
        <v>30.98</v>
      </c>
      <c r="H1014" s="196">
        <v>165.2</v>
      </c>
      <c r="I1014" s="196">
        <v>5.23</v>
      </c>
      <c r="J1014" s="196">
        <v>232.3</v>
      </c>
      <c r="K1014" s="196"/>
      <c r="L1014" s="200">
        <v>1014</v>
      </c>
      <c r="M1014" s="200">
        <v>2</v>
      </c>
      <c r="N1014" s="200">
        <v>7</v>
      </c>
    </row>
    <row r="1015" spans="1:14" x14ac:dyDescent="0.25">
      <c r="A1015" s="198" t="s">
        <v>2240</v>
      </c>
      <c r="B1015" s="198" t="s">
        <v>8717</v>
      </c>
      <c r="C1015" s="198">
        <v>0</v>
      </c>
      <c r="D1015" s="196">
        <v>110</v>
      </c>
      <c r="E1015" s="196">
        <v>42.252000000000002</v>
      </c>
      <c r="F1015" s="196">
        <v>0.16300000000000001</v>
      </c>
      <c r="G1015" s="196">
        <v>4.1399999999999997</v>
      </c>
      <c r="H1015" s="196">
        <v>247.58</v>
      </c>
      <c r="I1015" s="196">
        <v>128.38399999999999</v>
      </c>
      <c r="J1015" s="196">
        <v>30.888999999999999</v>
      </c>
      <c r="K1015" s="196"/>
      <c r="L1015" s="200">
        <v>1015</v>
      </c>
      <c r="M1015" s="200">
        <v>2</v>
      </c>
      <c r="N1015" s="200">
        <v>7</v>
      </c>
    </row>
    <row r="1016" spans="1:14" x14ac:dyDescent="0.25">
      <c r="A1016" s="198" t="s">
        <v>2240</v>
      </c>
      <c r="B1016" s="198" t="s">
        <v>8718</v>
      </c>
      <c r="C1016" s="198">
        <v>0</v>
      </c>
      <c r="D1016" s="196">
        <v>108</v>
      </c>
      <c r="E1016" s="196">
        <v>42.253</v>
      </c>
      <c r="F1016" s="196">
        <v>8.5999999999999993E-2</v>
      </c>
      <c r="G1016" s="196">
        <v>26.62</v>
      </c>
      <c r="H1016" s="196">
        <v>253.05</v>
      </c>
      <c r="I1016" s="196">
        <v>220.62</v>
      </c>
      <c r="J1016" s="196">
        <v>113.22</v>
      </c>
      <c r="K1016" s="196"/>
      <c r="L1016" s="200">
        <v>1016</v>
      </c>
      <c r="M1016" s="200">
        <v>2</v>
      </c>
      <c r="N1016" s="200">
        <v>7</v>
      </c>
    </row>
    <row r="1017" spans="1:14" x14ac:dyDescent="0.25">
      <c r="A1017" s="198" t="s">
        <v>2240</v>
      </c>
      <c r="B1017" s="198" t="s">
        <v>8719</v>
      </c>
      <c r="C1017" s="198">
        <v>0</v>
      </c>
      <c r="D1017" s="196">
        <v>114</v>
      </c>
      <c r="E1017" s="196">
        <v>42.28</v>
      </c>
      <c r="F1017" s="196">
        <v>0.104</v>
      </c>
      <c r="G1017" s="196">
        <v>17.934999999999999</v>
      </c>
      <c r="H1017" s="196">
        <v>33.200000000000003</v>
      </c>
      <c r="I1017" s="196">
        <v>230.15</v>
      </c>
      <c r="J1017" s="196">
        <v>128.9</v>
      </c>
      <c r="K1017" s="196"/>
      <c r="L1017" s="200">
        <v>1017</v>
      </c>
      <c r="M1017" s="200">
        <v>2</v>
      </c>
      <c r="N1017" s="200">
        <v>7</v>
      </c>
    </row>
    <row r="1018" spans="1:14" x14ac:dyDescent="0.25">
      <c r="A1018" s="198" t="s">
        <v>2240</v>
      </c>
      <c r="B1018" s="198" t="s">
        <v>8720</v>
      </c>
      <c r="C1018" s="198">
        <v>0</v>
      </c>
      <c r="D1018" s="196">
        <v>213</v>
      </c>
      <c r="E1018" s="196">
        <v>42.4</v>
      </c>
      <c r="F1018" s="196">
        <v>0.128</v>
      </c>
      <c r="G1018" s="196">
        <v>36</v>
      </c>
      <c r="H1018" s="196">
        <v>221.2</v>
      </c>
      <c r="I1018" s="196">
        <v>58.69</v>
      </c>
      <c r="J1018" s="196">
        <v>296.60000000000002</v>
      </c>
      <c r="K1018" s="196"/>
      <c r="L1018" s="200">
        <v>1018</v>
      </c>
      <c r="M1018" s="200">
        <v>2</v>
      </c>
      <c r="N1018" s="200">
        <v>7</v>
      </c>
    </row>
    <row r="1019" spans="1:14" x14ac:dyDescent="0.25">
      <c r="A1019" s="198" t="s">
        <v>2240</v>
      </c>
      <c r="B1019" s="198" t="s">
        <v>8721</v>
      </c>
      <c r="C1019" s="198">
        <v>0</v>
      </c>
      <c r="D1019" s="196">
        <v>272</v>
      </c>
      <c r="E1019" s="196">
        <v>42.44</v>
      </c>
      <c r="F1019" s="196">
        <v>0.23100000000000001</v>
      </c>
      <c r="G1019" s="196">
        <v>18.649999999999999</v>
      </c>
      <c r="H1019" s="196">
        <v>146.4</v>
      </c>
      <c r="I1019" s="196">
        <v>43.41</v>
      </c>
      <c r="J1019" s="196">
        <v>310.89</v>
      </c>
      <c r="K1019" s="196"/>
      <c r="L1019" s="200">
        <v>1019</v>
      </c>
      <c r="M1019" s="200">
        <v>2</v>
      </c>
      <c r="N1019" s="200">
        <v>7</v>
      </c>
    </row>
    <row r="1020" spans="1:14" x14ac:dyDescent="0.25">
      <c r="A1020" s="198" t="s">
        <v>2240</v>
      </c>
      <c r="B1020" s="198" t="s">
        <v>8722</v>
      </c>
      <c r="C1020" s="198">
        <v>0</v>
      </c>
      <c r="D1020" s="196">
        <v>154</v>
      </c>
      <c r="E1020" s="196">
        <v>42.44</v>
      </c>
      <c r="F1020" s="196">
        <v>0.14499999999999999</v>
      </c>
      <c r="G1020" s="196">
        <v>21.9</v>
      </c>
      <c r="H1020" s="196">
        <v>127</v>
      </c>
      <c r="I1020" s="196">
        <v>260</v>
      </c>
      <c r="J1020" s="196">
        <v>157.6</v>
      </c>
      <c r="K1020" s="196"/>
      <c r="L1020" s="200">
        <v>1020</v>
      </c>
      <c r="M1020" s="200">
        <v>2</v>
      </c>
      <c r="N1020" s="200">
        <v>7</v>
      </c>
    </row>
    <row r="1021" spans="1:14" x14ac:dyDescent="0.25">
      <c r="A1021" s="198" t="s">
        <v>2240</v>
      </c>
      <c r="B1021" s="198" t="s">
        <v>8723</v>
      </c>
      <c r="C1021" s="198">
        <v>0</v>
      </c>
      <c r="D1021" s="196">
        <v>151</v>
      </c>
      <c r="E1021" s="196">
        <v>42.46</v>
      </c>
      <c r="F1021" s="196">
        <v>8.1000000000000003E-2</v>
      </c>
      <c r="G1021" s="196">
        <v>21.38</v>
      </c>
      <c r="H1021" s="196">
        <v>178.2</v>
      </c>
      <c r="I1021" s="196">
        <v>129.82</v>
      </c>
      <c r="J1021" s="196">
        <v>107</v>
      </c>
      <c r="K1021" s="196"/>
      <c r="L1021" s="200">
        <v>1021</v>
      </c>
      <c r="M1021" s="200">
        <v>2</v>
      </c>
      <c r="N1021" s="200">
        <v>7</v>
      </c>
    </row>
    <row r="1022" spans="1:14" x14ac:dyDescent="0.25">
      <c r="A1022" s="198" t="s">
        <v>2240</v>
      </c>
      <c r="B1022" s="198" t="s">
        <v>8429</v>
      </c>
      <c r="C1022" s="198">
        <v>1</v>
      </c>
      <c r="D1022" s="196">
        <v>333</v>
      </c>
      <c r="E1022" s="196">
        <v>42.488</v>
      </c>
      <c r="F1022" s="196">
        <v>0.14099999999999999</v>
      </c>
      <c r="G1022" s="196">
        <v>19.484000000000002</v>
      </c>
      <c r="H1022" s="196">
        <v>279</v>
      </c>
      <c r="I1022" s="196">
        <v>204.68</v>
      </c>
      <c r="J1022" s="196">
        <v>295.70999999999998</v>
      </c>
      <c r="K1022" s="196"/>
      <c r="L1022" s="200">
        <v>1022</v>
      </c>
      <c r="M1022" s="200">
        <v>1</v>
      </c>
      <c r="N1022" s="200">
        <v>7</v>
      </c>
    </row>
    <row r="1023" spans="1:14" x14ac:dyDescent="0.25">
      <c r="A1023" s="198" t="s">
        <v>32</v>
      </c>
      <c r="B1023" s="198" t="s">
        <v>8430</v>
      </c>
      <c r="C1023" s="198"/>
      <c r="D1023" s="196">
        <v>105</v>
      </c>
      <c r="E1023" s="196"/>
      <c r="F1023" s="196">
        <v>0.18</v>
      </c>
      <c r="G1023" s="196"/>
      <c r="H1023" s="196"/>
      <c r="I1023" s="196"/>
      <c r="J1023" s="196"/>
      <c r="K1023" s="196"/>
      <c r="L1023" s="200">
        <v>1023</v>
      </c>
      <c r="M1023" s="200">
        <v>1</v>
      </c>
      <c r="N1023" s="200">
        <v>28</v>
      </c>
    </row>
    <row r="1024" spans="1:14" x14ac:dyDescent="0.25">
      <c r="A1024" s="198" t="s">
        <v>2240</v>
      </c>
      <c r="B1024" s="198" t="s">
        <v>8724</v>
      </c>
      <c r="C1024" s="198">
        <v>0</v>
      </c>
      <c r="D1024" s="196">
        <v>172</v>
      </c>
      <c r="E1024" s="196">
        <v>42.52</v>
      </c>
      <c r="F1024" s="196">
        <v>0.161</v>
      </c>
      <c r="G1024" s="196">
        <v>10.86</v>
      </c>
      <c r="H1024" s="196">
        <v>338.34</v>
      </c>
      <c r="I1024" s="196">
        <v>153.33000000000001</v>
      </c>
      <c r="J1024" s="196">
        <v>84.7</v>
      </c>
      <c r="K1024" s="196"/>
      <c r="L1024" s="200">
        <v>1024</v>
      </c>
      <c r="M1024" s="200">
        <v>2</v>
      </c>
      <c r="N1024" s="200">
        <v>7</v>
      </c>
    </row>
    <row r="1025" spans="1:14" x14ac:dyDescent="0.25">
      <c r="A1025" s="198" t="s">
        <v>2240</v>
      </c>
      <c r="B1025" s="198" t="s">
        <v>8725</v>
      </c>
      <c r="C1025" s="198">
        <v>0</v>
      </c>
      <c r="D1025" s="196">
        <v>116</v>
      </c>
      <c r="E1025" s="196">
        <v>42.55</v>
      </c>
      <c r="F1025" s="196">
        <v>0.104</v>
      </c>
      <c r="G1025" s="196">
        <v>14.24</v>
      </c>
      <c r="H1025" s="196">
        <v>196</v>
      </c>
      <c r="I1025" s="196">
        <v>225</v>
      </c>
      <c r="J1025" s="196">
        <v>166</v>
      </c>
      <c r="K1025" s="196"/>
      <c r="L1025" s="200">
        <v>1025</v>
      </c>
      <c r="M1025" s="200">
        <v>2</v>
      </c>
      <c r="N1025" s="200">
        <v>7</v>
      </c>
    </row>
    <row r="1026" spans="1:14" x14ac:dyDescent="0.25">
      <c r="A1026" s="198" t="s">
        <v>2240</v>
      </c>
      <c r="B1026" s="198" t="s">
        <v>8726</v>
      </c>
      <c r="C1026" s="198">
        <v>0</v>
      </c>
      <c r="D1026" s="196">
        <v>104</v>
      </c>
      <c r="E1026" s="196">
        <v>42.551000000000002</v>
      </c>
      <c r="F1026" s="196">
        <v>0.24199999999999999</v>
      </c>
      <c r="G1026" s="196">
        <v>7.1</v>
      </c>
      <c r="H1026" s="196">
        <v>253.3</v>
      </c>
      <c r="I1026" s="196">
        <v>224.5</v>
      </c>
      <c r="J1026" s="196">
        <v>309</v>
      </c>
      <c r="K1026" s="196"/>
      <c r="L1026" s="200">
        <v>1026</v>
      </c>
      <c r="M1026" s="200">
        <v>2</v>
      </c>
      <c r="N1026" s="200">
        <v>7</v>
      </c>
    </row>
    <row r="1027" spans="1:14" x14ac:dyDescent="0.25">
      <c r="A1027" s="198" t="s">
        <v>2240</v>
      </c>
      <c r="B1027" s="198" t="s">
        <v>8727</v>
      </c>
      <c r="C1027" s="198">
        <v>0</v>
      </c>
      <c r="D1027" s="196">
        <v>129</v>
      </c>
      <c r="E1027" s="196">
        <v>42.578000000000003</v>
      </c>
      <c r="F1027" s="196">
        <v>7.6999999999999999E-2</v>
      </c>
      <c r="G1027" s="196">
        <v>6.5369999999999999</v>
      </c>
      <c r="H1027" s="196">
        <v>170.73</v>
      </c>
      <c r="I1027" s="196">
        <v>335.07</v>
      </c>
      <c r="J1027" s="196">
        <v>251.01</v>
      </c>
      <c r="K1027" s="196"/>
      <c r="L1027" s="200">
        <v>1027</v>
      </c>
      <c r="M1027" s="200">
        <v>2</v>
      </c>
      <c r="N1027" s="200">
        <v>7</v>
      </c>
    </row>
    <row r="1028" spans="1:14" x14ac:dyDescent="0.25">
      <c r="A1028" s="198" t="s">
        <v>2240</v>
      </c>
      <c r="B1028" s="198" t="s">
        <v>7461</v>
      </c>
      <c r="C1028" s="198">
        <v>0</v>
      </c>
      <c r="D1028" s="196">
        <v>130</v>
      </c>
      <c r="E1028" s="196">
        <v>42.587000000000003</v>
      </c>
      <c r="F1028" s="196">
        <v>0.01</v>
      </c>
      <c r="G1028" s="196">
        <v>1.1000000000000001</v>
      </c>
      <c r="H1028" s="196">
        <v>358.38</v>
      </c>
      <c r="I1028" s="196">
        <v>314.26</v>
      </c>
      <c r="J1028" s="196">
        <v>185.1</v>
      </c>
      <c r="K1028" s="196"/>
      <c r="L1028" s="200">
        <v>1028</v>
      </c>
      <c r="M1028" s="200">
        <v>1</v>
      </c>
      <c r="N1028" s="200">
        <v>7</v>
      </c>
    </row>
    <row r="1029" spans="1:14" x14ac:dyDescent="0.25">
      <c r="A1029" s="198" t="s">
        <v>2240</v>
      </c>
      <c r="B1029" s="198" t="s">
        <v>8728</v>
      </c>
      <c r="C1029" s="198">
        <v>0</v>
      </c>
      <c r="D1029" s="196">
        <v>139</v>
      </c>
      <c r="E1029" s="196">
        <v>42.59</v>
      </c>
      <c r="F1029" s="196">
        <v>0.115</v>
      </c>
      <c r="G1029" s="196">
        <v>8.9629999999999992</v>
      </c>
      <c r="H1029" s="196">
        <v>84</v>
      </c>
      <c r="I1029" s="196">
        <v>180.52</v>
      </c>
      <c r="J1029" s="196">
        <v>147</v>
      </c>
      <c r="K1029" s="196"/>
      <c r="L1029" s="200">
        <v>1029</v>
      </c>
      <c r="M1029" s="200">
        <v>2</v>
      </c>
      <c r="N1029" s="200">
        <v>7</v>
      </c>
    </row>
    <row r="1030" spans="1:14" x14ac:dyDescent="0.25">
      <c r="A1030" s="198" t="s">
        <v>2240</v>
      </c>
      <c r="B1030" s="198" t="s">
        <v>8729</v>
      </c>
      <c r="C1030" s="198">
        <v>0</v>
      </c>
      <c r="D1030" s="196">
        <v>126</v>
      </c>
      <c r="E1030" s="196">
        <v>42.59</v>
      </c>
      <c r="F1030" s="196">
        <v>2.9000000000000001E-2</v>
      </c>
      <c r="G1030" s="196">
        <v>17.11</v>
      </c>
      <c r="H1030" s="196">
        <v>50.77</v>
      </c>
      <c r="I1030" s="196">
        <v>103.54</v>
      </c>
      <c r="J1030" s="196">
        <v>68.88</v>
      </c>
      <c r="K1030" s="196"/>
      <c r="L1030" s="200">
        <v>1030</v>
      </c>
      <c r="M1030" s="200">
        <v>2</v>
      </c>
      <c r="N1030" s="200">
        <v>7</v>
      </c>
    </row>
    <row r="1031" spans="1:14" x14ac:dyDescent="0.25">
      <c r="A1031" s="198" t="s">
        <v>2240</v>
      </c>
      <c r="B1031" s="198" t="s">
        <v>8730</v>
      </c>
      <c r="C1031" s="198">
        <v>0</v>
      </c>
      <c r="D1031" s="196">
        <v>185</v>
      </c>
      <c r="E1031" s="196">
        <v>42.6</v>
      </c>
      <c r="F1031" s="196">
        <v>0.13100000000000001</v>
      </c>
      <c r="G1031" s="196">
        <v>20.38</v>
      </c>
      <c r="H1031" s="196">
        <v>170.6</v>
      </c>
      <c r="I1031" s="196">
        <v>110.43</v>
      </c>
      <c r="J1031" s="196">
        <v>151.91999999999999</v>
      </c>
      <c r="K1031" s="196"/>
      <c r="L1031" s="200">
        <v>1031</v>
      </c>
      <c r="M1031" s="200">
        <v>2</v>
      </c>
      <c r="N1031" s="200">
        <v>7</v>
      </c>
    </row>
    <row r="1032" spans="1:14" x14ac:dyDescent="0.25">
      <c r="A1032" s="198" t="s">
        <v>2240</v>
      </c>
      <c r="B1032" s="198" t="s">
        <v>8731</v>
      </c>
      <c r="C1032" s="198">
        <v>0</v>
      </c>
      <c r="D1032" s="196">
        <v>158</v>
      </c>
      <c r="E1032" s="196">
        <v>42.62</v>
      </c>
      <c r="F1032" s="196">
        <v>4.9000000000000002E-2</v>
      </c>
      <c r="G1032" s="196">
        <v>11.19</v>
      </c>
      <c r="H1032" s="196">
        <v>71.45</v>
      </c>
      <c r="I1032" s="196">
        <v>323.08</v>
      </c>
      <c r="J1032" s="196">
        <v>102.46</v>
      </c>
      <c r="K1032" s="196"/>
      <c r="L1032" s="200">
        <v>1032</v>
      </c>
      <c r="M1032" s="200">
        <v>2</v>
      </c>
      <c r="N1032" s="200">
        <v>7</v>
      </c>
    </row>
    <row r="1033" spans="1:14" x14ac:dyDescent="0.25">
      <c r="A1033" s="198" t="s">
        <v>2240</v>
      </c>
      <c r="B1033" s="198" t="s">
        <v>8732</v>
      </c>
      <c r="C1033" s="198">
        <v>0</v>
      </c>
      <c r="D1033" s="196">
        <v>152</v>
      </c>
      <c r="E1033" s="196">
        <v>42.631999999999998</v>
      </c>
      <c r="F1033" s="196">
        <v>0.11</v>
      </c>
      <c r="G1033" s="196">
        <v>8.6199999999999992</v>
      </c>
      <c r="H1033" s="196">
        <v>257.15600000000001</v>
      </c>
      <c r="I1033" s="196">
        <v>284.10000000000002</v>
      </c>
      <c r="J1033" s="196">
        <v>27.97</v>
      </c>
      <c r="K1033" s="196"/>
      <c r="L1033" s="200">
        <v>1033</v>
      </c>
      <c r="M1033" s="200">
        <v>2</v>
      </c>
      <c r="N1033" s="200">
        <v>7</v>
      </c>
    </row>
    <row r="1034" spans="1:14" x14ac:dyDescent="0.25">
      <c r="A1034" s="198" t="s">
        <v>2240</v>
      </c>
      <c r="B1034" s="198" t="s">
        <v>8733</v>
      </c>
      <c r="C1034" s="198">
        <v>0</v>
      </c>
      <c r="D1034" s="196">
        <v>180</v>
      </c>
      <c r="E1034" s="196">
        <v>42.64</v>
      </c>
      <c r="F1034" s="196">
        <v>0.16900000000000001</v>
      </c>
      <c r="G1034" s="196">
        <v>27.52</v>
      </c>
      <c r="H1034" s="196">
        <v>263</v>
      </c>
      <c r="I1034" s="196">
        <v>186.7</v>
      </c>
      <c r="J1034" s="196">
        <v>28.6</v>
      </c>
      <c r="K1034" s="196"/>
      <c r="L1034" s="200">
        <v>1034</v>
      </c>
      <c r="M1034" s="200">
        <v>2</v>
      </c>
      <c r="N1034" s="200">
        <v>7</v>
      </c>
    </row>
    <row r="1035" spans="1:14" x14ac:dyDescent="0.25">
      <c r="A1035" s="198" t="s">
        <v>2240</v>
      </c>
      <c r="B1035" s="198" t="s">
        <v>8734</v>
      </c>
      <c r="C1035" s="198">
        <v>0</v>
      </c>
      <c r="D1035" s="196">
        <v>102</v>
      </c>
      <c r="E1035" s="196">
        <v>42.662999999999997</v>
      </c>
      <c r="F1035" s="196">
        <v>0.15</v>
      </c>
      <c r="G1035" s="196">
        <v>7.8019999999999996</v>
      </c>
      <c r="H1035" s="196">
        <v>274.38</v>
      </c>
      <c r="I1035" s="196">
        <v>1.1180000000000001</v>
      </c>
      <c r="J1035" s="196">
        <v>34.302</v>
      </c>
      <c r="K1035" s="196"/>
      <c r="L1035" s="200">
        <v>1035</v>
      </c>
      <c r="M1035" s="200">
        <v>2</v>
      </c>
      <c r="N1035" s="200">
        <v>7</v>
      </c>
    </row>
    <row r="1036" spans="1:14" x14ac:dyDescent="0.25">
      <c r="A1036" s="198" t="s">
        <v>2240</v>
      </c>
      <c r="B1036" s="198" t="s">
        <v>8735</v>
      </c>
      <c r="C1036" s="198">
        <v>0</v>
      </c>
      <c r="D1036" s="196">
        <v>95</v>
      </c>
      <c r="E1036" s="196">
        <v>42.67</v>
      </c>
      <c r="F1036" s="196">
        <v>0.20499999999999999</v>
      </c>
      <c r="G1036" s="196">
        <v>9.6300000000000008</v>
      </c>
      <c r="H1036" s="196">
        <v>259.36</v>
      </c>
      <c r="I1036" s="196">
        <v>131.74799999999999</v>
      </c>
      <c r="J1036" s="196">
        <v>9.18</v>
      </c>
      <c r="K1036" s="196"/>
      <c r="L1036" s="200">
        <v>1036</v>
      </c>
      <c r="M1036" s="200">
        <v>2</v>
      </c>
      <c r="N1036" s="200">
        <v>7</v>
      </c>
    </row>
    <row r="1037" spans="1:14" x14ac:dyDescent="0.25">
      <c r="A1037" s="198" t="s">
        <v>1966</v>
      </c>
      <c r="B1037" s="198" t="s">
        <v>8736</v>
      </c>
      <c r="C1037" s="198">
        <v>0</v>
      </c>
      <c r="D1037" s="196">
        <v>73</v>
      </c>
      <c r="E1037" s="196">
        <v>42.682000000000002</v>
      </c>
      <c r="F1037" s="196">
        <v>0.40100000000000002</v>
      </c>
      <c r="G1037" s="196">
        <v>28.478999999999999</v>
      </c>
      <c r="H1037" s="196">
        <v>46.764000000000003</v>
      </c>
      <c r="I1037" s="196">
        <v>139.54300000000001</v>
      </c>
      <c r="J1037" s="196">
        <v>37.865000000000002</v>
      </c>
      <c r="K1037" s="196"/>
      <c r="L1037" s="200">
        <v>1037</v>
      </c>
      <c r="M1037" s="200">
        <v>2</v>
      </c>
      <c r="N1037" s="200">
        <v>6</v>
      </c>
    </row>
    <row r="1038" spans="1:14" x14ac:dyDescent="0.25">
      <c r="A1038" s="198" t="s">
        <v>2240</v>
      </c>
      <c r="B1038" s="198" t="s">
        <v>8737</v>
      </c>
      <c r="C1038" s="198">
        <v>0</v>
      </c>
      <c r="D1038" s="196">
        <v>175</v>
      </c>
      <c r="E1038" s="196">
        <v>42.712000000000003</v>
      </c>
      <c r="F1038" s="196">
        <v>0.17499999999999999</v>
      </c>
      <c r="G1038" s="196">
        <v>28.18</v>
      </c>
      <c r="H1038" s="196">
        <v>53.93</v>
      </c>
      <c r="I1038" s="196">
        <v>210.04</v>
      </c>
      <c r="J1038" s="196">
        <v>289.11</v>
      </c>
      <c r="K1038" s="196"/>
      <c r="L1038" s="200">
        <v>1038</v>
      </c>
      <c r="M1038" s="200">
        <v>2</v>
      </c>
      <c r="N1038" s="200">
        <v>7</v>
      </c>
    </row>
    <row r="1039" spans="1:14" x14ac:dyDescent="0.25">
      <c r="A1039" s="198" t="s">
        <v>2240</v>
      </c>
      <c r="B1039" s="198" t="s">
        <v>2473</v>
      </c>
      <c r="C1039" s="198">
        <v>0</v>
      </c>
      <c r="D1039" s="196">
        <v>327</v>
      </c>
      <c r="E1039" s="196">
        <v>42.718000000000004</v>
      </c>
      <c r="F1039" s="196">
        <v>5.6000000000000001E-2</v>
      </c>
      <c r="G1039" s="196">
        <v>17.221</v>
      </c>
      <c r="H1039" s="196">
        <v>262.22000000000003</v>
      </c>
      <c r="I1039" s="196">
        <v>97.372</v>
      </c>
      <c r="J1039" s="196">
        <v>119.121</v>
      </c>
      <c r="K1039" s="196"/>
      <c r="L1039" s="200">
        <v>1039</v>
      </c>
      <c r="M1039" s="200">
        <v>1</v>
      </c>
      <c r="N1039" s="200">
        <v>7</v>
      </c>
    </row>
    <row r="1040" spans="1:14" x14ac:dyDescent="0.25">
      <c r="A1040" s="198" t="s">
        <v>2240</v>
      </c>
      <c r="B1040" s="198" t="s">
        <v>8738</v>
      </c>
      <c r="C1040" s="198">
        <v>0</v>
      </c>
      <c r="D1040" s="196">
        <v>101</v>
      </c>
      <c r="E1040" s="196">
        <v>42.74</v>
      </c>
      <c r="F1040" s="196">
        <v>7.5999999999999998E-2</v>
      </c>
      <c r="G1040" s="196">
        <v>6.5</v>
      </c>
      <c r="H1040" s="196">
        <v>240.6</v>
      </c>
      <c r="I1040" s="196">
        <v>59.19</v>
      </c>
      <c r="J1040" s="196">
        <v>292.10000000000002</v>
      </c>
      <c r="K1040" s="196"/>
      <c r="L1040" s="200">
        <v>1040</v>
      </c>
      <c r="M1040" s="200">
        <v>2</v>
      </c>
      <c r="N1040" s="200">
        <v>7</v>
      </c>
    </row>
    <row r="1041" spans="1:14" x14ac:dyDescent="0.25">
      <c r="A1041" s="198" t="s">
        <v>2240</v>
      </c>
      <c r="B1041" s="198" t="s">
        <v>8739</v>
      </c>
      <c r="C1041" s="198">
        <v>0</v>
      </c>
      <c r="D1041" s="196">
        <v>111</v>
      </c>
      <c r="E1041" s="196">
        <v>42.773000000000003</v>
      </c>
      <c r="F1041" s="196">
        <v>0.123</v>
      </c>
      <c r="G1041" s="196">
        <v>7.4960000000000004</v>
      </c>
      <c r="H1041" s="196">
        <v>75.016000000000005</v>
      </c>
      <c r="I1041" s="196">
        <v>60.515999999999998</v>
      </c>
      <c r="J1041" s="196">
        <v>260.73500000000001</v>
      </c>
      <c r="K1041" s="196"/>
      <c r="L1041" s="200">
        <v>1041</v>
      </c>
      <c r="M1041" s="200">
        <v>2</v>
      </c>
      <c r="N1041" s="200">
        <v>7</v>
      </c>
    </row>
    <row r="1042" spans="1:14" x14ac:dyDescent="0.25">
      <c r="A1042" s="198" t="s">
        <v>2240</v>
      </c>
      <c r="B1042" s="198" t="s">
        <v>8740</v>
      </c>
      <c r="C1042" s="198">
        <v>1</v>
      </c>
      <c r="D1042" s="196">
        <v>99</v>
      </c>
      <c r="E1042" s="196">
        <v>42.776000000000003</v>
      </c>
      <c r="F1042" s="196">
        <v>3.6999999999999998E-2</v>
      </c>
      <c r="G1042" s="196">
        <v>1.2310000000000001</v>
      </c>
      <c r="H1042" s="196">
        <v>78.867999999999995</v>
      </c>
      <c r="I1042" s="196">
        <v>180.01</v>
      </c>
      <c r="J1042" s="196">
        <v>226.02</v>
      </c>
      <c r="K1042" s="196">
        <v>1</v>
      </c>
      <c r="L1042" s="200">
        <v>1042</v>
      </c>
      <c r="M1042" s="200">
        <v>2</v>
      </c>
      <c r="N1042" s="200">
        <v>7</v>
      </c>
    </row>
    <row r="1043" spans="1:14" x14ac:dyDescent="0.25">
      <c r="A1043" s="198" t="s">
        <v>32</v>
      </c>
      <c r="B1043" s="198" t="s">
        <v>7121</v>
      </c>
      <c r="C1043" s="198"/>
      <c r="D1043" s="196">
        <v>70</v>
      </c>
      <c r="E1043" s="196"/>
      <c r="F1043" s="196">
        <v>0.55600000000000005</v>
      </c>
      <c r="G1043" s="196"/>
      <c r="H1043" s="196"/>
      <c r="I1043" s="196"/>
      <c r="J1043" s="196"/>
      <c r="K1043" s="196"/>
      <c r="L1043" s="200">
        <v>1043</v>
      </c>
      <c r="M1043" s="200">
        <v>3</v>
      </c>
      <c r="N1043" s="200">
        <v>28</v>
      </c>
    </row>
    <row r="1044" spans="1:14" x14ac:dyDescent="0.25">
      <c r="A1044" s="198" t="s">
        <v>2240</v>
      </c>
      <c r="B1044" s="198" t="s">
        <v>8741</v>
      </c>
      <c r="C1044" s="198">
        <v>0</v>
      </c>
      <c r="D1044" s="196">
        <v>114</v>
      </c>
      <c r="E1044" s="196">
        <v>42.777999999999999</v>
      </c>
      <c r="F1044" s="196">
        <v>1.4E-2</v>
      </c>
      <c r="G1044" s="196">
        <v>1.694</v>
      </c>
      <c r="H1044" s="196">
        <v>268.89999999999998</v>
      </c>
      <c r="I1044" s="196">
        <v>52.7</v>
      </c>
      <c r="J1044" s="196">
        <v>158.5</v>
      </c>
      <c r="K1044" s="196"/>
      <c r="L1044" s="200">
        <v>1044</v>
      </c>
      <c r="M1044" s="200">
        <v>2</v>
      </c>
      <c r="N1044" s="200">
        <v>7</v>
      </c>
    </row>
    <row r="1045" spans="1:14" x14ac:dyDescent="0.25">
      <c r="A1045" s="198" t="s">
        <v>2240</v>
      </c>
      <c r="B1045" s="198" t="s">
        <v>8742</v>
      </c>
      <c r="C1045" s="198">
        <v>0</v>
      </c>
      <c r="D1045" s="196">
        <v>222</v>
      </c>
      <c r="E1045" s="196">
        <v>42.786000000000001</v>
      </c>
      <c r="F1045" s="196">
        <v>0.13500000000000001</v>
      </c>
      <c r="G1045" s="196">
        <v>27.010999999999999</v>
      </c>
      <c r="H1045" s="196">
        <v>263.82</v>
      </c>
      <c r="I1045" s="196">
        <v>274.45</v>
      </c>
      <c r="J1045" s="196">
        <v>335.89</v>
      </c>
      <c r="K1045" s="196"/>
      <c r="L1045" s="200">
        <v>1045</v>
      </c>
      <c r="M1045" s="200">
        <v>2</v>
      </c>
      <c r="N1045" s="200">
        <v>7</v>
      </c>
    </row>
    <row r="1046" spans="1:14" x14ac:dyDescent="0.25">
      <c r="A1046" s="198" t="s">
        <v>2240</v>
      </c>
      <c r="B1046" s="198" t="s">
        <v>8743</v>
      </c>
      <c r="C1046" s="198">
        <v>0</v>
      </c>
      <c r="D1046" s="196">
        <v>180</v>
      </c>
      <c r="E1046" s="196">
        <v>42.801000000000002</v>
      </c>
      <c r="F1046" s="196">
        <v>0.115</v>
      </c>
      <c r="G1046" s="196">
        <v>27.6</v>
      </c>
      <c r="H1046" s="196">
        <v>108.18</v>
      </c>
      <c r="I1046" s="196">
        <v>287.20999999999998</v>
      </c>
      <c r="J1046" s="196">
        <v>304.39999999999998</v>
      </c>
      <c r="K1046" s="196"/>
      <c r="L1046" s="200">
        <v>1046</v>
      </c>
      <c r="M1046" s="200">
        <v>2</v>
      </c>
      <c r="N1046" s="200">
        <v>7</v>
      </c>
    </row>
    <row r="1047" spans="1:14" x14ac:dyDescent="0.25">
      <c r="A1047" s="198" t="s">
        <v>2240</v>
      </c>
      <c r="B1047" s="198" t="s">
        <v>8744</v>
      </c>
      <c r="C1047" s="198">
        <v>0</v>
      </c>
      <c r="D1047" s="196">
        <v>178</v>
      </c>
      <c r="E1047" s="196">
        <v>42.829000000000001</v>
      </c>
      <c r="F1047" s="196">
        <v>4.5999999999999999E-2</v>
      </c>
      <c r="G1047" s="196">
        <v>23.681000000000001</v>
      </c>
      <c r="H1047" s="196">
        <v>73.516000000000005</v>
      </c>
      <c r="I1047" s="196">
        <v>35.613999999999997</v>
      </c>
      <c r="J1047" s="196">
        <v>92.055999999999997</v>
      </c>
      <c r="K1047" s="196"/>
      <c r="L1047" s="200">
        <v>1047</v>
      </c>
      <c r="M1047" s="200">
        <v>2</v>
      </c>
      <c r="N1047" s="200">
        <v>7</v>
      </c>
    </row>
    <row r="1048" spans="1:14" x14ac:dyDescent="0.25">
      <c r="A1048" s="198" t="s">
        <v>2240</v>
      </c>
      <c r="B1048" s="198" t="s">
        <v>8745</v>
      </c>
      <c r="C1048" s="198">
        <v>0</v>
      </c>
      <c r="D1048" s="196">
        <v>150</v>
      </c>
      <c r="E1048" s="196">
        <v>42.85</v>
      </c>
      <c r="F1048" s="196">
        <v>5.6000000000000001E-2</v>
      </c>
      <c r="G1048" s="196">
        <v>8.7200000000000006</v>
      </c>
      <c r="H1048" s="196">
        <v>13.3</v>
      </c>
      <c r="I1048" s="196">
        <v>294.56</v>
      </c>
      <c r="J1048" s="196">
        <v>305.89999999999998</v>
      </c>
      <c r="K1048" s="196"/>
      <c r="L1048" s="200">
        <v>1048</v>
      </c>
      <c r="M1048" s="200">
        <v>2</v>
      </c>
      <c r="N1048" s="200">
        <v>7</v>
      </c>
    </row>
    <row r="1049" spans="1:14" x14ac:dyDescent="0.25">
      <c r="A1049" s="198" t="s">
        <v>2240</v>
      </c>
      <c r="B1049" s="198" t="s">
        <v>8746</v>
      </c>
      <c r="C1049" s="198">
        <v>0</v>
      </c>
      <c r="D1049" s="196">
        <v>160</v>
      </c>
      <c r="E1049" s="196">
        <v>42.874000000000002</v>
      </c>
      <c r="F1049" s="196">
        <v>0.17100000000000001</v>
      </c>
      <c r="G1049" s="196">
        <v>28.7</v>
      </c>
      <c r="H1049" s="196">
        <v>211.9</v>
      </c>
      <c r="I1049" s="196">
        <v>131.1</v>
      </c>
      <c r="J1049" s="196">
        <v>17.100000000000001</v>
      </c>
      <c r="K1049" s="196"/>
      <c r="L1049" s="200">
        <v>1049</v>
      </c>
      <c r="M1049" s="200">
        <v>2</v>
      </c>
      <c r="N1049" s="200">
        <v>7</v>
      </c>
    </row>
    <row r="1050" spans="1:14" x14ac:dyDescent="0.25">
      <c r="A1050" s="198" t="s">
        <v>2240</v>
      </c>
      <c r="B1050" s="198" t="s">
        <v>8747</v>
      </c>
      <c r="C1050" s="198">
        <v>0</v>
      </c>
      <c r="D1050" s="196">
        <v>248</v>
      </c>
      <c r="E1050" s="196">
        <v>42.896999999999998</v>
      </c>
      <c r="F1050" s="196">
        <v>0.157</v>
      </c>
      <c r="G1050" s="196">
        <v>17.402999999999999</v>
      </c>
      <c r="H1050" s="196">
        <v>269.24</v>
      </c>
      <c r="I1050" s="196">
        <v>236.58</v>
      </c>
      <c r="J1050" s="196">
        <v>269.23</v>
      </c>
      <c r="K1050" s="196"/>
      <c r="L1050" s="200">
        <v>1050</v>
      </c>
      <c r="M1050" s="200">
        <v>2</v>
      </c>
      <c r="N1050" s="200">
        <v>7</v>
      </c>
    </row>
    <row r="1051" spans="1:14" x14ac:dyDescent="0.25">
      <c r="A1051" s="198" t="s">
        <v>2240</v>
      </c>
      <c r="B1051" s="198" t="s">
        <v>8748</v>
      </c>
      <c r="C1051" s="198">
        <v>0</v>
      </c>
      <c r="D1051" s="196">
        <v>94</v>
      </c>
      <c r="E1051" s="196">
        <v>42.905999999999999</v>
      </c>
      <c r="F1051" s="196">
        <v>5.7000000000000002E-2</v>
      </c>
      <c r="G1051" s="196">
        <v>8.8819999999999997</v>
      </c>
      <c r="H1051" s="196">
        <v>212.536</v>
      </c>
      <c r="I1051" s="196">
        <v>108.53400000000001</v>
      </c>
      <c r="J1051" s="196">
        <v>5.6000000000000001E-2</v>
      </c>
      <c r="K1051" s="196"/>
      <c r="L1051" s="200">
        <v>1051</v>
      </c>
      <c r="M1051" s="200">
        <v>2</v>
      </c>
      <c r="N1051" s="200">
        <v>7</v>
      </c>
    </row>
    <row r="1052" spans="1:14" x14ac:dyDescent="0.25">
      <c r="A1052" s="198" t="s">
        <v>2240</v>
      </c>
      <c r="B1052" s="198" t="s">
        <v>8749</v>
      </c>
      <c r="C1052" s="198">
        <v>0</v>
      </c>
      <c r="D1052" s="196">
        <v>121</v>
      </c>
      <c r="E1052" s="196">
        <v>42.95</v>
      </c>
      <c r="F1052" s="196">
        <v>0.111</v>
      </c>
      <c r="G1052" s="196">
        <v>15.95</v>
      </c>
      <c r="H1052" s="196">
        <v>186</v>
      </c>
      <c r="I1052" s="196">
        <v>0.68</v>
      </c>
      <c r="J1052" s="196">
        <v>172.7</v>
      </c>
      <c r="K1052" s="196"/>
      <c r="L1052" s="200">
        <v>1052</v>
      </c>
      <c r="M1052" s="200">
        <v>2</v>
      </c>
      <c r="N1052" s="200">
        <v>7</v>
      </c>
    </row>
    <row r="1053" spans="1:14" x14ac:dyDescent="0.25">
      <c r="A1053" s="198" t="s">
        <v>2240</v>
      </c>
      <c r="B1053" s="198" t="s">
        <v>8750</v>
      </c>
      <c r="C1053" s="198">
        <v>0</v>
      </c>
      <c r="D1053" s="196">
        <v>111</v>
      </c>
      <c r="E1053" s="196">
        <v>43</v>
      </c>
      <c r="F1053" s="196">
        <v>6.9000000000000006E-2</v>
      </c>
      <c r="G1053" s="196">
        <v>8.5299999999999994</v>
      </c>
      <c r="H1053" s="196">
        <v>140.25</v>
      </c>
      <c r="I1053" s="196">
        <v>118.29</v>
      </c>
      <c r="J1053" s="196">
        <v>314.99</v>
      </c>
      <c r="K1053" s="196"/>
      <c r="L1053" s="200">
        <v>1053</v>
      </c>
      <c r="M1053" s="200">
        <v>2</v>
      </c>
      <c r="N1053" s="200">
        <v>7</v>
      </c>
    </row>
    <row r="1054" spans="1:14" x14ac:dyDescent="0.25">
      <c r="A1054" s="198" t="s">
        <v>2240</v>
      </c>
      <c r="B1054" s="198" t="s">
        <v>8751</v>
      </c>
      <c r="C1054" s="198">
        <v>0</v>
      </c>
      <c r="D1054" s="196">
        <v>86</v>
      </c>
      <c r="E1054" s="196">
        <v>43</v>
      </c>
      <c r="F1054" s="196">
        <v>0.1</v>
      </c>
      <c r="G1054" s="196">
        <v>5</v>
      </c>
      <c r="H1054" s="196">
        <v>312</v>
      </c>
      <c r="I1054" s="196">
        <v>35</v>
      </c>
      <c r="J1054" s="196">
        <v>30</v>
      </c>
      <c r="K1054" s="196"/>
      <c r="L1054" s="200">
        <v>1054</v>
      </c>
      <c r="M1054" s="200">
        <v>2</v>
      </c>
      <c r="N1054" s="200">
        <v>7</v>
      </c>
    </row>
    <row r="1055" spans="1:14" x14ac:dyDescent="0.25">
      <c r="A1055" s="198" t="s">
        <v>2240</v>
      </c>
      <c r="B1055" s="198" t="s">
        <v>8752</v>
      </c>
      <c r="C1055" s="198">
        <v>0</v>
      </c>
      <c r="D1055" s="196">
        <v>101</v>
      </c>
      <c r="E1055" s="196">
        <v>43</v>
      </c>
      <c r="F1055" s="196">
        <v>7.5999999999999998E-2</v>
      </c>
      <c r="G1055" s="196">
        <v>12.41</v>
      </c>
      <c r="H1055" s="196">
        <v>100.2</v>
      </c>
      <c r="I1055" s="196">
        <v>140.69999999999999</v>
      </c>
      <c r="J1055" s="196">
        <v>142.30000000000001</v>
      </c>
      <c r="K1055" s="196"/>
      <c r="L1055" s="200">
        <v>1055</v>
      </c>
      <c r="M1055" s="200">
        <v>2</v>
      </c>
      <c r="N1055" s="200">
        <v>7</v>
      </c>
    </row>
    <row r="1056" spans="1:14" x14ac:dyDescent="0.25">
      <c r="A1056" s="198" t="s">
        <v>2240</v>
      </c>
      <c r="B1056" s="198" t="s">
        <v>8753</v>
      </c>
      <c r="C1056" s="198">
        <v>0</v>
      </c>
      <c r="D1056" s="196">
        <v>223</v>
      </c>
      <c r="E1056" s="196">
        <v>43.014000000000003</v>
      </c>
      <c r="F1056" s="196">
        <v>0.14499999999999999</v>
      </c>
      <c r="G1056" s="196">
        <v>24.832999999999998</v>
      </c>
      <c r="H1056" s="196">
        <v>280.54000000000002</v>
      </c>
      <c r="I1056" s="196">
        <v>3.1379999999999999</v>
      </c>
      <c r="J1056" s="196">
        <v>286.60000000000002</v>
      </c>
      <c r="K1056" s="196"/>
      <c r="L1056" s="200">
        <v>1056</v>
      </c>
      <c r="M1056" s="200">
        <v>2</v>
      </c>
      <c r="N1056" s="200">
        <v>7</v>
      </c>
    </row>
    <row r="1057" spans="1:17" x14ac:dyDescent="0.25">
      <c r="A1057" s="198" t="s">
        <v>2240</v>
      </c>
      <c r="B1057" s="198" t="s">
        <v>8754</v>
      </c>
      <c r="C1057" s="198">
        <v>0</v>
      </c>
      <c r="D1057" s="196">
        <v>247</v>
      </c>
      <c r="E1057" s="196">
        <v>43.018999999999998</v>
      </c>
      <c r="F1057" s="196">
        <v>0.11700000000000001</v>
      </c>
      <c r="G1057" s="196">
        <v>28.844999999999999</v>
      </c>
      <c r="H1057" s="196">
        <v>88.906000000000006</v>
      </c>
      <c r="I1057" s="196">
        <v>156.4</v>
      </c>
      <c r="J1057" s="196">
        <v>170.71</v>
      </c>
      <c r="K1057" s="196"/>
      <c r="L1057" s="200">
        <v>1057</v>
      </c>
      <c r="M1057" s="200">
        <v>2</v>
      </c>
      <c r="N1057" s="200">
        <v>7</v>
      </c>
    </row>
    <row r="1058" spans="1:17" x14ac:dyDescent="0.25">
      <c r="A1058" s="198" t="s">
        <v>2240</v>
      </c>
      <c r="B1058" s="198" t="s">
        <v>8755</v>
      </c>
      <c r="C1058" s="198">
        <v>0</v>
      </c>
      <c r="D1058" s="196">
        <v>151</v>
      </c>
      <c r="E1058" s="196">
        <v>43.036999999999999</v>
      </c>
      <c r="F1058" s="196">
        <v>6.2E-2</v>
      </c>
      <c r="G1058" s="196">
        <v>13.89</v>
      </c>
      <c r="H1058" s="196">
        <v>35.96</v>
      </c>
      <c r="I1058" s="196">
        <v>247.65</v>
      </c>
      <c r="J1058" s="196">
        <v>282.60000000000002</v>
      </c>
      <c r="K1058" s="196"/>
      <c r="L1058" s="200">
        <v>1058</v>
      </c>
      <c r="M1058" s="200">
        <v>2</v>
      </c>
      <c r="N1058" s="200">
        <v>7</v>
      </c>
    </row>
    <row r="1059" spans="1:17" x14ac:dyDescent="0.25">
      <c r="A1059" s="198" t="s">
        <v>2240</v>
      </c>
      <c r="B1059" s="198" t="s">
        <v>8756</v>
      </c>
      <c r="C1059" s="198">
        <v>0</v>
      </c>
      <c r="D1059" s="196">
        <v>121</v>
      </c>
      <c r="E1059" s="196">
        <v>43.05</v>
      </c>
      <c r="F1059" s="196">
        <v>3.3000000000000002E-2</v>
      </c>
      <c r="G1059" s="196">
        <v>17.07</v>
      </c>
      <c r="H1059" s="196">
        <v>83.81</v>
      </c>
      <c r="I1059" s="196">
        <v>150.57</v>
      </c>
      <c r="J1059" s="196">
        <v>277.7</v>
      </c>
      <c r="K1059" s="196"/>
      <c r="L1059" s="200">
        <v>1059</v>
      </c>
      <c r="M1059" s="200">
        <v>2</v>
      </c>
      <c r="N1059" s="200">
        <v>7</v>
      </c>
    </row>
    <row r="1060" spans="1:17" x14ac:dyDescent="0.25">
      <c r="A1060" s="198" t="s">
        <v>2240</v>
      </c>
      <c r="B1060" s="198" t="s">
        <v>8757</v>
      </c>
      <c r="C1060" s="198">
        <v>0</v>
      </c>
      <c r="D1060" s="196">
        <v>116</v>
      </c>
      <c r="E1060" s="196">
        <v>43.05</v>
      </c>
      <c r="F1060" s="196">
        <v>0.106</v>
      </c>
      <c r="G1060" s="196">
        <v>27.219000000000001</v>
      </c>
      <c r="H1060" s="196">
        <v>67.081999999999994</v>
      </c>
      <c r="I1060" s="196">
        <v>182.93</v>
      </c>
      <c r="J1060" s="196">
        <v>71.840999999999994</v>
      </c>
      <c r="K1060" s="196"/>
      <c r="L1060" s="200">
        <v>1060</v>
      </c>
      <c r="M1060" s="200">
        <v>2</v>
      </c>
      <c r="N1060" s="200">
        <v>7</v>
      </c>
    </row>
    <row r="1061" spans="1:17" x14ac:dyDescent="0.25">
      <c r="A1061" s="198" t="s">
        <v>2240</v>
      </c>
      <c r="B1061" s="198" t="s">
        <v>8758</v>
      </c>
      <c r="C1061" s="198">
        <v>0</v>
      </c>
      <c r="D1061" s="196">
        <v>107</v>
      </c>
      <c r="E1061" s="196">
        <v>43.052</v>
      </c>
      <c r="F1061" s="196">
        <v>0.106</v>
      </c>
      <c r="G1061" s="196">
        <v>27.25</v>
      </c>
      <c r="H1061" s="196">
        <v>16.13</v>
      </c>
      <c r="I1061" s="196">
        <v>189.06899999999999</v>
      </c>
      <c r="J1061" s="196">
        <v>180.31</v>
      </c>
      <c r="K1061" s="196"/>
      <c r="L1061" s="200">
        <v>1061</v>
      </c>
      <c r="M1061" s="200">
        <v>2</v>
      </c>
      <c r="N1061" s="200">
        <v>7</v>
      </c>
    </row>
    <row r="1062" spans="1:17" x14ac:dyDescent="0.25">
      <c r="A1062" s="198" t="s">
        <v>2240</v>
      </c>
      <c r="B1062" s="198" t="s">
        <v>8759</v>
      </c>
      <c r="C1062" s="198">
        <v>0</v>
      </c>
      <c r="D1062" s="196">
        <v>180</v>
      </c>
      <c r="E1062" s="196">
        <v>43.07</v>
      </c>
      <c r="F1062" s="196">
        <v>0.151</v>
      </c>
      <c r="G1062" s="196">
        <v>17.32</v>
      </c>
      <c r="H1062" s="196">
        <v>95.6</v>
      </c>
      <c r="I1062" s="196">
        <v>202.67</v>
      </c>
      <c r="J1062" s="196">
        <v>96.7</v>
      </c>
      <c r="K1062" s="196"/>
      <c r="L1062" s="200">
        <v>1062</v>
      </c>
      <c r="M1062" s="200">
        <v>2</v>
      </c>
      <c r="N1062" s="200">
        <v>7</v>
      </c>
    </row>
    <row r="1063" spans="1:17" x14ac:dyDescent="0.25">
      <c r="A1063" s="198" t="s">
        <v>2240</v>
      </c>
      <c r="B1063" s="198" t="s">
        <v>8760</v>
      </c>
      <c r="C1063" s="198">
        <v>0</v>
      </c>
      <c r="D1063" s="196">
        <v>190</v>
      </c>
      <c r="E1063" s="196">
        <v>43.1</v>
      </c>
      <c r="F1063" s="196">
        <v>0.09</v>
      </c>
      <c r="G1063" s="196">
        <v>10.87</v>
      </c>
      <c r="H1063" s="196">
        <v>26.01</v>
      </c>
      <c r="I1063" s="196">
        <v>266.42</v>
      </c>
      <c r="J1063" s="196">
        <v>323</v>
      </c>
      <c r="K1063" s="196"/>
      <c r="L1063" s="200">
        <v>1063</v>
      </c>
      <c r="M1063" s="200">
        <v>2</v>
      </c>
      <c r="N1063" s="200">
        <v>7</v>
      </c>
    </row>
    <row r="1064" spans="1:17" x14ac:dyDescent="0.25">
      <c r="A1064" s="198" t="s">
        <v>2240</v>
      </c>
      <c r="B1064" s="198" t="s">
        <v>8761</v>
      </c>
      <c r="C1064" s="198">
        <v>0</v>
      </c>
      <c r="D1064" s="196">
        <v>175</v>
      </c>
      <c r="E1064" s="196">
        <v>43.100999999999999</v>
      </c>
      <c r="F1064" s="196">
        <v>0.182</v>
      </c>
      <c r="G1064" s="196">
        <v>27.4</v>
      </c>
      <c r="H1064" s="196">
        <v>281.27999999999997</v>
      </c>
      <c r="I1064" s="196">
        <v>109.3</v>
      </c>
      <c r="J1064" s="196">
        <v>346.55</v>
      </c>
      <c r="K1064" s="196"/>
      <c r="L1064" s="200">
        <v>1064</v>
      </c>
      <c r="M1064" s="200">
        <v>2</v>
      </c>
      <c r="N1064" s="200">
        <v>7</v>
      </c>
    </row>
    <row r="1065" spans="1:17" x14ac:dyDescent="0.25">
      <c r="A1065" s="199" t="s">
        <v>2522</v>
      </c>
      <c r="B1065" s="198" t="s">
        <v>2511</v>
      </c>
      <c r="C1065" s="198">
        <v>2</v>
      </c>
      <c r="D1065" s="196">
        <v>780</v>
      </c>
      <c r="E1065" s="196">
        <v>43.116</v>
      </c>
      <c r="F1065" s="196">
        <v>0.19600000000000001</v>
      </c>
      <c r="G1065" s="196">
        <v>28.213999999999999</v>
      </c>
      <c r="H1065" s="196">
        <v>239.041</v>
      </c>
      <c r="I1065" s="196">
        <v>122.167</v>
      </c>
      <c r="J1065" s="196">
        <v>218.20500000000001</v>
      </c>
      <c r="K1065" s="196">
        <v>1.887</v>
      </c>
      <c r="L1065" s="200">
        <v>1065</v>
      </c>
      <c r="M1065" s="200">
        <v>1</v>
      </c>
      <c r="N1065" s="200">
        <v>2</v>
      </c>
      <c r="O1065" s="194" t="s">
        <v>2511</v>
      </c>
      <c r="P1065" s="194" t="s">
        <v>9589</v>
      </c>
      <c r="Q1065" s="200" t="s">
        <v>8068</v>
      </c>
    </row>
    <row r="1066" spans="1:17" x14ac:dyDescent="0.25">
      <c r="A1066" s="198" t="s">
        <v>32</v>
      </c>
      <c r="B1066" s="198" t="s">
        <v>2518</v>
      </c>
      <c r="C1066" s="198"/>
      <c r="D1066" s="196">
        <v>85</v>
      </c>
      <c r="E1066" s="196"/>
      <c r="F1066" s="196">
        <v>0.249</v>
      </c>
      <c r="G1066" s="196"/>
      <c r="H1066" s="196"/>
      <c r="I1066" s="196"/>
      <c r="J1066" s="196"/>
      <c r="K1066" s="196">
        <v>0.65</v>
      </c>
      <c r="L1066" s="200">
        <v>1066</v>
      </c>
      <c r="M1066" s="200">
        <v>1</v>
      </c>
      <c r="N1066" s="200">
        <v>27</v>
      </c>
    </row>
    <row r="1067" spans="1:17" x14ac:dyDescent="0.25">
      <c r="A1067" s="198" t="s">
        <v>32</v>
      </c>
      <c r="B1067" s="198" t="s">
        <v>2520</v>
      </c>
      <c r="C1067" s="198"/>
      <c r="D1067" s="196">
        <v>160</v>
      </c>
      <c r="E1067" s="196"/>
      <c r="F1067" s="196">
        <v>5.0999999999999997E-2</v>
      </c>
      <c r="G1067" s="196"/>
      <c r="H1067" s="196"/>
      <c r="I1067" s="196"/>
      <c r="J1067" s="196"/>
      <c r="K1067" s="196">
        <v>0.46100000000000002</v>
      </c>
      <c r="L1067" s="200">
        <v>1067</v>
      </c>
      <c r="M1067" s="200">
        <v>1</v>
      </c>
      <c r="N1067" s="200">
        <v>4</v>
      </c>
    </row>
    <row r="1068" spans="1:17" x14ac:dyDescent="0.25">
      <c r="A1068" s="198" t="s">
        <v>2240</v>
      </c>
      <c r="B1068" s="198" t="s">
        <v>8762</v>
      </c>
      <c r="C1068" s="198">
        <v>0</v>
      </c>
      <c r="D1068" s="196">
        <v>145</v>
      </c>
      <c r="E1068" s="196">
        <v>43.116</v>
      </c>
      <c r="F1068" s="196">
        <v>0.122</v>
      </c>
      <c r="G1068" s="196">
        <v>25.878</v>
      </c>
      <c r="H1068" s="196">
        <v>338.95800000000003</v>
      </c>
      <c r="I1068" s="196">
        <v>324.69799999999998</v>
      </c>
      <c r="J1068" s="196">
        <v>73.762</v>
      </c>
      <c r="K1068" s="196">
        <v>1</v>
      </c>
      <c r="L1068" s="200">
        <v>1068</v>
      </c>
      <c r="M1068" s="200">
        <v>2</v>
      </c>
      <c r="N1068" s="200">
        <v>7</v>
      </c>
    </row>
    <row r="1069" spans="1:17" x14ac:dyDescent="0.25">
      <c r="A1069" s="198" t="s">
        <v>2240</v>
      </c>
      <c r="B1069" s="198" t="s">
        <v>8763</v>
      </c>
      <c r="C1069" s="198">
        <v>0</v>
      </c>
      <c r="D1069" s="196">
        <v>119</v>
      </c>
      <c r="E1069" s="196">
        <v>43.162999999999997</v>
      </c>
      <c r="F1069" s="196">
        <v>0.13600000000000001</v>
      </c>
      <c r="G1069" s="196">
        <v>28.506</v>
      </c>
      <c r="H1069" s="196">
        <v>279.66000000000003</v>
      </c>
      <c r="I1069" s="196">
        <v>85.852000000000004</v>
      </c>
      <c r="J1069" s="196">
        <v>43.576000000000001</v>
      </c>
      <c r="K1069" s="196"/>
      <c r="L1069" s="200">
        <v>1069</v>
      </c>
      <c r="M1069" s="200">
        <v>2</v>
      </c>
      <c r="N1069" s="200">
        <v>7</v>
      </c>
    </row>
    <row r="1070" spans="1:17" x14ac:dyDescent="0.25">
      <c r="A1070" s="198" t="s">
        <v>1966</v>
      </c>
      <c r="B1070" s="198" t="s">
        <v>8764</v>
      </c>
      <c r="C1070" s="198">
        <v>0</v>
      </c>
      <c r="D1070" s="196">
        <v>66</v>
      </c>
      <c r="E1070" s="196">
        <v>43.173999999999999</v>
      </c>
      <c r="F1070" s="196">
        <v>0.438</v>
      </c>
      <c r="G1070" s="196">
        <v>7.1879999999999997</v>
      </c>
      <c r="H1070" s="196">
        <v>276.58300000000003</v>
      </c>
      <c r="I1070" s="196">
        <v>249.46100000000001</v>
      </c>
      <c r="J1070" s="196">
        <v>52.884</v>
      </c>
      <c r="K1070" s="196"/>
      <c r="L1070" s="200">
        <v>1070</v>
      </c>
      <c r="M1070" s="200">
        <v>2</v>
      </c>
      <c r="N1070" s="200">
        <v>6</v>
      </c>
    </row>
    <row r="1071" spans="1:17" x14ac:dyDescent="0.25">
      <c r="A1071" s="198" t="s">
        <v>2240</v>
      </c>
      <c r="B1071" s="198" t="s">
        <v>8765</v>
      </c>
      <c r="C1071" s="198">
        <v>0</v>
      </c>
      <c r="D1071" s="196">
        <v>174</v>
      </c>
      <c r="E1071" s="196">
        <v>43.18</v>
      </c>
      <c r="F1071" s="196">
        <v>0.13200000000000001</v>
      </c>
      <c r="G1071" s="196">
        <v>28.16</v>
      </c>
      <c r="H1071" s="196">
        <v>251.33</v>
      </c>
      <c r="I1071" s="196">
        <v>352.44</v>
      </c>
      <c r="J1071" s="196">
        <v>98.8</v>
      </c>
      <c r="K1071" s="196"/>
      <c r="L1071" s="200">
        <v>1071</v>
      </c>
      <c r="M1071" s="200">
        <v>2</v>
      </c>
      <c r="N1071" s="200">
        <v>7</v>
      </c>
    </row>
    <row r="1072" spans="1:17" x14ac:dyDescent="0.25">
      <c r="A1072" s="198" t="s">
        <v>2240</v>
      </c>
      <c r="B1072" s="198" t="s">
        <v>8766</v>
      </c>
      <c r="C1072" s="198">
        <v>0</v>
      </c>
      <c r="D1072" s="196">
        <v>165</v>
      </c>
      <c r="E1072" s="196">
        <v>43.18</v>
      </c>
      <c r="F1072" s="196">
        <v>0.14499999999999999</v>
      </c>
      <c r="G1072" s="196">
        <v>20.92</v>
      </c>
      <c r="H1072" s="196">
        <v>93.57</v>
      </c>
      <c r="I1072" s="196">
        <v>100.32</v>
      </c>
      <c r="J1072" s="196">
        <v>307.44</v>
      </c>
      <c r="K1072" s="196"/>
      <c r="L1072" s="200">
        <v>1072</v>
      </c>
      <c r="M1072" s="200">
        <v>2</v>
      </c>
      <c r="N1072" s="200">
        <v>7</v>
      </c>
    </row>
    <row r="1073" spans="1:14" x14ac:dyDescent="0.25">
      <c r="A1073" s="198" t="s">
        <v>2240</v>
      </c>
      <c r="B1073" s="198" t="s">
        <v>8767</v>
      </c>
      <c r="C1073" s="198">
        <v>1</v>
      </c>
      <c r="D1073" s="196">
        <v>123</v>
      </c>
      <c r="E1073" s="196">
        <v>43.18</v>
      </c>
      <c r="F1073" s="196">
        <v>7.6999999999999999E-2</v>
      </c>
      <c r="G1073" s="196">
        <v>7.15</v>
      </c>
      <c r="H1073" s="196">
        <v>82</v>
      </c>
      <c r="I1073" s="196">
        <v>144.69999999999999</v>
      </c>
      <c r="J1073" s="196">
        <v>109</v>
      </c>
      <c r="K1073" s="196"/>
      <c r="L1073" s="200">
        <v>1073</v>
      </c>
      <c r="M1073" s="200">
        <v>2</v>
      </c>
      <c r="N1073" s="200">
        <v>7</v>
      </c>
    </row>
    <row r="1074" spans="1:14" x14ac:dyDescent="0.25">
      <c r="A1074" s="198" t="s">
        <v>32</v>
      </c>
      <c r="B1074" s="198" t="s">
        <v>5602</v>
      </c>
      <c r="C1074" s="198"/>
      <c r="D1074" s="196">
        <v>90</v>
      </c>
      <c r="E1074" s="196"/>
      <c r="F1074" s="196"/>
      <c r="G1074" s="196"/>
      <c r="H1074" s="196"/>
      <c r="I1074" s="196"/>
      <c r="J1074" s="196"/>
      <c r="K1074" s="196"/>
      <c r="L1074" s="200">
        <v>1074</v>
      </c>
      <c r="M1074" s="200">
        <v>3</v>
      </c>
      <c r="N1074" s="200">
        <v>28</v>
      </c>
    </row>
    <row r="1075" spans="1:14" x14ac:dyDescent="0.25">
      <c r="A1075" s="198" t="s">
        <v>2240</v>
      </c>
      <c r="B1075" s="198" t="s">
        <v>8768</v>
      </c>
      <c r="C1075" s="198">
        <v>0</v>
      </c>
      <c r="D1075" s="196">
        <v>174</v>
      </c>
      <c r="E1075" s="196">
        <v>43.182000000000002</v>
      </c>
      <c r="F1075" s="196">
        <v>0.27500000000000002</v>
      </c>
      <c r="G1075" s="196">
        <v>18.673999999999999</v>
      </c>
      <c r="H1075" s="196">
        <v>97.701999999999998</v>
      </c>
      <c r="I1075" s="196">
        <v>261.43</v>
      </c>
      <c r="J1075" s="196">
        <v>342.32</v>
      </c>
      <c r="K1075" s="196"/>
      <c r="L1075" s="200">
        <v>1075</v>
      </c>
      <c r="M1075" s="200">
        <v>2</v>
      </c>
      <c r="N1075" s="200">
        <v>7</v>
      </c>
    </row>
    <row r="1076" spans="1:14" x14ac:dyDescent="0.25">
      <c r="A1076" s="198" t="s">
        <v>2240</v>
      </c>
      <c r="B1076" s="198" t="s">
        <v>8769</v>
      </c>
      <c r="C1076" s="198">
        <v>0</v>
      </c>
      <c r="D1076" s="196">
        <v>244</v>
      </c>
      <c r="E1076" s="196">
        <v>43.198999999999998</v>
      </c>
      <c r="F1076" s="196">
        <v>0.13100000000000001</v>
      </c>
      <c r="G1076" s="196">
        <v>26.805</v>
      </c>
      <c r="H1076" s="196">
        <v>8.2330000000000005</v>
      </c>
      <c r="I1076" s="196">
        <v>256.13</v>
      </c>
      <c r="J1076" s="196">
        <v>284.58600000000001</v>
      </c>
      <c r="K1076" s="196"/>
      <c r="L1076" s="200">
        <v>1076</v>
      </c>
      <c r="M1076" s="200">
        <v>2</v>
      </c>
      <c r="N1076" s="200">
        <v>7</v>
      </c>
    </row>
    <row r="1077" spans="1:14" x14ac:dyDescent="0.25">
      <c r="A1077" s="198" t="s">
        <v>2240</v>
      </c>
      <c r="B1077" s="198" t="s">
        <v>8770</v>
      </c>
      <c r="C1077" s="198">
        <v>0</v>
      </c>
      <c r="D1077" s="196">
        <v>249</v>
      </c>
      <c r="E1077" s="196">
        <v>43.201000000000001</v>
      </c>
      <c r="F1077" s="196">
        <v>0.15</v>
      </c>
      <c r="G1077" s="196">
        <v>25.731999999999999</v>
      </c>
      <c r="H1077" s="196">
        <v>221.89</v>
      </c>
      <c r="I1077" s="196">
        <v>307.86799999999999</v>
      </c>
      <c r="J1077" s="196">
        <v>223.93</v>
      </c>
      <c r="K1077" s="196"/>
      <c r="L1077" s="200">
        <v>1077</v>
      </c>
      <c r="M1077" s="200">
        <v>2</v>
      </c>
      <c r="N1077" s="200">
        <v>7</v>
      </c>
    </row>
    <row r="1078" spans="1:14" x14ac:dyDescent="0.25">
      <c r="A1078" s="198" t="s">
        <v>2240</v>
      </c>
      <c r="B1078" s="198" t="s">
        <v>8771</v>
      </c>
      <c r="C1078" s="198">
        <v>0</v>
      </c>
      <c r="D1078" s="196">
        <v>139</v>
      </c>
      <c r="E1078" s="196">
        <v>43.256</v>
      </c>
      <c r="F1078" s="196">
        <v>6.0000000000000001E-3</v>
      </c>
      <c r="G1078" s="196">
        <v>19.065000000000001</v>
      </c>
      <c r="H1078" s="196">
        <v>345.05700000000002</v>
      </c>
      <c r="I1078" s="196">
        <v>331.464</v>
      </c>
      <c r="J1078" s="196">
        <v>1.7999999999999999E-2</v>
      </c>
      <c r="K1078" s="196"/>
      <c r="L1078" s="200">
        <v>1078</v>
      </c>
      <c r="M1078" s="200">
        <v>2</v>
      </c>
      <c r="N1078" s="200">
        <v>7</v>
      </c>
    </row>
    <row r="1079" spans="1:14" x14ac:dyDescent="0.25">
      <c r="A1079" s="198" t="s">
        <v>2240</v>
      </c>
      <c r="B1079" s="198" t="s">
        <v>8772</v>
      </c>
      <c r="C1079" s="198">
        <v>0</v>
      </c>
      <c r="D1079" s="196">
        <v>113</v>
      </c>
      <c r="E1079" s="196">
        <v>43.256</v>
      </c>
      <c r="F1079" s="196">
        <v>7.2999999999999995E-2</v>
      </c>
      <c r="G1079" s="196">
        <v>9.6999999999999993</v>
      </c>
      <c r="H1079" s="196">
        <v>241.99</v>
      </c>
      <c r="I1079" s="196">
        <v>144.76</v>
      </c>
      <c r="J1079" s="196">
        <v>348.16</v>
      </c>
      <c r="K1079" s="196"/>
      <c r="L1079" s="200">
        <v>1079</v>
      </c>
      <c r="M1079" s="200">
        <v>2</v>
      </c>
      <c r="N1079" s="200">
        <v>7</v>
      </c>
    </row>
    <row r="1080" spans="1:14" x14ac:dyDescent="0.25">
      <c r="A1080" s="198" t="s">
        <v>2240</v>
      </c>
      <c r="B1080" s="198" t="s">
        <v>8773</v>
      </c>
      <c r="C1080" s="198">
        <v>0</v>
      </c>
      <c r="D1080" s="196">
        <v>133</v>
      </c>
      <c r="E1080" s="196">
        <v>43.265999999999998</v>
      </c>
      <c r="F1080" s="196">
        <v>5.0999999999999997E-2</v>
      </c>
      <c r="G1080" s="196">
        <v>12.19</v>
      </c>
      <c r="H1080" s="196">
        <v>38.799999999999997</v>
      </c>
      <c r="I1080" s="196">
        <v>325.20999999999998</v>
      </c>
      <c r="J1080" s="196">
        <v>317.89999999999998</v>
      </c>
      <c r="K1080" s="196"/>
      <c r="L1080" s="200">
        <v>1080</v>
      </c>
      <c r="M1080" s="200">
        <v>2</v>
      </c>
      <c r="N1080" s="200">
        <v>7</v>
      </c>
    </row>
    <row r="1081" spans="1:14" x14ac:dyDescent="0.25">
      <c r="A1081" s="198" t="s">
        <v>2240</v>
      </c>
      <c r="B1081" s="198" t="s">
        <v>8774</v>
      </c>
      <c r="C1081" s="198">
        <v>0</v>
      </c>
      <c r="D1081" s="196">
        <v>110</v>
      </c>
      <c r="E1081" s="196">
        <v>43.29</v>
      </c>
      <c r="F1081" s="196">
        <v>7.3999999999999996E-2</v>
      </c>
      <c r="G1081" s="196">
        <v>6.51</v>
      </c>
      <c r="H1081" s="196">
        <v>74.430000000000007</v>
      </c>
      <c r="I1081" s="196">
        <v>114.74</v>
      </c>
      <c r="J1081" s="196">
        <v>313</v>
      </c>
      <c r="K1081" s="196"/>
      <c r="L1081" s="200">
        <v>1081</v>
      </c>
      <c r="M1081" s="200">
        <v>2</v>
      </c>
      <c r="N1081" s="200">
        <v>7</v>
      </c>
    </row>
    <row r="1082" spans="1:14" x14ac:dyDescent="0.25">
      <c r="A1082" s="198" t="s">
        <v>2240</v>
      </c>
      <c r="B1082" s="198" t="s">
        <v>8775</v>
      </c>
      <c r="C1082" s="198">
        <v>0</v>
      </c>
      <c r="D1082" s="196">
        <v>167</v>
      </c>
      <c r="E1082" s="196">
        <v>43.337000000000003</v>
      </c>
      <c r="F1082" s="196">
        <v>0.41</v>
      </c>
      <c r="G1082" s="196">
        <v>9.5969999999999995</v>
      </c>
      <c r="H1082" s="196">
        <v>354.18</v>
      </c>
      <c r="I1082" s="196">
        <v>286.10000000000002</v>
      </c>
      <c r="J1082" s="196">
        <v>199.66</v>
      </c>
      <c r="K1082" s="196"/>
      <c r="L1082" s="200">
        <v>1082</v>
      </c>
      <c r="M1082" s="200">
        <v>2</v>
      </c>
      <c r="N1082" s="200">
        <v>7</v>
      </c>
    </row>
    <row r="1083" spans="1:14" x14ac:dyDescent="0.25">
      <c r="A1083" s="198" t="s">
        <v>2240</v>
      </c>
      <c r="B1083" s="198" t="s">
        <v>8776</v>
      </c>
      <c r="C1083" s="198">
        <v>0</v>
      </c>
      <c r="D1083" s="196">
        <v>99</v>
      </c>
      <c r="E1083" s="196">
        <v>43.371000000000002</v>
      </c>
      <c r="F1083" s="196">
        <v>0.11600000000000001</v>
      </c>
      <c r="G1083" s="196">
        <v>9.91</v>
      </c>
      <c r="H1083" s="196">
        <v>42.92</v>
      </c>
      <c r="I1083" s="196">
        <v>78.900000000000006</v>
      </c>
      <c r="J1083" s="196">
        <v>51.51</v>
      </c>
      <c r="K1083" s="196"/>
      <c r="L1083" s="200">
        <v>1083</v>
      </c>
      <c r="M1083" s="200">
        <v>2</v>
      </c>
      <c r="N1083" s="200">
        <v>7</v>
      </c>
    </row>
    <row r="1084" spans="1:14" x14ac:dyDescent="0.25">
      <c r="A1084" s="198" t="s">
        <v>1966</v>
      </c>
      <c r="B1084" s="198" t="s">
        <v>8777</v>
      </c>
      <c r="C1084" s="198">
        <v>0</v>
      </c>
      <c r="D1084" s="196">
        <v>87</v>
      </c>
      <c r="E1084" s="196">
        <v>43.4</v>
      </c>
      <c r="F1084" s="196">
        <v>0.311</v>
      </c>
      <c r="G1084" s="196">
        <v>19.501000000000001</v>
      </c>
      <c r="H1084" s="196">
        <v>329.75</v>
      </c>
      <c r="I1084" s="196">
        <v>262.08</v>
      </c>
      <c r="J1084" s="196">
        <v>350.09</v>
      </c>
      <c r="K1084" s="196"/>
      <c r="L1084" s="200">
        <v>1084</v>
      </c>
      <c r="M1084" s="200">
        <v>2</v>
      </c>
      <c r="N1084" s="200">
        <v>6</v>
      </c>
    </row>
    <row r="1085" spans="1:14" x14ac:dyDescent="0.25">
      <c r="A1085" s="198" t="s">
        <v>2240</v>
      </c>
      <c r="B1085" s="198" t="s">
        <v>8778</v>
      </c>
      <c r="C1085" s="198">
        <v>0</v>
      </c>
      <c r="D1085" s="196">
        <v>143</v>
      </c>
      <c r="E1085" s="196">
        <v>43.4</v>
      </c>
      <c r="F1085" s="196">
        <v>7.0000000000000007E-2</v>
      </c>
      <c r="G1085" s="196">
        <v>15.57</v>
      </c>
      <c r="H1085" s="196">
        <v>96.7</v>
      </c>
      <c r="I1085" s="196">
        <v>58.33</v>
      </c>
      <c r="J1085" s="196">
        <v>276.67</v>
      </c>
      <c r="K1085" s="196"/>
      <c r="L1085" s="200">
        <v>1085</v>
      </c>
      <c r="M1085" s="200">
        <v>2</v>
      </c>
      <c r="N1085" s="200">
        <v>7</v>
      </c>
    </row>
    <row r="1086" spans="1:14" x14ac:dyDescent="0.25">
      <c r="A1086" s="198" t="s">
        <v>2240</v>
      </c>
      <c r="B1086" s="198" t="s">
        <v>8779</v>
      </c>
      <c r="C1086" s="198">
        <v>0</v>
      </c>
      <c r="D1086" s="196">
        <v>121</v>
      </c>
      <c r="E1086" s="196">
        <v>43.4</v>
      </c>
      <c r="F1086" s="196">
        <v>0.123</v>
      </c>
      <c r="G1086" s="196">
        <v>17.103000000000002</v>
      </c>
      <c r="H1086" s="196">
        <v>316.10000000000002</v>
      </c>
      <c r="I1086" s="196">
        <v>188.12799999999999</v>
      </c>
      <c r="J1086" s="196">
        <v>49.61</v>
      </c>
      <c r="K1086" s="196"/>
      <c r="L1086" s="200">
        <v>1086</v>
      </c>
      <c r="M1086" s="200">
        <v>2</v>
      </c>
      <c r="N1086" s="200">
        <v>7</v>
      </c>
    </row>
    <row r="1087" spans="1:14" x14ac:dyDescent="0.25">
      <c r="A1087" s="198" t="s">
        <v>2240</v>
      </c>
      <c r="B1087" s="198" t="s">
        <v>8780</v>
      </c>
      <c r="C1087" s="198">
        <v>0</v>
      </c>
      <c r="D1087" s="196">
        <v>222</v>
      </c>
      <c r="E1087" s="196">
        <v>43.41</v>
      </c>
      <c r="F1087" s="196">
        <v>0.159</v>
      </c>
      <c r="G1087" s="196">
        <v>27.83</v>
      </c>
      <c r="H1087" s="196">
        <v>85.7</v>
      </c>
      <c r="I1087" s="196">
        <v>57.09</v>
      </c>
      <c r="J1087" s="196">
        <v>60.43</v>
      </c>
      <c r="K1087" s="196"/>
      <c r="L1087" s="200">
        <v>1087</v>
      </c>
      <c r="M1087" s="200">
        <v>2</v>
      </c>
      <c r="N1087" s="200">
        <v>7</v>
      </c>
    </row>
    <row r="1088" spans="1:14" x14ac:dyDescent="0.25">
      <c r="A1088" s="198" t="s">
        <v>2240</v>
      </c>
      <c r="B1088" s="198" t="s">
        <v>8781</v>
      </c>
      <c r="C1088" s="198">
        <v>0</v>
      </c>
      <c r="D1088" s="196">
        <v>229</v>
      </c>
      <c r="E1088" s="196">
        <v>43.426000000000002</v>
      </c>
      <c r="F1088" s="196">
        <v>0.152</v>
      </c>
      <c r="G1088" s="196">
        <v>31.231000000000002</v>
      </c>
      <c r="H1088" s="196">
        <v>37.4</v>
      </c>
      <c r="I1088" s="196">
        <v>240.87</v>
      </c>
      <c r="J1088" s="196">
        <v>41.709000000000003</v>
      </c>
      <c r="K1088" s="196"/>
      <c r="L1088" s="200">
        <v>1088</v>
      </c>
      <c r="M1088" s="200">
        <v>2</v>
      </c>
      <c r="N1088" s="200">
        <v>7</v>
      </c>
    </row>
    <row r="1089" spans="1:14" x14ac:dyDescent="0.25">
      <c r="A1089" s="198" t="s">
        <v>2240</v>
      </c>
      <c r="B1089" s="198" t="s">
        <v>8782</v>
      </c>
      <c r="C1089" s="198">
        <v>0</v>
      </c>
      <c r="D1089" s="196">
        <v>98</v>
      </c>
      <c r="E1089" s="196">
        <v>43.466999999999999</v>
      </c>
      <c r="F1089" s="196">
        <v>0.13500000000000001</v>
      </c>
      <c r="G1089" s="196">
        <v>18.510999999999999</v>
      </c>
      <c r="H1089" s="196">
        <v>169.76599999999999</v>
      </c>
      <c r="I1089" s="196">
        <v>242.375</v>
      </c>
      <c r="J1089" s="196">
        <v>5.2999999999999999E-2</v>
      </c>
      <c r="K1089" s="196"/>
      <c r="L1089" s="200">
        <v>1089</v>
      </c>
      <c r="M1089" s="200">
        <v>2</v>
      </c>
      <c r="N1089" s="200">
        <v>7</v>
      </c>
    </row>
    <row r="1090" spans="1:14" x14ac:dyDescent="0.25">
      <c r="A1090" s="198" t="s">
        <v>2240</v>
      </c>
      <c r="B1090" s="198" t="s">
        <v>8783</v>
      </c>
      <c r="C1090" s="198">
        <v>0</v>
      </c>
      <c r="D1090" s="196">
        <v>105</v>
      </c>
      <c r="E1090" s="196">
        <v>43.48</v>
      </c>
      <c r="F1090" s="196">
        <v>0.14000000000000001</v>
      </c>
      <c r="G1090" s="196">
        <v>13.05</v>
      </c>
      <c r="H1090" s="196">
        <v>293.10000000000002</v>
      </c>
      <c r="I1090" s="196">
        <v>322.76</v>
      </c>
      <c r="J1090" s="196">
        <v>295.39999999999998</v>
      </c>
      <c r="K1090" s="196"/>
      <c r="L1090" s="200">
        <v>1090</v>
      </c>
      <c r="M1090" s="200">
        <v>2</v>
      </c>
      <c r="N1090" s="200">
        <v>7</v>
      </c>
    </row>
    <row r="1091" spans="1:14" x14ac:dyDescent="0.25">
      <c r="A1091" s="198" t="s">
        <v>2240</v>
      </c>
      <c r="B1091" s="198" t="s">
        <v>8784</v>
      </c>
      <c r="C1091" s="198">
        <v>0</v>
      </c>
      <c r="D1091" s="196">
        <v>72</v>
      </c>
      <c r="E1091" s="196">
        <v>43.484999999999999</v>
      </c>
      <c r="F1091" s="196">
        <v>0.191</v>
      </c>
      <c r="G1091" s="196">
        <v>7.2</v>
      </c>
      <c r="H1091" s="196">
        <v>304.60000000000002</v>
      </c>
      <c r="I1091" s="196">
        <v>42.9</v>
      </c>
      <c r="J1091" s="196">
        <v>289.3</v>
      </c>
      <c r="K1091" s="196"/>
      <c r="L1091" s="200">
        <v>1091</v>
      </c>
      <c r="M1091" s="200">
        <v>2</v>
      </c>
      <c r="N1091" s="200">
        <v>7</v>
      </c>
    </row>
    <row r="1092" spans="1:14" x14ac:dyDescent="0.25">
      <c r="A1092" s="198" t="s">
        <v>2240</v>
      </c>
      <c r="B1092" s="198" t="s">
        <v>8785</v>
      </c>
      <c r="C1092" s="198">
        <v>0</v>
      </c>
      <c r="D1092" s="196">
        <v>226</v>
      </c>
      <c r="E1092" s="196">
        <v>43.5</v>
      </c>
      <c r="F1092" s="196">
        <v>2.5999999999999999E-2</v>
      </c>
      <c r="G1092" s="196">
        <v>13.028</v>
      </c>
      <c r="H1092" s="196">
        <v>194.69</v>
      </c>
      <c r="I1092" s="196">
        <v>257.25</v>
      </c>
      <c r="J1092" s="196">
        <v>98.325000000000003</v>
      </c>
      <c r="K1092" s="196"/>
      <c r="L1092" s="200">
        <v>1092</v>
      </c>
      <c r="M1092" s="200">
        <v>2</v>
      </c>
      <c r="N1092" s="200">
        <v>7</v>
      </c>
    </row>
    <row r="1093" spans="1:14" x14ac:dyDescent="0.25">
      <c r="A1093" s="198" t="s">
        <v>2240</v>
      </c>
      <c r="B1093" s="198" t="s">
        <v>8786</v>
      </c>
      <c r="C1093" s="198">
        <v>0</v>
      </c>
      <c r="D1093" s="196">
        <v>108</v>
      </c>
      <c r="E1093" s="196">
        <v>43.506</v>
      </c>
      <c r="F1093" s="196">
        <v>0.122</v>
      </c>
      <c r="G1093" s="196">
        <v>9.74</v>
      </c>
      <c r="H1093" s="196">
        <v>239.09</v>
      </c>
      <c r="I1093" s="196">
        <v>110.78</v>
      </c>
      <c r="J1093" s="196">
        <v>324.3</v>
      </c>
      <c r="K1093" s="196"/>
      <c r="L1093" s="200">
        <v>1093</v>
      </c>
      <c r="M1093" s="200">
        <v>2</v>
      </c>
      <c r="N1093" s="200">
        <v>7</v>
      </c>
    </row>
    <row r="1094" spans="1:14" x14ac:dyDescent="0.25">
      <c r="A1094" s="198" t="s">
        <v>2240</v>
      </c>
      <c r="B1094" s="198" t="s">
        <v>8787</v>
      </c>
      <c r="C1094" s="198">
        <v>0</v>
      </c>
      <c r="D1094" s="196">
        <v>223</v>
      </c>
      <c r="E1094" s="196">
        <v>43.509</v>
      </c>
      <c r="F1094" s="196">
        <v>0.253</v>
      </c>
      <c r="G1094" s="196">
        <v>14.88</v>
      </c>
      <c r="H1094" s="196">
        <v>334</v>
      </c>
      <c r="I1094" s="196">
        <v>317.16000000000003</v>
      </c>
      <c r="J1094" s="196">
        <v>150</v>
      </c>
      <c r="K1094" s="196"/>
      <c r="L1094" s="200">
        <v>1094</v>
      </c>
      <c r="M1094" s="200">
        <v>2</v>
      </c>
      <c r="N1094" s="200">
        <v>7</v>
      </c>
    </row>
    <row r="1095" spans="1:14" x14ac:dyDescent="0.25">
      <c r="A1095" s="198" t="s">
        <v>2240</v>
      </c>
      <c r="B1095" s="198" t="s">
        <v>8788</v>
      </c>
      <c r="C1095" s="198">
        <v>0</v>
      </c>
      <c r="D1095" s="196">
        <v>139</v>
      </c>
      <c r="E1095" s="196">
        <v>43.518999999999998</v>
      </c>
      <c r="F1095" s="196">
        <v>8.9999999999999993E-3</v>
      </c>
      <c r="G1095" s="196">
        <v>6.4630000000000001</v>
      </c>
      <c r="H1095" s="196">
        <v>150</v>
      </c>
      <c r="I1095" s="196">
        <v>164.11199999999999</v>
      </c>
      <c r="J1095" s="196">
        <v>222</v>
      </c>
      <c r="K1095" s="196"/>
      <c r="L1095" s="200">
        <v>1095</v>
      </c>
      <c r="M1095" s="200">
        <v>2</v>
      </c>
      <c r="N1095" s="200">
        <v>7</v>
      </c>
    </row>
    <row r="1096" spans="1:14" x14ac:dyDescent="0.25">
      <c r="A1096" s="198" t="s">
        <v>2240</v>
      </c>
      <c r="B1096" s="198" t="s">
        <v>7475</v>
      </c>
      <c r="C1096" s="198">
        <v>1</v>
      </c>
      <c r="D1096" s="196">
        <v>63</v>
      </c>
      <c r="E1096" s="196">
        <v>43.555</v>
      </c>
      <c r="F1096" s="196">
        <v>8.5999999999999993E-2</v>
      </c>
      <c r="G1096" s="196">
        <v>0.56299999999999994</v>
      </c>
      <c r="H1096" s="196">
        <v>194.98</v>
      </c>
      <c r="I1096" s="196">
        <v>84.721999999999994</v>
      </c>
      <c r="J1096" s="196">
        <v>60.024999999999999</v>
      </c>
      <c r="K1096" s="196">
        <v>2.1</v>
      </c>
      <c r="L1096" s="200">
        <v>1096</v>
      </c>
      <c r="M1096" s="200">
        <v>1</v>
      </c>
      <c r="N1096" s="200">
        <v>7</v>
      </c>
    </row>
    <row r="1097" spans="1:14" x14ac:dyDescent="0.25">
      <c r="A1097" s="198" t="s">
        <v>32</v>
      </c>
      <c r="B1097" s="198" t="s">
        <v>7481</v>
      </c>
      <c r="C1097" s="198"/>
      <c r="D1097" s="196">
        <v>53</v>
      </c>
      <c r="E1097" s="196"/>
      <c r="F1097" s="196">
        <v>0.47</v>
      </c>
      <c r="G1097" s="196"/>
      <c r="H1097" s="196"/>
      <c r="I1097" s="196"/>
      <c r="J1097" s="196"/>
      <c r="K1097" s="196"/>
      <c r="L1097" s="200">
        <v>1097</v>
      </c>
      <c r="M1097" s="200">
        <v>1</v>
      </c>
      <c r="N1097" s="200">
        <v>28</v>
      </c>
    </row>
    <row r="1098" spans="1:14" x14ac:dyDescent="0.25">
      <c r="A1098" s="198" t="s">
        <v>2240</v>
      </c>
      <c r="B1098" s="198" t="s">
        <v>8789</v>
      </c>
      <c r="C1098" s="198">
        <v>0</v>
      </c>
      <c r="D1098" s="196">
        <v>96</v>
      </c>
      <c r="E1098" s="196">
        <v>43.576000000000001</v>
      </c>
      <c r="F1098" s="196">
        <v>0.219</v>
      </c>
      <c r="G1098" s="196">
        <v>19.5</v>
      </c>
      <c r="H1098" s="196">
        <v>81.900000000000006</v>
      </c>
      <c r="I1098" s="196">
        <v>184.9</v>
      </c>
      <c r="J1098" s="196">
        <v>316.39999999999998</v>
      </c>
      <c r="K1098" s="196"/>
      <c r="L1098" s="200">
        <v>1098</v>
      </c>
      <c r="M1098" s="200">
        <v>2</v>
      </c>
      <c r="N1098" s="200">
        <v>7</v>
      </c>
    </row>
    <row r="1099" spans="1:14" x14ac:dyDescent="0.25">
      <c r="A1099" s="198" t="s">
        <v>2240</v>
      </c>
      <c r="B1099" s="198" t="s">
        <v>8790</v>
      </c>
      <c r="C1099" s="198">
        <v>0</v>
      </c>
      <c r="D1099" s="196">
        <v>92</v>
      </c>
      <c r="E1099" s="196">
        <v>43.581000000000003</v>
      </c>
      <c r="F1099" s="196">
        <v>0.20899999999999999</v>
      </c>
      <c r="G1099" s="196">
        <v>6.61</v>
      </c>
      <c r="H1099" s="196">
        <v>277.37</v>
      </c>
      <c r="I1099" s="196">
        <v>193.62</v>
      </c>
      <c r="J1099" s="196">
        <v>20.245000000000001</v>
      </c>
      <c r="K1099" s="196"/>
      <c r="L1099" s="200">
        <v>1099</v>
      </c>
      <c r="M1099" s="200">
        <v>2</v>
      </c>
      <c r="N1099" s="200">
        <v>7</v>
      </c>
    </row>
    <row r="1100" spans="1:14" x14ac:dyDescent="0.25">
      <c r="A1100" s="198" t="s">
        <v>2240</v>
      </c>
      <c r="B1100" s="198" t="s">
        <v>8791</v>
      </c>
      <c r="C1100" s="198">
        <v>0</v>
      </c>
      <c r="D1100" s="196">
        <v>107</v>
      </c>
      <c r="E1100" s="196">
        <v>43.62</v>
      </c>
      <c r="F1100" s="196">
        <v>0.21299999999999999</v>
      </c>
      <c r="G1100" s="196">
        <v>9.74</v>
      </c>
      <c r="H1100" s="196">
        <v>89.04</v>
      </c>
      <c r="I1100" s="196">
        <v>354.8</v>
      </c>
      <c r="J1100" s="196">
        <v>337.3</v>
      </c>
      <c r="K1100" s="196"/>
      <c r="L1100" s="200">
        <v>1100</v>
      </c>
      <c r="M1100" s="200">
        <v>2</v>
      </c>
      <c r="N1100" s="200">
        <v>7</v>
      </c>
    </row>
    <row r="1101" spans="1:14" x14ac:dyDescent="0.25">
      <c r="A1101" s="198" t="s">
        <v>2240</v>
      </c>
      <c r="B1101" s="198" t="s">
        <v>8792</v>
      </c>
      <c r="C1101" s="198">
        <v>0</v>
      </c>
      <c r="D1101" s="196">
        <v>159</v>
      </c>
      <c r="E1101" s="196">
        <v>43.627000000000002</v>
      </c>
      <c r="F1101" s="196">
        <v>0.14199999999999999</v>
      </c>
      <c r="G1101" s="196">
        <v>8.9169999999999998</v>
      </c>
      <c r="H1101" s="196">
        <v>148.80000000000001</v>
      </c>
      <c r="I1101" s="196">
        <v>102.348</v>
      </c>
      <c r="J1101" s="196">
        <v>186.86</v>
      </c>
      <c r="K1101" s="196"/>
      <c r="L1101" s="200">
        <v>1101</v>
      </c>
      <c r="M1101" s="200">
        <v>2</v>
      </c>
      <c r="N1101" s="200">
        <v>7</v>
      </c>
    </row>
    <row r="1102" spans="1:14" x14ac:dyDescent="0.25">
      <c r="A1102" s="198" t="s">
        <v>2240</v>
      </c>
      <c r="B1102" s="198" t="s">
        <v>8793</v>
      </c>
      <c r="C1102" s="198">
        <v>0</v>
      </c>
      <c r="D1102" s="196">
        <v>109</v>
      </c>
      <c r="E1102" s="196">
        <v>43.64</v>
      </c>
      <c r="F1102" s="196">
        <v>5.0999999999999997E-2</v>
      </c>
      <c r="G1102" s="196">
        <v>3.08</v>
      </c>
      <c r="H1102" s="196">
        <v>314.8</v>
      </c>
      <c r="I1102" s="196">
        <v>165.7</v>
      </c>
      <c r="J1102" s="196">
        <v>204.6</v>
      </c>
      <c r="K1102" s="196"/>
      <c r="L1102" s="200">
        <v>1102</v>
      </c>
      <c r="M1102" s="200">
        <v>2</v>
      </c>
      <c r="N1102" s="200">
        <v>7</v>
      </c>
    </row>
    <row r="1103" spans="1:14" x14ac:dyDescent="0.25">
      <c r="A1103" s="198" t="s">
        <v>1966</v>
      </c>
      <c r="B1103" s="198" t="s">
        <v>8794</v>
      </c>
      <c r="C1103" s="198">
        <v>0</v>
      </c>
      <c r="D1103" s="196">
        <v>73</v>
      </c>
      <c r="E1103" s="196">
        <v>43.640999999999998</v>
      </c>
      <c r="F1103" s="196">
        <v>0.42199999999999999</v>
      </c>
      <c r="G1103" s="196">
        <v>21.585000000000001</v>
      </c>
      <c r="H1103" s="196">
        <v>145.898</v>
      </c>
      <c r="I1103" s="196">
        <v>282.24599999999998</v>
      </c>
      <c r="J1103" s="196">
        <v>29.966999999999999</v>
      </c>
      <c r="K1103" s="196"/>
      <c r="L1103" s="200">
        <v>1103</v>
      </c>
      <c r="M1103" s="200">
        <v>2</v>
      </c>
      <c r="N1103" s="200">
        <v>6</v>
      </c>
    </row>
    <row r="1104" spans="1:14" x14ac:dyDescent="0.25">
      <c r="A1104" s="198" t="s">
        <v>2240</v>
      </c>
      <c r="B1104" s="198" t="s">
        <v>8795</v>
      </c>
      <c r="C1104" s="198">
        <v>0</v>
      </c>
      <c r="D1104" s="196">
        <v>136</v>
      </c>
      <c r="E1104" s="196">
        <v>43.65</v>
      </c>
      <c r="F1104" s="196">
        <v>6.3E-2</v>
      </c>
      <c r="G1104" s="196">
        <v>6.29</v>
      </c>
      <c r="H1104" s="196">
        <v>28</v>
      </c>
      <c r="I1104" s="196">
        <v>290.16000000000003</v>
      </c>
      <c r="J1104" s="196">
        <v>231</v>
      </c>
      <c r="K1104" s="196"/>
      <c r="L1104" s="200">
        <v>1104</v>
      </c>
      <c r="M1104" s="200">
        <v>2</v>
      </c>
      <c r="N1104" s="200">
        <v>7</v>
      </c>
    </row>
    <row r="1105" spans="1:17" x14ac:dyDescent="0.25">
      <c r="A1105" s="198" t="s">
        <v>2240</v>
      </c>
      <c r="B1105" s="198" t="s">
        <v>8796</v>
      </c>
      <c r="C1105" s="198">
        <v>0</v>
      </c>
      <c r="D1105" s="196">
        <v>106</v>
      </c>
      <c r="E1105" s="196">
        <v>43.68</v>
      </c>
      <c r="F1105" s="196">
        <v>0.13500000000000001</v>
      </c>
      <c r="G1105" s="196">
        <v>28.484000000000002</v>
      </c>
      <c r="H1105" s="196">
        <v>349.96499999999997</v>
      </c>
      <c r="I1105" s="196">
        <v>350.77699999999999</v>
      </c>
      <c r="J1105" s="196">
        <v>8.9999999999999993E-3</v>
      </c>
      <c r="K1105" s="196"/>
      <c r="L1105" s="200">
        <v>1105</v>
      </c>
      <c r="M1105" s="200">
        <v>2</v>
      </c>
      <c r="N1105" s="200">
        <v>7</v>
      </c>
    </row>
    <row r="1106" spans="1:17" x14ac:dyDescent="0.25">
      <c r="A1106" s="198" t="s">
        <v>2240</v>
      </c>
      <c r="B1106" s="198" t="s">
        <v>8797</v>
      </c>
      <c r="C1106" s="198">
        <v>0</v>
      </c>
      <c r="D1106" s="196">
        <v>116</v>
      </c>
      <c r="E1106" s="196">
        <v>43.69</v>
      </c>
      <c r="F1106" s="196">
        <v>0.105</v>
      </c>
      <c r="G1106" s="196">
        <v>7.84</v>
      </c>
      <c r="H1106" s="196">
        <v>105</v>
      </c>
      <c r="I1106" s="196">
        <v>318.41000000000003</v>
      </c>
      <c r="J1106" s="196">
        <v>70.7</v>
      </c>
      <c r="K1106" s="196"/>
      <c r="L1106" s="200">
        <v>1106</v>
      </c>
      <c r="M1106" s="200">
        <v>2</v>
      </c>
      <c r="N1106" s="200">
        <v>7</v>
      </c>
    </row>
    <row r="1107" spans="1:17" x14ac:dyDescent="0.25">
      <c r="A1107" s="199" t="s">
        <v>2553</v>
      </c>
      <c r="B1107" s="198" t="s">
        <v>2554</v>
      </c>
      <c r="C1107" s="198">
        <v>1</v>
      </c>
      <c r="D1107" s="196">
        <v>545</v>
      </c>
      <c r="E1107" s="196">
        <v>43.694000000000003</v>
      </c>
      <c r="F1107" s="196">
        <v>4.1000000000000002E-2</v>
      </c>
      <c r="G1107" s="196">
        <v>7.99</v>
      </c>
      <c r="H1107" s="196">
        <v>147.47999999999999</v>
      </c>
      <c r="I1107" s="196">
        <v>188.92699999999999</v>
      </c>
      <c r="J1107" s="196">
        <v>301.10399999999998</v>
      </c>
      <c r="K1107" s="196">
        <v>1.7150000000000001</v>
      </c>
      <c r="L1107" s="200">
        <v>1107</v>
      </c>
      <c r="M1107" s="200">
        <v>1</v>
      </c>
      <c r="N1107" s="200">
        <v>2</v>
      </c>
      <c r="O1107" s="194" t="s">
        <v>2554</v>
      </c>
      <c r="P1107" s="194" t="s">
        <v>9588</v>
      </c>
      <c r="Q1107" s="200" t="s">
        <v>8068</v>
      </c>
    </row>
    <row r="1108" spans="1:17" x14ac:dyDescent="0.25">
      <c r="A1108" s="198" t="s">
        <v>32</v>
      </c>
      <c r="B1108" s="198" t="s">
        <v>2561</v>
      </c>
      <c r="C1108" s="198"/>
      <c r="D1108" s="196">
        <v>100</v>
      </c>
      <c r="E1108" s="196"/>
      <c r="F1108" s="196">
        <v>5.6000000000000001E-2</v>
      </c>
      <c r="G1108" s="196">
        <v>15.8</v>
      </c>
      <c r="H1108" s="196"/>
      <c r="I1108" s="196"/>
      <c r="J1108" s="196"/>
      <c r="K1108" s="196"/>
      <c r="L1108" s="200">
        <v>1108</v>
      </c>
      <c r="M1108" s="200">
        <v>1</v>
      </c>
      <c r="N1108" s="200">
        <v>4</v>
      </c>
    </row>
    <row r="1109" spans="1:17" x14ac:dyDescent="0.25">
      <c r="A1109" s="198" t="s">
        <v>2240</v>
      </c>
      <c r="B1109" s="198" t="s">
        <v>8798</v>
      </c>
      <c r="C1109" s="198">
        <v>0</v>
      </c>
      <c r="D1109" s="196">
        <v>227</v>
      </c>
      <c r="E1109" s="196">
        <v>43.695</v>
      </c>
      <c r="F1109" s="196">
        <v>7.3999999999999996E-2</v>
      </c>
      <c r="G1109" s="196">
        <v>10.379</v>
      </c>
      <c r="H1109" s="196">
        <v>88.564999999999998</v>
      </c>
      <c r="I1109" s="196">
        <v>17.733000000000001</v>
      </c>
      <c r="J1109" s="196">
        <v>265.13400000000001</v>
      </c>
      <c r="K1109" s="196"/>
      <c r="L1109" s="200">
        <v>1109</v>
      </c>
      <c r="M1109" s="200">
        <v>2</v>
      </c>
      <c r="N1109" s="200">
        <v>7</v>
      </c>
    </row>
    <row r="1110" spans="1:17" x14ac:dyDescent="0.25">
      <c r="A1110" s="198" t="s">
        <v>2240</v>
      </c>
      <c r="B1110" s="198" t="s">
        <v>8799</v>
      </c>
      <c r="C1110" s="198">
        <v>1</v>
      </c>
      <c r="D1110" s="196">
        <v>94</v>
      </c>
      <c r="E1110" s="196">
        <v>43.697000000000003</v>
      </c>
      <c r="F1110" s="196">
        <v>8.4000000000000005E-2</v>
      </c>
      <c r="G1110" s="196">
        <v>1.548</v>
      </c>
      <c r="H1110" s="196">
        <v>123.59099999999999</v>
      </c>
      <c r="I1110" s="196">
        <v>108.776</v>
      </c>
      <c r="J1110" s="196">
        <v>84.415000000000006</v>
      </c>
      <c r="K1110" s="196">
        <v>0.92</v>
      </c>
      <c r="L1110" s="200">
        <v>1110</v>
      </c>
      <c r="M1110" s="200">
        <v>2</v>
      </c>
      <c r="N1110" s="200">
        <v>7</v>
      </c>
    </row>
    <row r="1111" spans="1:17" x14ac:dyDescent="0.25">
      <c r="A1111" s="198" t="s">
        <v>32</v>
      </c>
      <c r="B1111" s="198" t="s">
        <v>7114</v>
      </c>
      <c r="C1111" s="198"/>
      <c r="D1111" s="196">
        <v>77</v>
      </c>
      <c r="E1111" s="196"/>
      <c r="F1111" s="196">
        <v>0.41799999999999998</v>
      </c>
      <c r="G1111" s="196"/>
      <c r="H1111" s="196"/>
      <c r="I1111" s="196"/>
      <c r="J1111" s="196"/>
      <c r="K1111" s="196"/>
      <c r="L1111" s="200">
        <v>1111</v>
      </c>
      <c r="M1111" s="200">
        <v>3</v>
      </c>
      <c r="N1111" s="200">
        <v>28</v>
      </c>
    </row>
    <row r="1112" spans="1:17" x14ac:dyDescent="0.25">
      <c r="A1112" s="198" t="s">
        <v>2240</v>
      </c>
      <c r="B1112" s="198" t="s">
        <v>7487</v>
      </c>
      <c r="C1112" s="198">
        <v>1</v>
      </c>
      <c r="D1112" s="196">
        <v>73</v>
      </c>
      <c r="E1112" s="196">
        <v>43.713000000000001</v>
      </c>
      <c r="F1112" s="196">
        <v>0.113</v>
      </c>
      <c r="G1112" s="196">
        <v>2.6669999999999998</v>
      </c>
      <c r="H1112" s="196">
        <v>20.172999999999998</v>
      </c>
      <c r="I1112" s="196">
        <v>68.494</v>
      </c>
      <c r="J1112" s="196">
        <v>285.00200000000001</v>
      </c>
      <c r="K1112" s="196">
        <v>0.8</v>
      </c>
      <c r="L1112" s="200">
        <v>1112</v>
      </c>
      <c r="M1112" s="200">
        <v>1</v>
      </c>
      <c r="N1112" s="200">
        <v>7</v>
      </c>
    </row>
    <row r="1113" spans="1:17" x14ac:dyDescent="0.25">
      <c r="A1113" s="198" t="s">
        <v>32</v>
      </c>
      <c r="B1113" s="198" t="s">
        <v>7493</v>
      </c>
      <c r="C1113" s="198"/>
      <c r="D1113" s="196">
        <v>54</v>
      </c>
      <c r="E1113" s="196"/>
      <c r="F1113" s="196">
        <v>0.56299999999999994</v>
      </c>
      <c r="G1113" s="196"/>
      <c r="H1113" s="196"/>
      <c r="I1113" s="196"/>
      <c r="J1113" s="196"/>
      <c r="K1113" s="196"/>
      <c r="L1113" s="200">
        <v>1113</v>
      </c>
      <c r="M1113" s="200">
        <v>1</v>
      </c>
      <c r="N1113" s="200">
        <v>28</v>
      </c>
    </row>
    <row r="1114" spans="1:17" x14ac:dyDescent="0.25">
      <c r="A1114" s="198" t="s">
        <v>2240</v>
      </c>
      <c r="B1114" s="198" t="s">
        <v>8800</v>
      </c>
      <c r="C1114" s="198">
        <v>0</v>
      </c>
      <c r="D1114" s="196">
        <v>245</v>
      </c>
      <c r="E1114" s="196">
        <v>43.725000000000001</v>
      </c>
      <c r="F1114" s="196">
        <v>0.13700000000000001</v>
      </c>
      <c r="G1114" s="196">
        <v>27.85</v>
      </c>
      <c r="H1114" s="196">
        <v>354</v>
      </c>
      <c r="I1114" s="196">
        <v>346.3</v>
      </c>
      <c r="J1114" s="196">
        <v>226</v>
      </c>
      <c r="K1114" s="196"/>
      <c r="L1114" s="200">
        <v>1114</v>
      </c>
      <c r="M1114" s="200">
        <v>2</v>
      </c>
      <c r="N1114" s="200">
        <v>7</v>
      </c>
    </row>
    <row r="1115" spans="1:17" x14ac:dyDescent="0.25">
      <c r="A1115" s="198" t="s">
        <v>2240</v>
      </c>
      <c r="B1115" s="198" t="s">
        <v>8801</v>
      </c>
      <c r="C1115" s="198">
        <v>0</v>
      </c>
      <c r="D1115" s="196">
        <v>102</v>
      </c>
      <c r="E1115" s="196">
        <v>43.744999999999997</v>
      </c>
      <c r="F1115" s="196">
        <v>0.11799999999999999</v>
      </c>
      <c r="G1115" s="196">
        <v>7.8819999999999997</v>
      </c>
      <c r="H1115" s="196">
        <v>92.534000000000006</v>
      </c>
      <c r="I1115" s="196">
        <v>318.53500000000003</v>
      </c>
      <c r="J1115" s="196">
        <v>349.57799999999997</v>
      </c>
      <c r="K1115" s="196"/>
      <c r="L1115" s="200">
        <v>1115</v>
      </c>
      <c r="M1115" s="200">
        <v>2</v>
      </c>
      <c r="N1115" s="200">
        <v>7</v>
      </c>
    </row>
    <row r="1116" spans="1:17" x14ac:dyDescent="0.25">
      <c r="A1116" s="198" t="s">
        <v>2240</v>
      </c>
      <c r="B1116" s="198" t="s">
        <v>8802</v>
      </c>
      <c r="C1116" s="198">
        <v>0</v>
      </c>
      <c r="D1116" s="196">
        <v>155</v>
      </c>
      <c r="E1116" s="196">
        <v>43.774999999999999</v>
      </c>
      <c r="F1116" s="196">
        <v>0.14499999999999999</v>
      </c>
      <c r="G1116" s="196">
        <v>25.486000000000001</v>
      </c>
      <c r="H1116" s="196">
        <v>143.51</v>
      </c>
      <c r="I1116" s="196">
        <v>119.03</v>
      </c>
      <c r="J1116" s="196">
        <v>250.48</v>
      </c>
      <c r="K1116" s="196"/>
      <c r="L1116" s="200">
        <v>1116</v>
      </c>
      <c r="M1116" s="200">
        <v>2</v>
      </c>
      <c r="N1116" s="200">
        <v>7</v>
      </c>
    </row>
    <row r="1117" spans="1:17" x14ac:dyDescent="0.25">
      <c r="A1117" s="198" t="s">
        <v>2240</v>
      </c>
      <c r="B1117" s="198" t="s">
        <v>8803</v>
      </c>
      <c r="C1117" s="198">
        <v>0</v>
      </c>
      <c r="D1117" s="196">
        <v>119</v>
      </c>
      <c r="E1117" s="196">
        <v>43.79</v>
      </c>
      <c r="F1117" s="196">
        <v>0.17599999999999999</v>
      </c>
      <c r="G1117" s="196">
        <v>7.407</v>
      </c>
      <c r="H1117" s="196">
        <v>152.63999999999999</v>
      </c>
      <c r="I1117" s="196">
        <v>66.44</v>
      </c>
      <c r="J1117" s="196">
        <v>144.4</v>
      </c>
      <c r="K1117" s="196"/>
      <c r="L1117" s="200">
        <v>1117</v>
      </c>
      <c r="M1117" s="200">
        <v>2</v>
      </c>
      <c r="N1117" s="200">
        <v>7</v>
      </c>
    </row>
    <row r="1118" spans="1:17" x14ac:dyDescent="0.25">
      <c r="A1118" s="198" t="s">
        <v>2240</v>
      </c>
      <c r="B1118" s="198" t="s">
        <v>8804</v>
      </c>
      <c r="C1118" s="198">
        <v>0</v>
      </c>
      <c r="D1118" s="196">
        <v>133</v>
      </c>
      <c r="E1118" s="196">
        <v>43.832000000000001</v>
      </c>
      <c r="F1118" s="196">
        <v>0.14099999999999999</v>
      </c>
      <c r="G1118" s="196">
        <v>28.172000000000001</v>
      </c>
      <c r="H1118" s="196">
        <v>10.384</v>
      </c>
      <c r="I1118" s="196">
        <v>153.52000000000001</v>
      </c>
      <c r="J1118" s="196">
        <v>305.464</v>
      </c>
      <c r="K1118" s="196"/>
      <c r="L1118" s="200">
        <v>1118</v>
      </c>
      <c r="M1118" s="200">
        <v>2</v>
      </c>
      <c r="N1118" s="200">
        <v>7</v>
      </c>
    </row>
    <row r="1119" spans="1:17" x14ac:dyDescent="0.25">
      <c r="A1119" s="198" t="s">
        <v>2240</v>
      </c>
      <c r="B1119" s="198" t="s">
        <v>8805</v>
      </c>
      <c r="C1119" s="198">
        <v>0</v>
      </c>
      <c r="D1119" s="196">
        <v>101</v>
      </c>
      <c r="E1119" s="196">
        <v>43.84</v>
      </c>
      <c r="F1119" s="196">
        <v>0.22600000000000001</v>
      </c>
      <c r="G1119" s="196">
        <v>13.34</v>
      </c>
      <c r="H1119" s="196">
        <v>326.67</v>
      </c>
      <c r="I1119" s="196">
        <v>302.00099999999998</v>
      </c>
      <c r="J1119" s="196">
        <v>36.11</v>
      </c>
      <c r="K1119" s="196"/>
      <c r="L1119" s="200">
        <v>1119</v>
      </c>
      <c r="M1119" s="200">
        <v>2</v>
      </c>
      <c r="N1119" s="200">
        <v>7</v>
      </c>
    </row>
    <row r="1120" spans="1:17" x14ac:dyDescent="0.25">
      <c r="A1120" s="198" t="s">
        <v>2240</v>
      </c>
      <c r="B1120" s="198" t="s">
        <v>8806</v>
      </c>
      <c r="C1120" s="198">
        <v>0</v>
      </c>
      <c r="D1120" s="196">
        <v>110</v>
      </c>
      <c r="E1120" s="196">
        <v>43.844000000000001</v>
      </c>
      <c r="F1120" s="196">
        <v>0.127</v>
      </c>
      <c r="G1120" s="196">
        <v>22.625</v>
      </c>
      <c r="H1120" s="196">
        <v>5.39</v>
      </c>
      <c r="I1120" s="196">
        <v>177.77600000000001</v>
      </c>
      <c r="J1120" s="196">
        <v>180.08600000000001</v>
      </c>
      <c r="K1120" s="196"/>
      <c r="L1120" s="200">
        <v>1120</v>
      </c>
      <c r="M1120" s="200">
        <v>2</v>
      </c>
      <c r="N1120" s="200">
        <v>7</v>
      </c>
    </row>
    <row r="1121" spans="1:14" x14ac:dyDescent="0.25">
      <c r="A1121" s="198" t="s">
        <v>2240</v>
      </c>
      <c r="B1121" s="198" t="s">
        <v>7467</v>
      </c>
      <c r="C1121" s="198">
        <v>1</v>
      </c>
      <c r="D1121" s="196">
        <v>91</v>
      </c>
      <c r="E1121" s="196">
        <v>43.844999999999999</v>
      </c>
      <c r="F1121" s="196">
        <v>3.2000000000000001E-2</v>
      </c>
      <c r="G1121" s="196">
        <v>2.5830000000000002</v>
      </c>
      <c r="H1121" s="196">
        <v>236.43</v>
      </c>
      <c r="I1121" s="196">
        <v>304.77999999999997</v>
      </c>
      <c r="J1121" s="196">
        <v>158.44</v>
      </c>
      <c r="K1121" s="196">
        <v>1.1499999999999999</v>
      </c>
      <c r="L1121" s="200">
        <v>1121</v>
      </c>
      <c r="M1121" s="200">
        <v>1</v>
      </c>
      <c r="N1121" s="200">
        <v>7</v>
      </c>
    </row>
    <row r="1122" spans="1:14" x14ac:dyDescent="0.25">
      <c r="A1122" s="198" t="s">
        <v>32</v>
      </c>
      <c r="B1122" s="198" t="s">
        <v>7473</v>
      </c>
      <c r="C1122" s="198"/>
      <c r="D1122" s="196">
        <v>65</v>
      </c>
      <c r="E1122" s="196"/>
      <c r="F1122" s="196">
        <v>0.249</v>
      </c>
      <c r="G1122" s="196"/>
      <c r="H1122" s="196"/>
      <c r="I1122" s="196"/>
      <c r="J1122" s="196"/>
      <c r="K1122" s="196"/>
      <c r="L1122" s="200">
        <v>1122</v>
      </c>
      <c r="M1122" s="200">
        <v>1</v>
      </c>
      <c r="N1122" s="200">
        <v>28</v>
      </c>
    </row>
    <row r="1123" spans="1:14" x14ac:dyDescent="0.25">
      <c r="A1123" s="198" t="s">
        <v>2240</v>
      </c>
      <c r="B1123" s="198" t="s">
        <v>8807</v>
      </c>
      <c r="C1123" s="198">
        <v>0</v>
      </c>
      <c r="D1123" s="196">
        <v>98</v>
      </c>
      <c r="E1123" s="196">
        <v>43.85</v>
      </c>
      <c r="F1123" s="196">
        <v>0.113</v>
      </c>
      <c r="G1123" s="196">
        <v>22.82</v>
      </c>
      <c r="H1123" s="196">
        <v>4.22</v>
      </c>
      <c r="I1123" s="196">
        <v>218.11</v>
      </c>
      <c r="J1123" s="196">
        <v>172</v>
      </c>
      <c r="K1123" s="196"/>
      <c r="L1123" s="200">
        <v>1123</v>
      </c>
      <c r="M1123" s="200">
        <v>2</v>
      </c>
      <c r="N1123" s="200">
        <v>7</v>
      </c>
    </row>
    <row r="1124" spans="1:14" x14ac:dyDescent="0.25">
      <c r="A1124" s="198" t="s">
        <v>2240</v>
      </c>
      <c r="B1124" s="198" t="s">
        <v>8808</v>
      </c>
      <c r="C1124" s="198">
        <v>0</v>
      </c>
      <c r="D1124" s="196">
        <v>133</v>
      </c>
      <c r="E1124" s="196">
        <v>43.856999999999999</v>
      </c>
      <c r="F1124" s="196">
        <v>0.58099999999999996</v>
      </c>
      <c r="G1124" s="196">
        <v>1.4690000000000001</v>
      </c>
      <c r="H1124" s="196">
        <v>20.16</v>
      </c>
      <c r="I1124" s="196">
        <v>146.72</v>
      </c>
      <c r="J1124" s="196">
        <v>150.5</v>
      </c>
      <c r="K1124" s="196"/>
      <c r="L1124" s="200">
        <v>1124</v>
      </c>
      <c r="M1124" s="200">
        <v>2</v>
      </c>
      <c r="N1124" s="200">
        <v>7</v>
      </c>
    </row>
    <row r="1125" spans="1:14" x14ac:dyDescent="0.25">
      <c r="A1125" s="198" t="s">
        <v>2240</v>
      </c>
      <c r="B1125" s="198" t="s">
        <v>8809</v>
      </c>
      <c r="C1125" s="198">
        <v>0</v>
      </c>
      <c r="D1125" s="196">
        <v>115</v>
      </c>
      <c r="E1125" s="196">
        <v>43.860999999999997</v>
      </c>
      <c r="F1125" s="196">
        <v>8.6999999999999994E-2</v>
      </c>
      <c r="G1125" s="196">
        <v>2.907</v>
      </c>
      <c r="H1125" s="196">
        <v>329.8</v>
      </c>
      <c r="I1125" s="196">
        <v>253</v>
      </c>
      <c r="J1125" s="196">
        <v>351.8</v>
      </c>
      <c r="K1125" s="196"/>
      <c r="L1125" s="200">
        <v>1125</v>
      </c>
      <c r="M1125" s="200">
        <v>2</v>
      </c>
      <c r="N1125" s="200">
        <v>7</v>
      </c>
    </row>
    <row r="1126" spans="1:14" x14ac:dyDescent="0.25">
      <c r="A1126" s="198" t="s">
        <v>2240</v>
      </c>
      <c r="B1126" s="198" t="s">
        <v>8810</v>
      </c>
      <c r="C1126" s="198">
        <v>0</v>
      </c>
      <c r="D1126" s="196">
        <v>163</v>
      </c>
      <c r="E1126" s="196">
        <v>43.863999999999997</v>
      </c>
      <c r="F1126" s="196">
        <v>0.17599999999999999</v>
      </c>
      <c r="G1126" s="196">
        <v>23.484999999999999</v>
      </c>
      <c r="H1126" s="196">
        <v>115.98</v>
      </c>
      <c r="I1126" s="196">
        <v>178.52</v>
      </c>
      <c r="J1126" s="196">
        <v>323.10000000000002</v>
      </c>
      <c r="K1126" s="196"/>
      <c r="L1126" s="200">
        <v>1126</v>
      </c>
      <c r="M1126" s="200">
        <v>2</v>
      </c>
      <c r="N1126" s="200">
        <v>7</v>
      </c>
    </row>
    <row r="1127" spans="1:14" x14ac:dyDescent="0.25">
      <c r="A1127" s="198" t="s">
        <v>2240</v>
      </c>
      <c r="B1127" s="198" t="s">
        <v>8811</v>
      </c>
      <c r="C1127" s="198">
        <v>0</v>
      </c>
      <c r="D1127" s="196">
        <v>150</v>
      </c>
      <c r="E1127" s="196">
        <v>43.874000000000002</v>
      </c>
      <c r="F1127" s="196">
        <v>5.5E-2</v>
      </c>
      <c r="G1127" s="196">
        <v>8.0869999999999997</v>
      </c>
      <c r="H1127" s="196">
        <v>60.3</v>
      </c>
      <c r="I1127" s="196">
        <v>101.60599999999999</v>
      </c>
      <c r="J1127" s="196">
        <v>45.1</v>
      </c>
      <c r="K1127" s="196"/>
      <c r="L1127" s="200">
        <v>1127</v>
      </c>
      <c r="M1127" s="200">
        <v>2</v>
      </c>
      <c r="N1127" s="200">
        <v>7</v>
      </c>
    </row>
    <row r="1128" spans="1:14" x14ac:dyDescent="0.25">
      <c r="A1128" s="198" t="s">
        <v>2240</v>
      </c>
      <c r="B1128" s="198" t="s">
        <v>8812</v>
      </c>
      <c r="C1128" s="198">
        <v>0</v>
      </c>
      <c r="D1128" s="196">
        <v>124</v>
      </c>
      <c r="E1128" s="196">
        <v>43.893999999999998</v>
      </c>
      <c r="F1128" s="196">
        <v>3.5000000000000003E-2</v>
      </c>
      <c r="G1128" s="196">
        <v>5.92</v>
      </c>
      <c r="H1128" s="196">
        <v>136.09</v>
      </c>
      <c r="I1128" s="196">
        <v>82.555000000000007</v>
      </c>
      <c r="J1128" s="196">
        <v>3.27</v>
      </c>
      <c r="K1128" s="196"/>
      <c r="L1128" s="200">
        <v>1128</v>
      </c>
      <c r="M1128" s="200">
        <v>2</v>
      </c>
      <c r="N1128" s="200">
        <v>7</v>
      </c>
    </row>
    <row r="1129" spans="1:14" x14ac:dyDescent="0.25">
      <c r="A1129" s="198" t="s">
        <v>2240</v>
      </c>
      <c r="B1129" s="198" t="s">
        <v>8813</v>
      </c>
      <c r="C1129" s="198">
        <v>0</v>
      </c>
      <c r="D1129" s="196">
        <v>116</v>
      </c>
      <c r="E1129" s="196">
        <v>43.896000000000001</v>
      </c>
      <c r="F1129" s="196">
        <v>0.15</v>
      </c>
      <c r="G1129" s="196">
        <v>18.376000000000001</v>
      </c>
      <c r="H1129" s="196">
        <v>76.53</v>
      </c>
      <c r="I1129" s="196">
        <v>84.509</v>
      </c>
      <c r="J1129" s="196">
        <v>345.11500000000001</v>
      </c>
      <c r="K1129" s="196"/>
      <c r="L1129" s="200">
        <v>1129</v>
      </c>
      <c r="M1129" s="200">
        <v>2</v>
      </c>
      <c r="N1129" s="200">
        <v>7</v>
      </c>
    </row>
    <row r="1130" spans="1:14" x14ac:dyDescent="0.25">
      <c r="A1130" s="198" t="s">
        <v>2240</v>
      </c>
      <c r="B1130" s="198" t="s">
        <v>8814</v>
      </c>
      <c r="C1130" s="198">
        <v>0</v>
      </c>
      <c r="D1130" s="196">
        <v>137</v>
      </c>
      <c r="E1130" s="196">
        <v>43.905999999999999</v>
      </c>
      <c r="F1130" s="196">
        <v>8.7999999999999995E-2</v>
      </c>
      <c r="G1130" s="196">
        <v>4.2699999999999996</v>
      </c>
      <c r="H1130" s="196">
        <v>93.64</v>
      </c>
      <c r="I1130" s="196">
        <v>200.25700000000001</v>
      </c>
      <c r="J1130" s="196">
        <v>39.914999999999999</v>
      </c>
      <c r="K1130" s="196"/>
      <c r="L1130" s="200">
        <v>1130</v>
      </c>
      <c r="M1130" s="200">
        <v>2</v>
      </c>
      <c r="N1130" s="200">
        <v>7</v>
      </c>
    </row>
    <row r="1131" spans="1:14" x14ac:dyDescent="0.25">
      <c r="A1131" s="198" t="s">
        <v>2240</v>
      </c>
      <c r="B1131" s="198" t="s">
        <v>8815</v>
      </c>
      <c r="C1131" s="198">
        <v>0</v>
      </c>
      <c r="D1131" s="196">
        <v>148</v>
      </c>
      <c r="E1131" s="196">
        <v>43.91</v>
      </c>
      <c r="F1131" s="196">
        <v>0.20699999999999999</v>
      </c>
      <c r="G1131" s="196">
        <v>32.96</v>
      </c>
      <c r="H1131" s="196">
        <v>113.38</v>
      </c>
      <c r="I1131" s="196">
        <v>199.95</v>
      </c>
      <c r="J1131" s="196">
        <v>113.7</v>
      </c>
      <c r="K1131" s="196"/>
      <c r="L1131" s="200">
        <v>1131</v>
      </c>
      <c r="M1131" s="200">
        <v>2</v>
      </c>
      <c r="N1131" s="200">
        <v>7</v>
      </c>
    </row>
    <row r="1132" spans="1:14" x14ac:dyDescent="0.25">
      <c r="A1132" s="198" t="s">
        <v>2240</v>
      </c>
      <c r="B1132" s="198" t="s">
        <v>2579</v>
      </c>
      <c r="C1132" s="198">
        <v>0</v>
      </c>
      <c r="D1132" s="196">
        <v>54</v>
      </c>
      <c r="E1132" s="196">
        <v>43.924999999999997</v>
      </c>
      <c r="F1132" s="196">
        <v>7.0999999999999994E-2</v>
      </c>
      <c r="G1132" s="196">
        <v>2.1800000000000002</v>
      </c>
      <c r="H1132" s="196">
        <v>0.77700000000000002</v>
      </c>
      <c r="I1132" s="196">
        <v>359.27600000000001</v>
      </c>
      <c r="J1132" s="196">
        <v>34.040999999999997</v>
      </c>
      <c r="K1132" s="196"/>
      <c r="L1132" s="200">
        <v>1132</v>
      </c>
      <c r="M1132" s="200">
        <v>1</v>
      </c>
      <c r="N1132" s="200">
        <v>7</v>
      </c>
    </row>
    <row r="1133" spans="1:14" x14ac:dyDescent="0.25">
      <c r="A1133" s="198" t="s">
        <v>2240</v>
      </c>
      <c r="B1133" s="198" t="s">
        <v>8816</v>
      </c>
      <c r="C1133" s="198">
        <v>0</v>
      </c>
      <c r="D1133" s="196">
        <v>126</v>
      </c>
      <c r="E1133" s="196">
        <v>43.95</v>
      </c>
      <c r="F1133" s="196">
        <v>0.182</v>
      </c>
      <c r="G1133" s="196">
        <v>10.15</v>
      </c>
      <c r="H1133" s="196">
        <v>2.59</v>
      </c>
      <c r="I1133" s="196">
        <v>104.85</v>
      </c>
      <c r="J1133" s="196">
        <v>63.88</v>
      </c>
      <c r="K1133" s="196"/>
      <c r="L1133" s="200">
        <v>1133</v>
      </c>
      <c r="M1133" s="200">
        <v>2</v>
      </c>
      <c r="N1133" s="200">
        <v>7</v>
      </c>
    </row>
    <row r="1134" spans="1:14" x14ac:dyDescent="0.25">
      <c r="A1134" s="198" t="s">
        <v>2240</v>
      </c>
      <c r="B1134" s="198" t="s">
        <v>8817</v>
      </c>
      <c r="C1134" s="198">
        <v>0</v>
      </c>
      <c r="D1134" s="196">
        <v>210</v>
      </c>
      <c r="E1134" s="196">
        <v>43.951000000000001</v>
      </c>
      <c r="F1134" s="196">
        <v>0.17699999999999999</v>
      </c>
      <c r="G1134" s="196">
        <v>18.170000000000002</v>
      </c>
      <c r="H1134" s="196">
        <v>322.89999999999998</v>
      </c>
      <c r="I1134" s="196">
        <v>76.45</v>
      </c>
      <c r="J1134" s="196">
        <v>64.260000000000005</v>
      </c>
      <c r="K1134" s="196"/>
      <c r="L1134" s="200">
        <v>1134</v>
      </c>
      <c r="M1134" s="200">
        <v>2</v>
      </c>
      <c r="N1134" s="200">
        <v>7</v>
      </c>
    </row>
    <row r="1135" spans="1:14" x14ac:dyDescent="0.25">
      <c r="A1135" s="198" t="s">
        <v>2240</v>
      </c>
      <c r="B1135" s="198" t="s">
        <v>8818</v>
      </c>
      <c r="C1135" s="198">
        <v>0</v>
      </c>
      <c r="D1135" s="196">
        <v>106</v>
      </c>
      <c r="E1135" s="196">
        <v>43.98</v>
      </c>
      <c r="F1135" s="196">
        <v>1.7000000000000001E-2</v>
      </c>
      <c r="G1135" s="196">
        <v>5.6280000000000001</v>
      </c>
      <c r="H1135" s="196">
        <v>188.5</v>
      </c>
      <c r="I1135" s="196">
        <v>77.83</v>
      </c>
      <c r="J1135" s="196">
        <v>69.010000000000005</v>
      </c>
      <c r="K1135" s="196"/>
      <c r="L1135" s="200">
        <v>1135</v>
      </c>
      <c r="M1135" s="200">
        <v>2</v>
      </c>
      <c r="N1135" s="200">
        <v>7</v>
      </c>
    </row>
    <row r="1136" spans="1:14" x14ac:dyDescent="0.25">
      <c r="A1136" s="198" t="s">
        <v>2240</v>
      </c>
      <c r="B1136" s="198" t="s">
        <v>8819</v>
      </c>
      <c r="C1136" s="198">
        <v>0</v>
      </c>
      <c r="D1136" s="196">
        <v>175</v>
      </c>
      <c r="E1136" s="196">
        <v>44</v>
      </c>
      <c r="F1136" s="196">
        <v>0.187</v>
      </c>
      <c r="G1136" s="196">
        <v>23.15</v>
      </c>
      <c r="H1136" s="196">
        <v>41.2</v>
      </c>
      <c r="I1136" s="196">
        <v>285.12</v>
      </c>
      <c r="J1136" s="196">
        <v>356.5</v>
      </c>
      <c r="K1136" s="196"/>
      <c r="L1136" s="200">
        <v>1136</v>
      </c>
      <c r="M1136" s="200">
        <v>2</v>
      </c>
      <c r="N1136" s="200">
        <v>7</v>
      </c>
    </row>
    <row r="1137" spans="1:14" x14ac:dyDescent="0.25">
      <c r="A1137" s="198" t="s">
        <v>2240</v>
      </c>
      <c r="B1137" s="198" t="s">
        <v>8820</v>
      </c>
      <c r="C1137" s="198">
        <v>0</v>
      </c>
      <c r="D1137" s="196">
        <v>135</v>
      </c>
      <c r="E1137" s="196">
        <v>44</v>
      </c>
      <c r="F1137" s="196">
        <v>0.155</v>
      </c>
      <c r="G1137" s="196">
        <v>25.13</v>
      </c>
      <c r="H1137" s="196">
        <v>216.56</v>
      </c>
      <c r="I1137" s="196">
        <v>225.2</v>
      </c>
      <c r="J1137" s="196">
        <v>342.88</v>
      </c>
      <c r="K1137" s="196"/>
      <c r="L1137" s="200">
        <v>1137</v>
      </c>
      <c r="M1137" s="200">
        <v>2</v>
      </c>
      <c r="N1137" s="200">
        <v>7</v>
      </c>
    </row>
    <row r="1138" spans="1:14" x14ac:dyDescent="0.25">
      <c r="A1138" s="198" t="s">
        <v>2240</v>
      </c>
      <c r="B1138" s="198" t="s">
        <v>8821</v>
      </c>
      <c r="C1138" s="198">
        <v>0</v>
      </c>
      <c r="D1138" s="196">
        <v>116</v>
      </c>
      <c r="E1138" s="196">
        <v>44.015000000000001</v>
      </c>
      <c r="F1138" s="196">
        <v>7.5999999999999998E-2</v>
      </c>
      <c r="G1138" s="196">
        <v>2.44</v>
      </c>
      <c r="H1138" s="196">
        <v>133.19999999999999</v>
      </c>
      <c r="I1138" s="196">
        <v>8.17</v>
      </c>
      <c r="J1138" s="196">
        <v>106.67</v>
      </c>
      <c r="K1138" s="196"/>
      <c r="L1138" s="200">
        <v>1138</v>
      </c>
      <c r="M1138" s="200">
        <v>2</v>
      </c>
      <c r="N1138" s="200">
        <v>7</v>
      </c>
    </row>
    <row r="1139" spans="1:14" x14ac:dyDescent="0.25">
      <c r="A1139" s="198" t="s">
        <v>2240</v>
      </c>
      <c r="B1139" s="198" t="s">
        <v>8822</v>
      </c>
      <c r="C1139" s="198">
        <v>0</v>
      </c>
      <c r="D1139" s="196">
        <v>116</v>
      </c>
      <c r="E1139" s="196">
        <v>44.02</v>
      </c>
      <c r="F1139" s="196">
        <v>0.151</v>
      </c>
      <c r="G1139" s="196">
        <v>5.41</v>
      </c>
      <c r="H1139" s="196">
        <v>168.4</v>
      </c>
      <c r="I1139" s="196">
        <v>112.82</v>
      </c>
      <c r="J1139" s="196">
        <v>81.569999999999993</v>
      </c>
      <c r="K1139" s="196"/>
      <c r="L1139" s="200">
        <v>1139</v>
      </c>
      <c r="M1139" s="200">
        <v>2</v>
      </c>
      <c r="N1139" s="200">
        <v>7</v>
      </c>
    </row>
    <row r="1140" spans="1:14" x14ac:dyDescent="0.25">
      <c r="A1140" s="198" t="s">
        <v>2240</v>
      </c>
      <c r="B1140" s="198" t="s">
        <v>8823</v>
      </c>
      <c r="C1140" s="198">
        <v>1</v>
      </c>
      <c r="D1140" s="196">
        <v>71</v>
      </c>
      <c r="E1140" s="196">
        <v>44.05</v>
      </c>
      <c r="F1140" s="196">
        <v>0.193</v>
      </c>
      <c r="G1140" s="196">
        <v>13.33</v>
      </c>
      <c r="H1140" s="196">
        <v>320.29000000000002</v>
      </c>
      <c r="I1140" s="196">
        <v>101.6</v>
      </c>
      <c r="J1140" s="196">
        <v>7.0000000000000007E-2</v>
      </c>
      <c r="K1140" s="196"/>
      <c r="L1140" s="200">
        <v>1140</v>
      </c>
      <c r="M1140" s="200">
        <v>2</v>
      </c>
      <c r="N1140" s="200">
        <v>7</v>
      </c>
    </row>
    <row r="1141" spans="1:14" x14ac:dyDescent="0.25">
      <c r="A1141" s="198" t="s">
        <v>32</v>
      </c>
      <c r="B1141" s="198" t="s">
        <v>8027</v>
      </c>
      <c r="C1141" s="198"/>
      <c r="D1141" s="196">
        <v>63</v>
      </c>
      <c r="E1141" s="196"/>
      <c r="F1141" s="196"/>
      <c r="G1141" s="196"/>
      <c r="H1141" s="196"/>
      <c r="I1141" s="196"/>
      <c r="J1141" s="196"/>
      <c r="K1141" s="196"/>
      <c r="L1141" s="200">
        <v>1141</v>
      </c>
      <c r="M1141" s="200">
        <v>3</v>
      </c>
      <c r="N1141" s="200">
        <v>28</v>
      </c>
    </row>
    <row r="1142" spans="1:14" x14ac:dyDescent="0.25">
      <c r="A1142" s="198" t="s">
        <v>2240</v>
      </c>
      <c r="B1142" s="198" t="s">
        <v>8824</v>
      </c>
      <c r="C1142" s="198">
        <v>0</v>
      </c>
      <c r="D1142" s="196">
        <v>116</v>
      </c>
      <c r="E1142" s="196">
        <v>44.055999999999997</v>
      </c>
      <c r="F1142" s="196">
        <v>8.8999999999999996E-2</v>
      </c>
      <c r="G1142" s="196">
        <v>7.47</v>
      </c>
      <c r="H1142" s="196">
        <v>177.096</v>
      </c>
      <c r="I1142" s="196">
        <v>190.30199999999999</v>
      </c>
      <c r="J1142" s="196">
        <v>180.23</v>
      </c>
      <c r="K1142" s="196"/>
      <c r="L1142" s="200">
        <v>1142</v>
      </c>
      <c r="M1142" s="200">
        <v>2</v>
      </c>
      <c r="N1142" s="200">
        <v>7</v>
      </c>
    </row>
    <row r="1143" spans="1:14" x14ac:dyDescent="0.25">
      <c r="A1143" s="198" t="s">
        <v>2240</v>
      </c>
      <c r="B1143" s="198" t="s">
        <v>8825</v>
      </c>
      <c r="C1143" s="198">
        <v>0</v>
      </c>
      <c r="D1143" s="196">
        <v>142</v>
      </c>
      <c r="E1143" s="196">
        <v>44.06</v>
      </c>
      <c r="F1143" s="196">
        <v>4.5999999999999999E-2</v>
      </c>
      <c r="G1143" s="196">
        <v>7.45</v>
      </c>
      <c r="H1143" s="196">
        <v>150.6</v>
      </c>
      <c r="I1143" s="196">
        <v>291.95</v>
      </c>
      <c r="J1143" s="196">
        <v>281.5</v>
      </c>
      <c r="K1143" s="196"/>
      <c r="L1143" s="200">
        <v>1143</v>
      </c>
      <c r="M1143" s="200">
        <v>2</v>
      </c>
      <c r="N1143" s="200">
        <v>7</v>
      </c>
    </row>
    <row r="1144" spans="1:14" x14ac:dyDescent="0.25">
      <c r="A1144" s="198" t="s">
        <v>2240</v>
      </c>
      <c r="B1144" s="198" t="s">
        <v>8826</v>
      </c>
      <c r="C1144" s="198">
        <v>0</v>
      </c>
      <c r="D1144" s="196">
        <v>107</v>
      </c>
      <c r="E1144" s="196">
        <v>44.061</v>
      </c>
      <c r="F1144" s="196">
        <v>0.124</v>
      </c>
      <c r="G1144" s="196">
        <v>10.458</v>
      </c>
      <c r="H1144" s="196">
        <v>347.19900000000001</v>
      </c>
      <c r="I1144" s="196">
        <v>46.185000000000002</v>
      </c>
      <c r="J1144" s="196">
        <v>5.2999999999999999E-2</v>
      </c>
      <c r="K1144" s="196"/>
      <c r="L1144" s="200">
        <v>1144</v>
      </c>
      <c r="M1144" s="200">
        <v>2</v>
      </c>
      <c r="N1144" s="200">
        <v>7</v>
      </c>
    </row>
    <row r="1145" spans="1:14" x14ac:dyDescent="0.25">
      <c r="A1145" s="198" t="s">
        <v>2240</v>
      </c>
      <c r="B1145" s="198" t="s">
        <v>8827</v>
      </c>
      <c r="C1145" s="198">
        <v>0</v>
      </c>
      <c r="D1145" s="196">
        <v>163</v>
      </c>
      <c r="E1145" s="196">
        <v>44.088000000000001</v>
      </c>
      <c r="F1145" s="196">
        <v>0.108</v>
      </c>
      <c r="G1145" s="196">
        <v>11.6</v>
      </c>
      <c r="H1145" s="196">
        <v>252.3</v>
      </c>
      <c r="I1145" s="196">
        <v>244.8</v>
      </c>
      <c r="J1145" s="196">
        <v>79.400000000000006</v>
      </c>
      <c r="K1145" s="196"/>
      <c r="L1145" s="200">
        <v>1145</v>
      </c>
      <c r="M1145" s="200">
        <v>2</v>
      </c>
      <c r="N1145" s="200">
        <v>7</v>
      </c>
    </row>
    <row r="1146" spans="1:14" x14ac:dyDescent="0.25">
      <c r="A1146" s="198" t="s">
        <v>2240</v>
      </c>
      <c r="B1146" s="198" t="s">
        <v>3396</v>
      </c>
      <c r="C1146" s="198">
        <v>1</v>
      </c>
      <c r="D1146" s="196">
        <v>125</v>
      </c>
      <c r="E1146" s="196">
        <v>44.116</v>
      </c>
      <c r="F1146" s="196">
        <v>1.7000000000000001E-2</v>
      </c>
      <c r="G1146" s="196">
        <v>2.2410000000000001</v>
      </c>
      <c r="H1146" s="196">
        <v>222.59700000000001</v>
      </c>
      <c r="I1146" s="196">
        <v>304.34199999999998</v>
      </c>
      <c r="J1146" s="196">
        <v>331.88400000000001</v>
      </c>
      <c r="K1146" s="196">
        <v>0.72</v>
      </c>
      <c r="L1146" s="200">
        <v>1146</v>
      </c>
      <c r="M1146" s="200">
        <v>1</v>
      </c>
      <c r="N1146" s="200">
        <v>7</v>
      </c>
    </row>
    <row r="1147" spans="1:14" x14ac:dyDescent="0.25">
      <c r="A1147" s="198" t="s">
        <v>32</v>
      </c>
      <c r="B1147" s="198" t="s">
        <v>3402</v>
      </c>
      <c r="C1147" s="198"/>
      <c r="D1147" s="196">
        <v>118</v>
      </c>
      <c r="E1147" s="196"/>
      <c r="F1147" s="196">
        <v>0.02</v>
      </c>
      <c r="G1147" s="196"/>
      <c r="H1147" s="196"/>
      <c r="I1147" s="196"/>
      <c r="J1147" s="196"/>
      <c r="K1147" s="196"/>
      <c r="L1147" s="200">
        <v>1147</v>
      </c>
      <c r="M1147" s="200">
        <v>1</v>
      </c>
      <c r="N1147" s="200">
        <v>28</v>
      </c>
    </row>
    <row r="1148" spans="1:14" x14ac:dyDescent="0.25">
      <c r="A1148" s="198" t="s">
        <v>2240</v>
      </c>
      <c r="B1148" s="198" t="s">
        <v>8828</v>
      </c>
      <c r="C1148" s="198">
        <v>0</v>
      </c>
      <c r="D1148" s="196">
        <v>188</v>
      </c>
      <c r="E1148" s="196">
        <v>44.14</v>
      </c>
      <c r="F1148" s="196">
        <v>0.17399999999999999</v>
      </c>
      <c r="G1148" s="196">
        <v>7.9109999999999996</v>
      </c>
      <c r="H1148" s="196">
        <v>51.63</v>
      </c>
      <c r="I1148" s="196">
        <v>20.41</v>
      </c>
      <c r="J1148" s="196">
        <v>51.63</v>
      </c>
      <c r="K1148" s="196"/>
      <c r="L1148" s="200">
        <v>1148</v>
      </c>
      <c r="M1148" s="200">
        <v>2</v>
      </c>
      <c r="N1148" s="200">
        <v>7</v>
      </c>
    </row>
    <row r="1149" spans="1:14" x14ac:dyDescent="0.25">
      <c r="A1149" s="198" t="s">
        <v>2240</v>
      </c>
      <c r="B1149" s="198" t="s">
        <v>8829</v>
      </c>
      <c r="C1149" s="198">
        <v>0</v>
      </c>
      <c r="D1149" s="196">
        <v>133</v>
      </c>
      <c r="E1149" s="196">
        <v>44.156999999999996</v>
      </c>
      <c r="F1149" s="196">
        <v>0.17399999999999999</v>
      </c>
      <c r="G1149" s="196">
        <v>28.771000000000001</v>
      </c>
      <c r="H1149" s="196">
        <v>276.06400000000002</v>
      </c>
      <c r="I1149" s="196">
        <v>342.88799999999998</v>
      </c>
      <c r="J1149" s="196">
        <v>67.349999999999994</v>
      </c>
      <c r="K1149" s="196"/>
      <c r="L1149" s="200">
        <v>1149</v>
      </c>
      <c r="M1149" s="200">
        <v>2</v>
      </c>
      <c r="N1149" s="200">
        <v>7</v>
      </c>
    </row>
    <row r="1150" spans="1:14" x14ac:dyDescent="0.25">
      <c r="A1150" s="198" t="s">
        <v>2240</v>
      </c>
      <c r="B1150" s="198" t="s">
        <v>8830</v>
      </c>
      <c r="C1150" s="198">
        <v>1</v>
      </c>
      <c r="D1150" s="196">
        <v>129</v>
      </c>
      <c r="E1150" s="196">
        <v>44.16</v>
      </c>
      <c r="F1150" s="196">
        <v>0.84599999999999997</v>
      </c>
      <c r="G1150" s="196">
        <v>4.9800000000000004</v>
      </c>
      <c r="H1150" s="196">
        <v>183</v>
      </c>
      <c r="I1150" s="196">
        <v>80.44</v>
      </c>
      <c r="J1150" s="196">
        <v>213.8</v>
      </c>
      <c r="K1150" s="196"/>
      <c r="L1150" s="200">
        <v>1150</v>
      </c>
      <c r="M1150" s="200">
        <v>2</v>
      </c>
      <c r="N1150" s="200">
        <v>7</v>
      </c>
    </row>
    <row r="1151" spans="1:14" x14ac:dyDescent="0.25">
      <c r="A1151" s="198" t="s">
        <v>32</v>
      </c>
      <c r="B1151" s="198" t="s">
        <v>4781</v>
      </c>
      <c r="C1151" s="198"/>
      <c r="D1151" s="196">
        <v>80</v>
      </c>
      <c r="E1151" s="196"/>
      <c r="F1151" s="196"/>
      <c r="G1151" s="196"/>
      <c r="H1151" s="196"/>
      <c r="I1151" s="196"/>
      <c r="J1151" s="196"/>
      <c r="K1151" s="196"/>
      <c r="L1151" s="200">
        <v>1151</v>
      </c>
      <c r="M1151" s="200">
        <v>3</v>
      </c>
      <c r="N1151" s="200">
        <v>28</v>
      </c>
    </row>
    <row r="1152" spans="1:14" x14ac:dyDescent="0.25">
      <c r="A1152" s="198" t="s">
        <v>2240</v>
      </c>
      <c r="B1152" s="198" t="s">
        <v>8831</v>
      </c>
      <c r="C1152" s="198">
        <v>0</v>
      </c>
      <c r="D1152" s="196">
        <v>94</v>
      </c>
      <c r="E1152" s="196">
        <v>44.19</v>
      </c>
      <c r="F1152" s="196">
        <v>4.8000000000000001E-2</v>
      </c>
      <c r="G1152" s="196">
        <v>1.1559999999999999</v>
      </c>
      <c r="H1152" s="196">
        <v>213.3</v>
      </c>
      <c r="I1152" s="196">
        <v>136.36000000000001</v>
      </c>
      <c r="J1152" s="196">
        <v>15.9</v>
      </c>
      <c r="K1152" s="196"/>
      <c r="L1152" s="200">
        <v>1152</v>
      </c>
      <c r="M1152" s="200">
        <v>2</v>
      </c>
      <c r="N1152" s="200">
        <v>7</v>
      </c>
    </row>
    <row r="1153" spans="1:14" x14ac:dyDescent="0.25">
      <c r="A1153" s="198" t="s">
        <v>2240</v>
      </c>
      <c r="B1153" s="198" t="s">
        <v>8832</v>
      </c>
      <c r="C1153" s="198">
        <v>0</v>
      </c>
      <c r="D1153" s="196">
        <v>152</v>
      </c>
      <c r="E1153" s="196">
        <v>44.192</v>
      </c>
      <c r="F1153" s="196">
        <v>6.8000000000000005E-2</v>
      </c>
      <c r="G1153" s="196">
        <v>10.029999999999999</v>
      </c>
      <c r="H1153" s="196">
        <v>196.4</v>
      </c>
      <c r="I1153" s="196">
        <v>63.73</v>
      </c>
      <c r="J1153" s="196">
        <v>33.96</v>
      </c>
      <c r="K1153" s="196"/>
      <c r="L1153" s="200">
        <v>1153</v>
      </c>
      <c r="M1153" s="200">
        <v>2</v>
      </c>
      <c r="N1153" s="200">
        <v>7</v>
      </c>
    </row>
    <row r="1154" spans="1:14" x14ac:dyDescent="0.25">
      <c r="A1154" s="198" t="s">
        <v>2240</v>
      </c>
      <c r="B1154" s="198" t="s">
        <v>3405</v>
      </c>
      <c r="C1154" s="198">
        <v>1</v>
      </c>
      <c r="D1154" s="196">
        <v>123</v>
      </c>
      <c r="E1154" s="196">
        <v>44.223999999999997</v>
      </c>
      <c r="F1154" s="196">
        <v>0.06</v>
      </c>
      <c r="G1154" s="196">
        <v>5.2060000000000004</v>
      </c>
      <c r="H1154" s="196">
        <v>297.70999999999998</v>
      </c>
      <c r="I1154" s="196">
        <v>2.0129999999999999</v>
      </c>
      <c r="J1154" s="196">
        <v>124.29</v>
      </c>
      <c r="K1154" s="196">
        <v>0.3</v>
      </c>
      <c r="L1154" s="200">
        <v>1154</v>
      </c>
      <c r="M1154" s="200">
        <v>1</v>
      </c>
      <c r="N1154" s="200">
        <v>7</v>
      </c>
    </row>
    <row r="1155" spans="1:14" x14ac:dyDescent="0.25">
      <c r="A1155" s="198" t="s">
        <v>32</v>
      </c>
      <c r="B1155" s="198" t="s">
        <v>3412</v>
      </c>
      <c r="C1155" s="198"/>
      <c r="D1155" s="196">
        <v>111</v>
      </c>
      <c r="E1155" s="196"/>
      <c r="F1155" s="196">
        <v>0.34499999999999997</v>
      </c>
      <c r="G1155" s="196"/>
      <c r="H1155" s="196"/>
      <c r="I1155" s="196"/>
      <c r="J1155" s="196"/>
      <c r="K1155" s="196"/>
      <c r="L1155" s="200">
        <v>1155</v>
      </c>
      <c r="M1155" s="200">
        <v>3</v>
      </c>
      <c r="N1155" s="200">
        <v>28</v>
      </c>
    </row>
    <row r="1156" spans="1:14" x14ac:dyDescent="0.25">
      <c r="A1156" s="198" t="s">
        <v>2240</v>
      </c>
      <c r="B1156" s="198" t="s">
        <v>8833</v>
      </c>
      <c r="C1156" s="198">
        <v>1</v>
      </c>
      <c r="D1156" s="196">
        <v>128</v>
      </c>
      <c r="E1156" s="196">
        <v>44.265999999999998</v>
      </c>
      <c r="F1156" s="196">
        <v>5.3999999999999999E-2</v>
      </c>
      <c r="G1156" s="196">
        <v>1.944</v>
      </c>
      <c r="H1156" s="196">
        <v>225.32</v>
      </c>
      <c r="I1156" s="196">
        <v>16.57</v>
      </c>
      <c r="J1156" s="196">
        <v>194.21</v>
      </c>
      <c r="K1156" s="196"/>
      <c r="L1156" s="200">
        <v>1156</v>
      </c>
      <c r="M1156" s="200">
        <v>2</v>
      </c>
      <c r="N1156" s="200">
        <v>7</v>
      </c>
    </row>
    <row r="1157" spans="1:14" x14ac:dyDescent="0.25">
      <c r="A1157" s="198" t="s">
        <v>32</v>
      </c>
      <c r="B1157" s="198" t="s">
        <v>6776</v>
      </c>
      <c r="C1157" s="198"/>
      <c r="D1157" s="196">
        <v>81</v>
      </c>
      <c r="E1157" s="196"/>
      <c r="F1157" s="196"/>
      <c r="G1157" s="196"/>
      <c r="H1157" s="196"/>
      <c r="I1157" s="196"/>
      <c r="J1157" s="196"/>
      <c r="K1157" s="196"/>
      <c r="L1157" s="200">
        <v>1157</v>
      </c>
      <c r="M1157" s="200">
        <v>3</v>
      </c>
      <c r="N1157" s="200">
        <v>28</v>
      </c>
    </row>
    <row r="1158" spans="1:14" x14ac:dyDescent="0.25">
      <c r="A1158" s="198" t="s">
        <v>2240</v>
      </c>
      <c r="B1158" s="198" t="s">
        <v>8834</v>
      </c>
      <c r="C1158" s="198">
        <v>0</v>
      </c>
      <c r="D1158" s="196">
        <v>155</v>
      </c>
      <c r="E1158" s="196">
        <v>44.29</v>
      </c>
      <c r="F1158" s="196">
        <v>0.11</v>
      </c>
      <c r="G1158" s="196">
        <v>9.77</v>
      </c>
      <c r="H1158" s="196">
        <v>97</v>
      </c>
      <c r="I1158" s="196">
        <v>290.3</v>
      </c>
      <c r="J1158" s="196">
        <v>147.69999999999999</v>
      </c>
      <c r="K1158" s="196"/>
      <c r="L1158" s="200">
        <v>1158</v>
      </c>
      <c r="M1158" s="200">
        <v>2</v>
      </c>
      <c r="N1158" s="200">
        <v>7</v>
      </c>
    </row>
    <row r="1159" spans="1:14" x14ac:dyDescent="0.25">
      <c r="A1159" s="198" t="s">
        <v>2240</v>
      </c>
      <c r="B1159" s="198" t="s">
        <v>8835</v>
      </c>
      <c r="C1159" s="198">
        <v>0</v>
      </c>
      <c r="D1159" s="196">
        <v>144</v>
      </c>
      <c r="E1159" s="196">
        <v>44.3</v>
      </c>
      <c r="F1159" s="196">
        <v>0.10299999999999999</v>
      </c>
      <c r="G1159" s="196">
        <v>11.56</v>
      </c>
      <c r="H1159" s="196">
        <v>229.7</v>
      </c>
      <c r="I1159" s="196">
        <v>154.13999999999999</v>
      </c>
      <c r="J1159" s="196">
        <v>147</v>
      </c>
      <c r="K1159" s="196"/>
      <c r="L1159" s="200">
        <v>1159</v>
      </c>
      <c r="M1159" s="200">
        <v>2</v>
      </c>
      <c r="N1159" s="200">
        <v>7</v>
      </c>
    </row>
    <row r="1160" spans="1:14" x14ac:dyDescent="0.25">
      <c r="A1160" s="198" t="s">
        <v>2240</v>
      </c>
      <c r="B1160" s="198" t="s">
        <v>8836</v>
      </c>
      <c r="C1160" s="198">
        <v>0</v>
      </c>
      <c r="D1160" s="196">
        <v>223</v>
      </c>
      <c r="E1160" s="196">
        <v>44.302999999999997</v>
      </c>
      <c r="F1160" s="196">
        <v>0.11</v>
      </c>
      <c r="G1160" s="196">
        <v>28.75</v>
      </c>
      <c r="H1160" s="196">
        <v>204.79</v>
      </c>
      <c r="I1160" s="196">
        <v>162.66999999999999</v>
      </c>
      <c r="J1160" s="196">
        <v>3.1150000000000002</v>
      </c>
      <c r="K1160" s="196"/>
      <c r="L1160" s="200">
        <v>1160</v>
      </c>
      <c r="M1160" s="200">
        <v>2</v>
      </c>
      <c r="N1160" s="200">
        <v>7</v>
      </c>
    </row>
    <row r="1161" spans="1:14" x14ac:dyDescent="0.25">
      <c r="A1161" s="198" t="s">
        <v>2240</v>
      </c>
      <c r="B1161" s="198" t="s">
        <v>8837</v>
      </c>
      <c r="C1161" s="198">
        <v>0</v>
      </c>
      <c r="D1161" s="196">
        <v>151</v>
      </c>
      <c r="E1161" s="196">
        <v>44.31</v>
      </c>
      <c r="F1161" s="196">
        <v>0.17399999999999999</v>
      </c>
      <c r="G1161" s="196">
        <v>11.47</v>
      </c>
      <c r="H1161" s="196">
        <v>313.8</v>
      </c>
      <c r="I1161" s="196">
        <v>298.86</v>
      </c>
      <c r="J1161" s="196">
        <v>280.89999999999998</v>
      </c>
      <c r="K1161" s="196"/>
      <c r="L1161" s="200">
        <v>1161</v>
      </c>
      <c r="M1161" s="200">
        <v>2</v>
      </c>
      <c r="N1161" s="200">
        <v>7</v>
      </c>
    </row>
    <row r="1162" spans="1:14" x14ac:dyDescent="0.25">
      <c r="A1162" s="198" t="s">
        <v>2240</v>
      </c>
      <c r="B1162" s="198" t="s">
        <v>8838</v>
      </c>
      <c r="C1162" s="198">
        <v>0</v>
      </c>
      <c r="D1162" s="196">
        <v>107</v>
      </c>
      <c r="E1162" s="196">
        <v>44.317</v>
      </c>
      <c r="F1162" s="196">
        <v>8.4000000000000005E-2</v>
      </c>
      <c r="G1162" s="196">
        <v>10.262</v>
      </c>
      <c r="H1162" s="196">
        <v>191.982</v>
      </c>
      <c r="I1162" s="196">
        <v>124.754</v>
      </c>
      <c r="J1162" s="196">
        <v>6.0999999999999999E-2</v>
      </c>
      <c r="K1162" s="196"/>
      <c r="L1162" s="200">
        <v>1162</v>
      </c>
      <c r="M1162" s="200">
        <v>2</v>
      </c>
      <c r="N1162" s="200">
        <v>7</v>
      </c>
    </row>
    <row r="1163" spans="1:14" x14ac:dyDescent="0.25">
      <c r="A1163" s="198" t="s">
        <v>2240</v>
      </c>
      <c r="B1163" s="198" t="s">
        <v>8839</v>
      </c>
      <c r="C1163" s="198">
        <v>0</v>
      </c>
      <c r="D1163" s="196">
        <v>120</v>
      </c>
      <c r="E1163" s="196">
        <v>44.35</v>
      </c>
      <c r="F1163" s="196">
        <v>6.7000000000000004E-2</v>
      </c>
      <c r="G1163" s="196">
        <v>7.9160000000000004</v>
      </c>
      <c r="H1163" s="196">
        <v>196.15</v>
      </c>
      <c r="I1163" s="196">
        <v>70.66</v>
      </c>
      <c r="J1163" s="196">
        <v>350.1</v>
      </c>
      <c r="K1163" s="196"/>
      <c r="L1163" s="200">
        <v>1163</v>
      </c>
      <c r="M1163" s="200">
        <v>2</v>
      </c>
      <c r="N1163" s="200">
        <v>7</v>
      </c>
    </row>
    <row r="1164" spans="1:14" x14ac:dyDescent="0.25">
      <c r="A1164" s="198" t="s">
        <v>2240</v>
      </c>
      <c r="B1164" s="198" t="s">
        <v>8840</v>
      </c>
      <c r="C1164" s="198">
        <v>0</v>
      </c>
      <c r="D1164" s="196">
        <v>77</v>
      </c>
      <c r="E1164" s="196">
        <v>44.357999999999997</v>
      </c>
      <c r="F1164" s="196">
        <v>8.2000000000000003E-2</v>
      </c>
      <c r="G1164" s="196">
        <v>0.85599999999999998</v>
      </c>
      <c r="H1164" s="196">
        <v>191.43899999999999</v>
      </c>
      <c r="I1164" s="196">
        <v>23.145</v>
      </c>
      <c r="J1164" s="196">
        <v>129.45500000000001</v>
      </c>
      <c r="K1164" s="196"/>
      <c r="L1164" s="200">
        <v>1164</v>
      </c>
      <c r="M1164" s="200">
        <v>2</v>
      </c>
      <c r="N1164" s="200">
        <v>7</v>
      </c>
    </row>
    <row r="1165" spans="1:14" x14ac:dyDescent="0.25">
      <c r="A1165" s="198" t="s">
        <v>2240</v>
      </c>
      <c r="B1165" s="198" t="s">
        <v>7495</v>
      </c>
      <c r="C1165" s="198">
        <v>0</v>
      </c>
      <c r="D1165" s="196">
        <v>87</v>
      </c>
      <c r="E1165" s="196">
        <v>44.395000000000003</v>
      </c>
      <c r="F1165" s="196">
        <v>6.7000000000000004E-2</v>
      </c>
      <c r="G1165" s="196">
        <v>0.372</v>
      </c>
      <c r="H1165" s="196">
        <v>237.36</v>
      </c>
      <c r="I1165" s="196">
        <v>51.363</v>
      </c>
      <c r="J1165" s="196">
        <v>307.41000000000003</v>
      </c>
      <c r="K1165" s="196"/>
      <c r="L1165" s="200">
        <v>1165</v>
      </c>
      <c r="M1165" s="200">
        <v>1</v>
      </c>
      <c r="N1165" s="200">
        <v>7</v>
      </c>
    </row>
    <row r="1166" spans="1:14" x14ac:dyDescent="0.25">
      <c r="A1166" s="198" t="s">
        <v>2240</v>
      </c>
      <c r="B1166" s="198" t="s">
        <v>8841</v>
      </c>
      <c r="C1166" s="198">
        <v>0</v>
      </c>
      <c r="D1166" s="196">
        <v>74</v>
      </c>
      <c r="E1166" s="196">
        <v>44.476999999999997</v>
      </c>
      <c r="F1166" s="196">
        <v>9.0999999999999998E-2</v>
      </c>
      <c r="G1166" s="196">
        <v>6.8170000000000002</v>
      </c>
      <c r="H1166" s="196">
        <v>51.218000000000004</v>
      </c>
      <c r="I1166" s="196">
        <v>237.13800000000001</v>
      </c>
      <c r="J1166" s="196">
        <v>141.84700000000001</v>
      </c>
      <c r="K1166" s="196"/>
      <c r="L1166" s="200">
        <v>1166</v>
      </c>
      <c r="M1166" s="200">
        <v>2</v>
      </c>
      <c r="N1166" s="200">
        <v>7</v>
      </c>
    </row>
    <row r="1167" spans="1:14" x14ac:dyDescent="0.25">
      <c r="A1167" s="198" t="s">
        <v>2240</v>
      </c>
      <c r="B1167" s="198" t="s">
        <v>8842</v>
      </c>
      <c r="C1167" s="198">
        <v>0</v>
      </c>
      <c r="D1167" s="196">
        <v>118</v>
      </c>
      <c r="E1167" s="196">
        <v>44.5</v>
      </c>
      <c r="F1167" s="196">
        <v>9.7000000000000003E-2</v>
      </c>
      <c r="G1167" s="196">
        <v>9.4600000000000009</v>
      </c>
      <c r="H1167" s="196">
        <v>145</v>
      </c>
      <c r="I1167" s="196">
        <v>130.53</v>
      </c>
      <c r="J1167" s="196">
        <v>260</v>
      </c>
      <c r="K1167" s="196"/>
      <c r="L1167" s="200">
        <v>1167</v>
      </c>
      <c r="M1167" s="200">
        <v>2</v>
      </c>
      <c r="N1167" s="200">
        <v>7</v>
      </c>
    </row>
    <row r="1168" spans="1:14" x14ac:dyDescent="0.25">
      <c r="A1168" s="198" t="s">
        <v>2240</v>
      </c>
      <c r="B1168" s="198" t="s">
        <v>8843</v>
      </c>
      <c r="C1168" s="198">
        <v>0</v>
      </c>
      <c r="D1168" s="196">
        <v>111</v>
      </c>
      <c r="E1168" s="196">
        <v>44.548000000000002</v>
      </c>
      <c r="F1168" s="196">
        <v>0.14399999999999999</v>
      </c>
      <c r="G1168" s="196">
        <v>7.2709999999999999</v>
      </c>
      <c r="H1168" s="196">
        <v>5.1390000000000002</v>
      </c>
      <c r="I1168" s="196">
        <v>173.28</v>
      </c>
      <c r="J1168" s="196">
        <v>0.26400000000000001</v>
      </c>
      <c r="K1168" s="196"/>
      <c r="L1168" s="200">
        <v>1168</v>
      </c>
      <c r="M1168" s="200">
        <v>2</v>
      </c>
      <c r="N1168" s="200">
        <v>7</v>
      </c>
    </row>
    <row r="1169" spans="1:14" x14ac:dyDescent="0.25">
      <c r="A1169" s="198" t="s">
        <v>2240</v>
      </c>
      <c r="B1169" s="198" t="s">
        <v>8844</v>
      </c>
      <c r="C1169" s="198">
        <v>0</v>
      </c>
      <c r="D1169" s="196">
        <v>148</v>
      </c>
      <c r="E1169" s="196">
        <v>44.567999999999998</v>
      </c>
      <c r="F1169" s="196">
        <v>0.13800000000000001</v>
      </c>
      <c r="G1169" s="196">
        <v>19.399999999999999</v>
      </c>
      <c r="H1169" s="196">
        <v>66.099999999999994</v>
      </c>
      <c r="I1169" s="196">
        <v>66.95</v>
      </c>
      <c r="J1169" s="196">
        <v>324.2</v>
      </c>
      <c r="K1169" s="196"/>
      <c r="L1169" s="200">
        <v>1169</v>
      </c>
      <c r="M1169" s="200">
        <v>2</v>
      </c>
      <c r="N1169" s="200">
        <v>7</v>
      </c>
    </row>
    <row r="1170" spans="1:14" x14ac:dyDescent="0.25">
      <c r="A1170" s="198" t="s">
        <v>2240</v>
      </c>
      <c r="B1170" s="198" t="s">
        <v>8845</v>
      </c>
      <c r="C1170" s="198">
        <v>0</v>
      </c>
      <c r="D1170" s="196">
        <v>152</v>
      </c>
      <c r="E1170" s="196">
        <v>44.57</v>
      </c>
      <c r="F1170" s="196">
        <v>0.13500000000000001</v>
      </c>
      <c r="G1170" s="196">
        <v>6.5780000000000003</v>
      </c>
      <c r="H1170" s="196">
        <v>25.97</v>
      </c>
      <c r="I1170" s="196">
        <v>22.145</v>
      </c>
      <c r="J1170" s="196">
        <v>319.8</v>
      </c>
      <c r="K1170" s="196"/>
      <c r="L1170" s="200">
        <v>1170</v>
      </c>
      <c r="M1170" s="200">
        <v>2</v>
      </c>
      <c r="N1170" s="200">
        <v>7</v>
      </c>
    </row>
    <row r="1171" spans="1:14" x14ac:dyDescent="0.25">
      <c r="A1171" s="198" t="s">
        <v>2240</v>
      </c>
      <c r="B1171" s="198" t="s">
        <v>2596</v>
      </c>
      <c r="C1171" s="198">
        <v>0</v>
      </c>
      <c r="D1171" s="196">
        <v>9</v>
      </c>
      <c r="E1171" s="196">
        <v>44.581000000000003</v>
      </c>
      <c r="F1171" s="196">
        <v>4.2000000000000003E-2</v>
      </c>
      <c r="G1171" s="196">
        <v>2.4510000000000001</v>
      </c>
      <c r="H1171" s="196">
        <v>174.41800000000001</v>
      </c>
      <c r="I1171" s="196">
        <v>158.99799999999999</v>
      </c>
      <c r="J1171" s="196">
        <v>316.55099999999999</v>
      </c>
      <c r="K1171" s="196">
        <v>0.33</v>
      </c>
      <c r="L1171" s="200">
        <v>1171</v>
      </c>
      <c r="M1171" s="200">
        <v>1</v>
      </c>
      <c r="N1171" s="200">
        <v>7</v>
      </c>
    </row>
    <row r="1172" spans="1:14" x14ac:dyDescent="0.25">
      <c r="A1172" s="198" t="s">
        <v>2240</v>
      </c>
      <c r="B1172" s="198" t="s">
        <v>8846</v>
      </c>
      <c r="C1172" s="198">
        <v>0</v>
      </c>
      <c r="D1172" s="196">
        <v>113</v>
      </c>
      <c r="E1172" s="196">
        <v>44.6</v>
      </c>
      <c r="F1172" s="196">
        <v>0.14000000000000001</v>
      </c>
      <c r="G1172" s="196">
        <v>16.369</v>
      </c>
      <c r="H1172" s="196">
        <v>236</v>
      </c>
      <c r="I1172" s="196">
        <v>283.63</v>
      </c>
      <c r="J1172" s="196">
        <v>19</v>
      </c>
      <c r="K1172" s="196"/>
      <c r="L1172" s="200">
        <v>1172</v>
      </c>
      <c r="M1172" s="200">
        <v>2</v>
      </c>
      <c r="N1172" s="200">
        <v>7</v>
      </c>
    </row>
    <row r="1173" spans="1:14" x14ac:dyDescent="0.25">
      <c r="A1173" s="198" t="s">
        <v>2240</v>
      </c>
      <c r="B1173" s="198" t="s">
        <v>8847</v>
      </c>
      <c r="C1173" s="198">
        <v>0</v>
      </c>
      <c r="D1173" s="196">
        <v>138</v>
      </c>
      <c r="E1173" s="196">
        <v>44.63</v>
      </c>
      <c r="F1173" s="196">
        <v>0.06</v>
      </c>
      <c r="G1173" s="196">
        <v>7.9240000000000004</v>
      </c>
      <c r="H1173" s="196">
        <v>202.8</v>
      </c>
      <c r="I1173" s="196">
        <v>342</v>
      </c>
      <c r="J1173" s="196">
        <v>324.58999999999997</v>
      </c>
      <c r="K1173" s="196"/>
      <c r="L1173" s="200">
        <v>1173</v>
      </c>
      <c r="M1173" s="200">
        <v>2</v>
      </c>
      <c r="N1173" s="200">
        <v>7</v>
      </c>
    </row>
    <row r="1174" spans="1:14" x14ac:dyDescent="0.25">
      <c r="A1174" s="198" t="s">
        <v>2240</v>
      </c>
      <c r="B1174" s="198" t="s">
        <v>8848</v>
      </c>
      <c r="C1174" s="198">
        <v>0</v>
      </c>
      <c r="D1174" s="196">
        <v>111</v>
      </c>
      <c r="E1174" s="196">
        <v>44.631999999999998</v>
      </c>
      <c r="F1174" s="196">
        <v>4.2000000000000003E-2</v>
      </c>
      <c r="G1174" s="196">
        <v>22.498000000000001</v>
      </c>
      <c r="H1174" s="196">
        <v>324.72899999999998</v>
      </c>
      <c r="I1174" s="196">
        <v>198.673</v>
      </c>
      <c r="J1174" s="196">
        <v>179.86699999999999</v>
      </c>
      <c r="K1174" s="196"/>
      <c r="L1174" s="200">
        <v>1174</v>
      </c>
      <c r="M1174" s="200">
        <v>2</v>
      </c>
      <c r="N1174" s="200">
        <v>7</v>
      </c>
    </row>
    <row r="1175" spans="1:14" x14ac:dyDescent="0.25">
      <c r="A1175" s="198" t="s">
        <v>2240</v>
      </c>
      <c r="B1175" s="198" t="s">
        <v>8849</v>
      </c>
      <c r="C1175" s="198">
        <v>0</v>
      </c>
      <c r="D1175" s="196">
        <v>176</v>
      </c>
      <c r="E1175" s="196">
        <v>44.710999999999999</v>
      </c>
      <c r="F1175" s="196">
        <v>8.7999999999999995E-2</v>
      </c>
      <c r="G1175" s="196">
        <v>11.239000000000001</v>
      </c>
      <c r="H1175" s="196">
        <v>84.43</v>
      </c>
      <c r="I1175" s="196">
        <v>130.11000000000001</v>
      </c>
      <c r="J1175" s="196">
        <v>158.99</v>
      </c>
      <c r="K1175" s="196"/>
      <c r="L1175" s="200">
        <v>1175</v>
      </c>
      <c r="M1175" s="200">
        <v>2</v>
      </c>
      <c r="N1175" s="200">
        <v>7</v>
      </c>
    </row>
    <row r="1176" spans="1:14" x14ac:dyDescent="0.25">
      <c r="A1176" s="198" t="s">
        <v>2240</v>
      </c>
      <c r="B1176" s="198" t="s">
        <v>8850</v>
      </c>
      <c r="C1176" s="198">
        <v>0</v>
      </c>
      <c r="D1176" s="196">
        <v>295</v>
      </c>
      <c r="E1176" s="196">
        <v>44.713999999999999</v>
      </c>
      <c r="F1176" s="196">
        <v>8.6999999999999994E-2</v>
      </c>
      <c r="G1176" s="196">
        <v>8.34</v>
      </c>
      <c r="H1176" s="196">
        <v>338.46</v>
      </c>
      <c r="I1176" s="196">
        <v>66.790000000000006</v>
      </c>
      <c r="J1176" s="196">
        <v>45.997999999999998</v>
      </c>
      <c r="K1176" s="196"/>
      <c r="L1176" s="200">
        <v>1176</v>
      </c>
      <c r="M1176" s="200">
        <v>2</v>
      </c>
      <c r="N1176" s="200">
        <v>7</v>
      </c>
    </row>
    <row r="1177" spans="1:14" x14ac:dyDescent="0.25">
      <c r="A1177" s="198" t="s">
        <v>2240</v>
      </c>
      <c r="B1177" s="198" t="s">
        <v>8851</v>
      </c>
      <c r="C1177" s="198">
        <v>0</v>
      </c>
      <c r="D1177" s="196">
        <v>108</v>
      </c>
      <c r="E1177" s="196">
        <v>44.72</v>
      </c>
      <c r="F1177" s="196">
        <v>0.15</v>
      </c>
      <c r="G1177" s="196">
        <v>9.25</v>
      </c>
      <c r="H1177" s="196">
        <v>98.11</v>
      </c>
      <c r="I1177" s="196">
        <v>35.590000000000003</v>
      </c>
      <c r="J1177" s="196">
        <v>10.14</v>
      </c>
      <c r="K1177" s="196"/>
      <c r="L1177" s="200">
        <v>1177</v>
      </c>
      <c r="M1177" s="200">
        <v>2</v>
      </c>
      <c r="N1177" s="200">
        <v>7</v>
      </c>
    </row>
    <row r="1178" spans="1:14" x14ac:dyDescent="0.25">
      <c r="A1178" s="198" t="s">
        <v>2240</v>
      </c>
      <c r="B1178" s="198" t="s">
        <v>8852</v>
      </c>
      <c r="C1178" s="198">
        <v>0</v>
      </c>
      <c r="D1178" s="196">
        <v>145</v>
      </c>
      <c r="E1178" s="196">
        <v>44.741</v>
      </c>
      <c r="F1178" s="196">
        <v>0.128</v>
      </c>
      <c r="G1178" s="196">
        <v>31.971</v>
      </c>
      <c r="H1178" s="196">
        <v>184.16200000000001</v>
      </c>
      <c r="I1178" s="196">
        <v>342.20699999999999</v>
      </c>
      <c r="J1178" s="196">
        <v>181.334</v>
      </c>
      <c r="K1178" s="196"/>
      <c r="L1178" s="200">
        <v>1178</v>
      </c>
      <c r="M1178" s="200">
        <v>2</v>
      </c>
      <c r="N1178" s="200">
        <v>7</v>
      </c>
    </row>
    <row r="1179" spans="1:14" x14ac:dyDescent="0.25">
      <c r="A1179" s="198" t="s">
        <v>2240</v>
      </c>
      <c r="B1179" s="198" t="s">
        <v>8853</v>
      </c>
      <c r="C1179" s="198">
        <v>0</v>
      </c>
      <c r="D1179" s="196">
        <v>111</v>
      </c>
      <c r="E1179" s="196">
        <v>44.787999999999997</v>
      </c>
      <c r="F1179" s="196">
        <v>1.2E-2</v>
      </c>
      <c r="G1179" s="196">
        <v>14.151999999999999</v>
      </c>
      <c r="H1179" s="196">
        <v>19.652999999999999</v>
      </c>
      <c r="I1179" s="196">
        <v>119.11</v>
      </c>
      <c r="J1179" s="196">
        <v>180.351</v>
      </c>
      <c r="K1179" s="196"/>
      <c r="L1179" s="200">
        <v>1179</v>
      </c>
      <c r="M1179" s="200">
        <v>2</v>
      </c>
      <c r="N1179" s="200">
        <v>7</v>
      </c>
    </row>
    <row r="1180" spans="1:14" x14ac:dyDescent="0.25">
      <c r="A1180" s="198" t="s">
        <v>2240</v>
      </c>
      <c r="B1180" s="198" t="s">
        <v>8854</v>
      </c>
      <c r="C1180" s="198">
        <v>0</v>
      </c>
      <c r="D1180" s="196">
        <v>189</v>
      </c>
      <c r="E1180" s="196">
        <v>44.79</v>
      </c>
      <c r="F1180" s="196">
        <v>0.24099999999999999</v>
      </c>
      <c r="G1180" s="196">
        <v>18.55</v>
      </c>
      <c r="H1180" s="196">
        <v>244</v>
      </c>
      <c r="I1180" s="196">
        <v>241.8</v>
      </c>
      <c r="J1180" s="196">
        <v>44.7</v>
      </c>
      <c r="K1180" s="196"/>
      <c r="L1180" s="200">
        <v>1180</v>
      </c>
      <c r="M1180" s="200">
        <v>2</v>
      </c>
      <c r="N1180" s="200">
        <v>7</v>
      </c>
    </row>
    <row r="1181" spans="1:14" x14ac:dyDescent="0.25">
      <c r="A1181" s="198" t="s">
        <v>2240</v>
      </c>
      <c r="B1181" s="198" t="s">
        <v>8855</v>
      </c>
      <c r="C1181" s="198">
        <v>0</v>
      </c>
      <c r="D1181" s="196">
        <v>114</v>
      </c>
      <c r="E1181" s="196">
        <v>44.801000000000002</v>
      </c>
      <c r="F1181" s="196">
        <v>9.5000000000000001E-2</v>
      </c>
      <c r="G1181" s="196">
        <v>3.4</v>
      </c>
      <c r="H1181" s="196">
        <v>12.24</v>
      </c>
      <c r="I1181" s="196">
        <v>28.94</v>
      </c>
      <c r="J1181" s="196">
        <v>129.81399999999999</v>
      </c>
      <c r="K1181" s="196"/>
      <c r="L1181" s="200">
        <v>1181</v>
      </c>
      <c r="M1181" s="200">
        <v>2</v>
      </c>
      <c r="N1181" s="200">
        <v>7</v>
      </c>
    </row>
    <row r="1182" spans="1:14" x14ac:dyDescent="0.25">
      <c r="A1182" s="198" t="s">
        <v>2240</v>
      </c>
      <c r="B1182" s="198" t="s">
        <v>8856</v>
      </c>
      <c r="C1182" s="198">
        <v>0</v>
      </c>
      <c r="D1182" s="196">
        <v>89</v>
      </c>
      <c r="E1182" s="196">
        <v>44.84</v>
      </c>
      <c r="F1182" s="196">
        <v>0.106</v>
      </c>
      <c r="G1182" s="196">
        <v>7.36</v>
      </c>
      <c r="H1182" s="196">
        <v>70.16</v>
      </c>
      <c r="I1182" s="196">
        <v>23.48</v>
      </c>
      <c r="J1182" s="196">
        <v>14.4</v>
      </c>
      <c r="K1182" s="196"/>
      <c r="L1182" s="200">
        <v>1182</v>
      </c>
      <c r="M1182" s="200">
        <v>2</v>
      </c>
      <c r="N1182" s="200">
        <v>7</v>
      </c>
    </row>
    <row r="1183" spans="1:14" x14ac:dyDescent="0.25">
      <c r="A1183" s="198" t="s">
        <v>2240</v>
      </c>
      <c r="B1183" s="198" t="s">
        <v>8857</v>
      </c>
      <c r="C1183" s="198">
        <v>1</v>
      </c>
      <c r="D1183" s="196">
        <v>99</v>
      </c>
      <c r="E1183" s="196">
        <v>44.884999999999998</v>
      </c>
      <c r="F1183" s="196">
        <v>6.6000000000000003E-2</v>
      </c>
      <c r="G1183" s="196">
        <v>2.4129999999999998</v>
      </c>
      <c r="H1183" s="196">
        <v>328.8</v>
      </c>
      <c r="I1183" s="196">
        <v>104.6</v>
      </c>
      <c r="J1183" s="196">
        <v>278.5</v>
      </c>
      <c r="K1183" s="196"/>
      <c r="L1183" s="200">
        <v>1183</v>
      </c>
      <c r="M1183" s="200">
        <v>2</v>
      </c>
      <c r="N1183" s="200">
        <v>7</v>
      </c>
    </row>
    <row r="1184" spans="1:14" x14ac:dyDescent="0.25">
      <c r="A1184" s="198" t="s">
        <v>32</v>
      </c>
      <c r="B1184" s="198" t="s">
        <v>7097</v>
      </c>
      <c r="C1184" s="198"/>
      <c r="D1184" s="196">
        <v>90</v>
      </c>
      <c r="E1184" s="196"/>
      <c r="F1184" s="196"/>
      <c r="G1184" s="196"/>
      <c r="H1184" s="196"/>
      <c r="I1184" s="196"/>
      <c r="J1184" s="196"/>
      <c r="K1184" s="196"/>
      <c r="L1184" s="200">
        <v>1184</v>
      </c>
      <c r="M1184" s="200">
        <v>3</v>
      </c>
      <c r="N1184" s="200">
        <v>28</v>
      </c>
    </row>
    <row r="1185" spans="1:14" x14ac:dyDescent="0.25">
      <c r="A1185" s="198" t="s">
        <v>2240</v>
      </c>
      <c r="B1185" s="198" t="s">
        <v>8858</v>
      </c>
      <c r="C1185" s="198">
        <v>0</v>
      </c>
      <c r="D1185" s="196">
        <v>123</v>
      </c>
      <c r="E1185" s="196">
        <v>44.96</v>
      </c>
      <c r="F1185" s="196">
        <v>0.109</v>
      </c>
      <c r="G1185" s="196">
        <v>22.24</v>
      </c>
      <c r="H1185" s="196">
        <v>275.10000000000002</v>
      </c>
      <c r="I1185" s="196">
        <v>147.49</v>
      </c>
      <c r="J1185" s="196">
        <v>303.2</v>
      </c>
      <c r="K1185" s="196"/>
      <c r="L1185" s="200">
        <v>1185</v>
      </c>
      <c r="M1185" s="200">
        <v>2</v>
      </c>
      <c r="N1185" s="200">
        <v>7</v>
      </c>
    </row>
    <row r="1186" spans="1:14" x14ac:dyDescent="0.25">
      <c r="A1186" s="198" t="s">
        <v>2240</v>
      </c>
      <c r="B1186" s="198" t="s">
        <v>8859</v>
      </c>
      <c r="C1186" s="198">
        <v>0</v>
      </c>
      <c r="D1186" s="196">
        <v>90</v>
      </c>
      <c r="E1186" s="196">
        <v>44.991999999999997</v>
      </c>
      <c r="F1186" s="196">
        <v>3.3000000000000002E-2</v>
      </c>
      <c r="G1186" s="196">
        <v>4.9850000000000003</v>
      </c>
      <c r="H1186" s="196">
        <v>111.705</v>
      </c>
      <c r="I1186" s="196">
        <v>23.329000000000001</v>
      </c>
      <c r="J1186" s="196">
        <v>181.309</v>
      </c>
      <c r="K1186" s="196"/>
      <c r="L1186" s="200">
        <v>1186</v>
      </c>
      <c r="M1186" s="200">
        <v>2</v>
      </c>
      <c r="N1186" s="200">
        <v>7</v>
      </c>
    </row>
    <row r="1187" spans="1:14" x14ac:dyDescent="0.25">
      <c r="A1187" s="198" t="s">
        <v>1966</v>
      </c>
      <c r="B1187" s="198" t="s">
        <v>8860</v>
      </c>
      <c r="C1187" s="198">
        <v>0</v>
      </c>
      <c r="D1187" s="196">
        <v>92</v>
      </c>
      <c r="E1187" s="196">
        <v>45.006</v>
      </c>
      <c r="F1187" s="196">
        <v>0.373</v>
      </c>
      <c r="G1187" s="196">
        <v>4.2939999999999996</v>
      </c>
      <c r="H1187" s="196">
        <v>298.63299999999998</v>
      </c>
      <c r="I1187" s="196">
        <v>18.117999999999999</v>
      </c>
      <c r="J1187" s="196">
        <v>307.08100000000002</v>
      </c>
      <c r="K1187" s="196"/>
      <c r="L1187" s="200">
        <v>1187</v>
      </c>
      <c r="M1187" s="200">
        <v>2</v>
      </c>
      <c r="N1187" s="200">
        <v>6</v>
      </c>
    </row>
    <row r="1188" spans="1:14" x14ac:dyDescent="0.25">
      <c r="A1188" s="198" t="s">
        <v>2240</v>
      </c>
      <c r="B1188" s="198" t="s">
        <v>8861</v>
      </c>
      <c r="C1188" s="198">
        <v>0</v>
      </c>
      <c r="D1188" s="196">
        <v>119</v>
      </c>
      <c r="E1188" s="196">
        <v>45.06</v>
      </c>
      <c r="F1188" s="196">
        <v>0.14000000000000001</v>
      </c>
      <c r="G1188" s="196">
        <v>5.7850000000000001</v>
      </c>
      <c r="H1188" s="196">
        <v>270.75</v>
      </c>
      <c r="I1188" s="196">
        <v>0.55400000000000005</v>
      </c>
      <c r="J1188" s="196">
        <v>321.82</v>
      </c>
      <c r="K1188" s="196"/>
      <c r="L1188" s="200">
        <v>1188</v>
      </c>
      <c r="M1188" s="200">
        <v>1</v>
      </c>
      <c r="N1188" s="200">
        <v>7</v>
      </c>
    </row>
    <row r="1189" spans="1:14" x14ac:dyDescent="0.25">
      <c r="A1189" s="198" t="s">
        <v>2240</v>
      </c>
      <c r="B1189" s="198" t="s">
        <v>8862</v>
      </c>
      <c r="C1189" s="198">
        <v>0</v>
      </c>
      <c r="D1189" s="196">
        <v>149</v>
      </c>
      <c r="E1189" s="196">
        <v>45.093000000000004</v>
      </c>
      <c r="F1189" s="196">
        <v>0.09</v>
      </c>
      <c r="G1189" s="196">
        <v>7.0830000000000002</v>
      </c>
      <c r="H1189" s="196">
        <v>183.07</v>
      </c>
      <c r="I1189" s="196">
        <v>177.37</v>
      </c>
      <c r="J1189" s="196">
        <v>51.93</v>
      </c>
      <c r="K1189" s="196"/>
      <c r="L1189" s="200">
        <v>1189</v>
      </c>
      <c r="M1189" s="200">
        <v>2</v>
      </c>
      <c r="N1189" s="200">
        <v>7</v>
      </c>
    </row>
    <row r="1190" spans="1:14" x14ac:dyDescent="0.25">
      <c r="A1190" s="198" t="s">
        <v>2240</v>
      </c>
      <c r="B1190" s="198" t="s">
        <v>8863</v>
      </c>
      <c r="C1190" s="198">
        <v>0</v>
      </c>
      <c r="D1190" s="196">
        <v>147</v>
      </c>
      <c r="E1190" s="196">
        <v>45.11</v>
      </c>
      <c r="F1190" s="196">
        <v>0.14000000000000001</v>
      </c>
      <c r="G1190" s="196">
        <v>13.3</v>
      </c>
      <c r="H1190" s="196">
        <v>213.6</v>
      </c>
      <c r="I1190" s="196">
        <v>174.59</v>
      </c>
      <c r="J1190" s="196">
        <v>41.9</v>
      </c>
      <c r="K1190" s="196"/>
      <c r="L1190" s="200">
        <v>1190</v>
      </c>
      <c r="M1190" s="200">
        <v>2</v>
      </c>
      <c r="N1190" s="200">
        <v>7</v>
      </c>
    </row>
    <row r="1191" spans="1:14" x14ac:dyDescent="0.25">
      <c r="A1191" s="198" t="s">
        <v>2240</v>
      </c>
      <c r="B1191" s="198" t="s">
        <v>8864</v>
      </c>
      <c r="C1191" s="198">
        <v>0</v>
      </c>
      <c r="D1191" s="196">
        <v>173</v>
      </c>
      <c r="E1191" s="196">
        <v>45.14</v>
      </c>
      <c r="F1191" s="196">
        <v>8.5000000000000006E-2</v>
      </c>
      <c r="G1191" s="196">
        <v>10.74</v>
      </c>
      <c r="H1191" s="196">
        <v>267.8</v>
      </c>
      <c r="I1191" s="196">
        <v>67.400000000000006</v>
      </c>
      <c r="J1191" s="196">
        <v>224.4</v>
      </c>
      <c r="K1191" s="196"/>
      <c r="L1191" s="200">
        <v>1191</v>
      </c>
      <c r="M1191" s="200">
        <v>2</v>
      </c>
      <c r="N1191" s="200">
        <v>7</v>
      </c>
    </row>
    <row r="1192" spans="1:14" x14ac:dyDescent="0.25">
      <c r="A1192" s="198" t="s">
        <v>2240</v>
      </c>
      <c r="B1192" s="198" t="s">
        <v>8865</v>
      </c>
      <c r="C1192" s="198">
        <v>0</v>
      </c>
      <c r="D1192" s="196">
        <v>145</v>
      </c>
      <c r="E1192" s="196">
        <v>45.14</v>
      </c>
      <c r="F1192" s="196">
        <v>0.216</v>
      </c>
      <c r="G1192" s="196">
        <v>34.53</v>
      </c>
      <c r="H1192" s="196">
        <v>111.8</v>
      </c>
      <c r="I1192" s="196">
        <v>341.48</v>
      </c>
      <c r="J1192" s="196">
        <v>314.8</v>
      </c>
      <c r="K1192" s="196"/>
      <c r="L1192" s="200">
        <v>1192</v>
      </c>
      <c r="M1192" s="200">
        <v>2</v>
      </c>
      <c r="N1192" s="200">
        <v>7</v>
      </c>
    </row>
    <row r="1193" spans="1:14" x14ac:dyDescent="0.25">
      <c r="A1193" s="198" t="s">
        <v>2240</v>
      </c>
      <c r="B1193" s="198" t="s">
        <v>8866</v>
      </c>
      <c r="C1193" s="198">
        <v>0</v>
      </c>
      <c r="D1193" s="196">
        <v>109</v>
      </c>
      <c r="E1193" s="196">
        <v>45.14</v>
      </c>
      <c r="F1193" s="196">
        <v>0.18</v>
      </c>
      <c r="G1193" s="196">
        <v>9.6999999999999993</v>
      </c>
      <c r="H1193" s="196">
        <v>233</v>
      </c>
      <c r="I1193" s="196">
        <v>209.95</v>
      </c>
      <c r="J1193" s="196">
        <v>327</v>
      </c>
      <c r="K1193" s="196"/>
      <c r="L1193" s="200">
        <v>1193</v>
      </c>
      <c r="M1193" s="200">
        <v>2</v>
      </c>
      <c r="N1193" s="200">
        <v>7</v>
      </c>
    </row>
    <row r="1194" spans="1:14" x14ac:dyDescent="0.25">
      <c r="A1194" s="198" t="s">
        <v>2240</v>
      </c>
      <c r="B1194" s="198" t="s">
        <v>8867</v>
      </c>
      <c r="C1194" s="198">
        <v>0</v>
      </c>
      <c r="D1194" s="196">
        <v>121</v>
      </c>
      <c r="E1194" s="196">
        <v>45.15</v>
      </c>
      <c r="F1194" s="196">
        <v>0.19700000000000001</v>
      </c>
      <c r="G1194" s="196">
        <v>7.6879999999999997</v>
      </c>
      <c r="H1194" s="196">
        <v>347.33199999999999</v>
      </c>
      <c r="I1194" s="196">
        <v>141.50899999999999</v>
      </c>
      <c r="J1194" s="196">
        <v>180.078</v>
      </c>
      <c r="K1194" s="196"/>
      <c r="L1194" s="200">
        <v>1194</v>
      </c>
      <c r="M1194" s="200">
        <v>2</v>
      </c>
      <c r="N1194" s="200">
        <v>7</v>
      </c>
    </row>
    <row r="1195" spans="1:14" x14ac:dyDescent="0.25">
      <c r="A1195" s="198" t="s">
        <v>2240</v>
      </c>
      <c r="B1195" s="198" t="s">
        <v>8868</v>
      </c>
      <c r="C1195" s="198">
        <v>0</v>
      </c>
      <c r="D1195" s="196">
        <v>106</v>
      </c>
      <c r="E1195" s="196">
        <v>45.174999999999997</v>
      </c>
      <c r="F1195" s="196">
        <v>0.16600000000000001</v>
      </c>
      <c r="G1195" s="196">
        <v>10.637</v>
      </c>
      <c r="H1195" s="196">
        <v>204.39</v>
      </c>
      <c r="I1195" s="196">
        <v>44.987000000000002</v>
      </c>
      <c r="J1195" s="196">
        <v>354.46</v>
      </c>
      <c r="K1195" s="196"/>
      <c r="L1195" s="200">
        <v>1195</v>
      </c>
      <c r="M1195" s="200">
        <v>2</v>
      </c>
      <c r="N1195" s="200">
        <v>7</v>
      </c>
    </row>
    <row r="1196" spans="1:14" x14ac:dyDescent="0.25">
      <c r="A1196" s="198" t="s">
        <v>2240</v>
      </c>
      <c r="B1196" s="198" t="s">
        <v>8869</v>
      </c>
      <c r="C1196" s="198">
        <v>0</v>
      </c>
      <c r="D1196" s="196">
        <v>133</v>
      </c>
      <c r="E1196" s="196">
        <v>45.2</v>
      </c>
      <c r="F1196" s="196">
        <v>8.8999999999999996E-2</v>
      </c>
      <c r="G1196" s="196">
        <v>17.981000000000002</v>
      </c>
      <c r="H1196" s="196">
        <v>258.75</v>
      </c>
      <c r="I1196" s="196">
        <v>160.53</v>
      </c>
      <c r="J1196" s="196">
        <v>348.16</v>
      </c>
      <c r="K1196" s="196"/>
      <c r="L1196" s="200">
        <v>1196</v>
      </c>
      <c r="M1196" s="200">
        <v>2</v>
      </c>
      <c r="N1196" s="200">
        <v>7</v>
      </c>
    </row>
    <row r="1197" spans="1:14" x14ac:dyDescent="0.25">
      <c r="A1197" s="198" t="s">
        <v>2240</v>
      </c>
      <c r="B1197" s="198" t="s">
        <v>8870</v>
      </c>
      <c r="C1197" s="198">
        <v>0</v>
      </c>
      <c r="D1197" s="196">
        <v>100</v>
      </c>
      <c r="E1197" s="196">
        <v>45.23</v>
      </c>
      <c r="F1197" s="196">
        <v>0.13500000000000001</v>
      </c>
      <c r="G1197" s="196">
        <v>5.3390000000000004</v>
      </c>
      <c r="H1197" s="196">
        <v>315.7</v>
      </c>
      <c r="I1197" s="196">
        <v>225.86</v>
      </c>
      <c r="J1197" s="196">
        <v>263.2</v>
      </c>
      <c r="K1197" s="196"/>
      <c r="L1197" s="200">
        <v>1197</v>
      </c>
      <c r="M1197" s="200">
        <v>2</v>
      </c>
      <c r="N1197" s="200">
        <v>7</v>
      </c>
    </row>
    <row r="1198" spans="1:14" x14ac:dyDescent="0.25">
      <c r="A1198" s="198" t="s">
        <v>2240</v>
      </c>
      <c r="B1198" s="198" t="s">
        <v>8871</v>
      </c>
      <c r="C1198" s="198">
        <v>0</v>
      </c>
      <c r="D1198" s="196">
        <v>121</v>
      </c>
      <c r="E1198" s="196">
        <v>45.25</v>
      </c>
      <c r="F1198" s="196">
        <v>0.107</v>
      </c>
      <c r="G1198" s="196">
        <v>3.0880000000000001</v>
      </c>
      <c r="H1198" s="196">
        <v>122.78</v>
      </c>
      <c r="I1198" s="196">
        <v>99.1</v>
      </c>
      <c r="J1198" s="196">
        <v>107.85</v>
      </c>
      <c r="K1198" s="196"/>
      <c r="L1198" s="200">
        <v>1198</v>
      </c>
      <c r="M1198" s="200">
        <v>2</v>
      </c>
      <c r="N1198" s="200">
        <v>7</v>
      </c>
    </row>
    <row r="1199" spans="1:14" x14ac:dyDescent="0.25">
      <c r="A1199" s="198" t="s">
        <v>2240</v>
      </c>
      <c r="B1199" s="198" t="s">
        <v>8872</v>
      </c>
      <c r="C1199" s="198">
        <v>0</v>
      </c>
      <c r="D1199" s="196">
        <v>115</v>
      </c>
      <c r="E1199" s="196">
        <v>45.31</v>
      </c>
      <c r="F1199" s="196">
        <v>5.5E-2</v>
      </c>
      <c r="G1199" s="196">
        <v>5.96</v>
      </c>
      <c r="H1199" s="196">
        <v>283</v>
      </c>
      <c r="I1199" s="196">
        <v>163.65</v>
      </c>
      <c r="J1199" s="196">
        <v>139</v>
      </c>
      <c r="K1199" s="196"/>
      <c r="L1199" s="200">
        <v>1199</v>
      </c>
      <c r="M1199" s="200">
        <v>2</v>
      </c>
      <c r="N1199" s="200">
        <v>7</v>
      </c>
    </row>
    <row r="1200" spans="1:14" x14ac:dyDescent="0.25">
      <c r="A1200" s="198" t="s">
        <v>2240</v>
      </c>
      <c r="B1200" s="198" t="s">
        <v>8873</v>
      </c>
      <c r="C1200" s="198">
        <v>0</v>
      </c>
      <c r="D1200" s="196">
        <v>100</v>
      </c>
      <c r="E1200" s="196">
        <v>45.319000000000003</v>
      </c>
      <c r="F1200" s="196">
        <v>0.16200000000000001</v>
      </c>
      <c r="G1200" s="196">
        <v>29.22</v>
      </c>
      <c r="H1200" s="196">
        <v>340.44</v>
      </c>
      <c r="I1200" s="196">
        <v>106.6</v>
      </c>
      <c r="J1200" s="196">
        <v>78.45</v>
      </c>
      <c r="K1200" s="196"/>
      <c r="L1200" s="200">
        <v>1200</v>
      </c>
      <c r="M1200" s="200">
        <v>2</v>
      </c>
      <c r="N1200" s="200">
        <v>7</v>
      </c>
    </row>
    <row r="1201" spans="1:17" x14ac:dyDescent="0.25">
      <c r="A1201" s="198" t="s">
        <v>2240</v>
      </c>
      <c r="B1201" s="198" t="s">
        <v>8874</v>
      </c>
      <c r="C1201" s="198">
        <v>0</v>
      </c>
      <c r="D1201" s="196">
        <v>152</v>
      </c>
      <c r="E1201" s="196">
        <v>45.338999999999999</v>
      </c>
      <c r="F1201" s="196">
        <v>0.122</v>
      </c>
      <c r="G1201" s="196">
        <v>10.199999999999999</v>
      </c>
      <c r="H1201" s="196">
        <v>46.7</v>
      </c>
      <c r="I1201" s="196">
        <v>136.19999999999999</v>
      </c>
      <c r="J1201" s="196">
        <v>332.5</v>
      </c>
      <c r="K1201" s="196"/>
      <c r="L1201" s="200">
        <v>1201</v>
      </c>
      <c r="M1201" s="200">
        <v>2</v>
      </c>
      <c r="N1201" s="200">
        <v>7</v>
      </c>
    </row>
    <row r="1202" spans="1:17" x14ac:dyDescent="0.25">
      <c r="A1202" s="198" t="s">
        <v>2240</v>
      </c>
      <c r="B1202" s="198" t="s">
        <v>8875</v>
      </c>
      <c r="C1202" s="198">
        <v>0</v>
      </c>
      <c r="D1202" s="196">
        <v>121</v>
      </c>
      <c r="E1202" s="196">
        <v>45.35</v>
      </c>
      <c r="F1202" s="196">
        <v>0.16400000000000001</v>
      </c>
      <c r="G1202" s="196">
        <v>30.67</v>
      </c>
      <c r="H1202" s="196">
        <v>81.900000000000006</v>
      </c>
      <c r="I1202" s="196">
        <v>335.27</v>
      </c>
      <c r="J1202" s="196">
        <v>290</v>
      </c>
      <c r="K1202" s="196"/>
      <c r="L1202" s="200">
        <v>1202</v>
      </c>
      <c r="M1202" s="200">
        <v>2</v>
      </c>
      <c r="N1202" s="200">
        <v>7</v>
      </c>
    </row>
    <row r="1203" spans="1:17" x14ac:dyDescent="0.25">
      <c r="A1203" s="198" t="s">
        <v>2240</v>
      </c>
      <c r="B1203" s="198" t="s">
        <v>8876</v>
      </c>
      <c r="C1203" s="198">
        <v>0</v>
      </c>
      <c r="D1203" s="196">
        <v>188</v>
      </c>
      <c r="E1203" s="196">
        <v>45.359000000000002</v>
      </c>
      <c r="F1203" s="196">
        <v>7.5999999999999998E-2</v>
      </c>
      <c r="G1203" s="196">
        <v>9.6609999999999996</v>
      </c>
      <c r="H1203" s="196">
        <v>193.476</v>
      </c>
      <c r="I1203" s="196">
        <v>316.40300000000002</v>
      </c>
      <c r="J1203" s="196">
        <v>180.66</v>
      </c>
      <c r="K1203" s="196"/>
      <c r="L1203" s="200">
        <v>1203</v>
      </c>
      <c r="M1203" s="200">
        <v>2</v>
      </c>
      <c r="N1203" s="200">
        <v>7</v>
      </c>
    </row>
    <row r="1204" spans="1:17" x14ac:dyDescent="0.25">
      <c r="A1204" s="198" t="s">
        <v>2240</v>
      </c>
      <c r="B1204" s="198" t="s">
        <v>8877</v>
      </c>
      <c r="C1204" s="198">
        <v>0</v>
      </c>
      <c r="D1204" s="196">
        <v>299</v>
      </c>
      <c r="E1204" s="196">
        <v>45.395000000000003</v>
      </c>
      <c r="F1204" s="196">
        <v>5.3999999999999999E-2</v>
      </c>
      <c r="G1204" s="196">
        <v>26.032</v>
      </c>
      <c r="H1204" s="196">
        <v>313.91000000000003</v>
      </c>
      <c r="I1204" s="196">
        <v>53.118000000000002</v>
      </c>
      <c r="J1204" s="196">
        <v>256.31</v>
      </c>
      <c r="K1204" s="196"/>
      <c r="L1204" s="200">
        <v>1204</v>
      </c>
      <c r="M1204" s="200">
        <v>2</v>
      </c>
      <c r="N1204" s="200">
        <v>7</v>
      </c>
    </row>
    <row r="1205" spans="1:17" x14ac:dyDescent="0.25">
      <c r="A1205" s="199" t="s">
        <v>2613</v>
      </c>
      <c r="B1205" s="198" t="s">
        <v>2614</v>
      </c>
      <c r="C1205" s="198">
        <v>1</v>
      </c>
      <c r="D1205" s="196">
        <v>715</v>
      </c>
      <c r="E1205" s="196">
        <v>45.43</v>
      </c>
      <c r="F1205" s="196">
        <v>0.161</v>
      </c>
      <c r="G1205" s="196">
        <v>28.984000000000002</v>
      </c>
      <c r="H1205" s="196">
        <v>294.834</v>
      </c>
      <c r="I1205" s="196">
        <v>79.62</v>
      </c>
      <c r="J1205" s="196">
        <v>165.51400000000001</v>
      </c>
      <c r="K1205" s="196">
        <v>1.67</v>
      </c>
      <c r="L1205" s="200">
        <v>1205</v>
      </c>
      <c r="M1205" s="200">
        <v>1</v>
      </c>
      <c r="N1205" s="200">
        <v>2</v>
      </c>
      <c r="O1205" s="194" t="s">
        <v>2614</v>
      </c>
      <c r="P1205" s="194" t="s">
        <v>9587</v>
      </c>
      <c r="Q1205" s="200" t="s">
        <v>8068</v>
      </c>
    </row>
    <row r="1206" spans="1:17" x14ac:dyDescent="0.25">
      <c r="A1206" s="198" t="s">
        <v>32</v>
      </c>
      <c r="B1206" s="198" t="s">
        <v>2621</v>
      </c>
      <c r="C1206" s="198"/>
      <c r="D1206" s="196">
        <v>88</v>
      </c>
      <c r="E1206" s="196"/>
      <c r="F1206" s="196"/>
      <c r="G1206" s="196"/>
      <c r="H1206" s="196"/>
      <c r="I1206" s="196"/>
      <c r="J1206" s="196"/>
      <c r="K1206" s="196"/>
      <c r="L1206" s="200">
        <v>1206</v>
      </c>
      <c r="M1206" s="200">
        <v>3</v>
      </c>
      <c r="N1206" s="200">
        <v>27</v>
      </c>
    </row>
    <row r="1207" spans="1:17" x14ac:dyDescent="0.25">
      <c r="A1207" s="198" t="s">
        <v>2240</v>
      </c>
      <c r="B1207" s="198" t="s">
        <v>8878</v>
      </c>
      <c r="C1207" s="198">
        <v>0</v>
      </c>
      <c r="D1207" s="196">
        <v>127</v>
      </c>
      <c r="E1207" s="196">
        <v>45.482999999999997</v>
      </c>
      <c r="F1207" s="196">
        <v>0.13300000000000001</v>
      </c>
      <c r="G1207" s="196">
        <v>7.68</v>
      </c>
      <c r="H1207" s="196">
        <v>281.91000000000003</v>
      </c>
      <c r="I1207" s="196">
        <v>25.611000000000001</v>
      </c>
      <c r="J1207" s="196">
        <v>11.67</v>
      </c>
      <c r="K1207" s="196"/>
      <c r="L1207" s="200">
        <v>1207</v>
      </c>
      <c r="M1207" s="200">
        <v>2</v>
      </c>
      <c r="N1207" s="200">
        <v>7</v>
      </c>
    </row>
    <row r="1208" spans="1:17" x14ac:dyDescent="0.25">
      <c r="A1208" s="198" t="s">
        <v>2240</v>
      </c>
      <c r="B1208" s="198" t="s">
        <v>8879</v>
      </c>
      <c r="C1208" s="198">
        <v>0</v>
      </c>
      <c r="D1208" s="196">
        <v>116</v>
      </c>
      <c r="E1208" s="196">
        <v>45.503999999999998</v>
      </c>
      <c r="F1208" s="196">
        <v>0.17399999999999999</v>
      </c>
      <c r="G1208" s="196">
        <v>9.32</v>
      </c>
      <c r="H1208" s="196">
        <v>351.57</v>
      </c>
      <c r="I1208" s="196">
        <v>207.17</v>
      </c>
      <c r="J1208" s="196">
        <v>347.31</v>
      </c>
      <c r="K1208" s="196"/>
      <c r="L1208" s="200">
        <v>1208</v>
      </c>
      <c r="M1208" s="200">
        <v>2</v>
      </c>
      <c r="N1208" s="200">
        <v>7</v>
      </c>
    </row>
    <row r="1209" spans="1:17" x14ac:dyDescent="0.25">
      <c r="A1209" s="198" t="s">
        <v>2240</v>
      </c>
      <c r="B1209" s="198" t="s">
        <v>8880</v>
      </c>
      <c r="C1209" s="198">
        <v>1</v>
      </c>
      <c r="D1209" s="196">
        <v>50</v>
      </c>
      <c r="E1209" s="196">
        <v>45.53</v>
      </c>
      <c r="F1209" s="196">
        <v>0.185</v>
      </c>
      <c r="G1209" s="196">
        <v>13.68</v>
      </c>
      <c r="H1209" s="196">
        <v>70.56</v>
      </c>
      <c r="I1209" s="196">
        <v>327.2</v>
      </c>
      <c r="J1209" s="196">
        <v>8.1</v>
      </c>
      <c r="K1209" s="196"/>
      <c r="L1209" s="200">
        <v>1209</v>
      </c>
      <c r="M1209" s="200">
        <v>2</v>
      </c>
      <c r="N1209" s="200">
        <v>7</v>
      </c>
    </row>
    <row r="1210" spans="1:17" x14ac:dyDescent="0.25">
      <c r="A1210" s="198" t="s">
        <v>2240</v>
      </c>
      <c r="B1210" s="198" t="s">
        <v>8881</v>
      </c>
      <c r="C1210" s="198">
        <v>0</v>
      </c>
      <c r="D1210" s="196">
        <v>107</v>
      </c>
      <c r="E1210" s="196">
        <v>45.536000000000001</v>
      </c>
      <c r="F1210" s="196">
        <v>9.0999999999999998E-2</v>
      </c>
      <c r="G1210" s="196">
        <v>10.021000000000001</v>
      </c>
      <c r="H1210" s="196">
        <v>175.76900000000001</v>
      </c>
      <c r="I1210" s="196">
        <v>132.82400000000001</v>
      </c>
      <c r="J1210" s="196">
        <v>180.1</v>
      </c>
      <c r="K1210" s="196"/>
      <c r="L1210" s="200">
        <v>1210</v>
      </c>
      <c r="M1210" s="200">
        <v>2</v>
      </c>
      <c r="N1210" s="200">
        <v>7</v>
      </c>
    </row>
    <row r="1211" spans="1:17" x14ac:dyDescent="0.25">
      <c r="A1211" s="198" t="s">
        <v>2240</v>
      </c>
      <c r="B1211" s="198" t="s">
        <v>7501</v>
      </c>
      <c r="C1211" s="198">
        <v>1</v>
      </c>
      <c r="D1211" s="196">
        <v>39</v>
      </c>
      <c r="E1211" s="196">
        <v>45.548999999999999</v>
      </c>
      <c r="F1211" s="196">
        <v>0.123</v>
      </c>
      <c r="G1211" s="196">
        <v>2.895</v>
      </c>
      <c r="H1211" s="196">
        <v>339.21</v>
      </c>
      <c r="I1211" s="196">
        <v>132.49100000000001</v>
      </c>
      <c r="J1211" s="196">
        <v>56.494999999999997</v>
      </c>
      <c r="K1211" s="196">
        <v>1</v>
      </c>
      <c r="L1211" s="200">
        <v>1211</v>
      </c>
      <c r="M1211" s="200">
        <v>1</v>
      </c>
      <c r="N1211" s="200">
        <v>7</v>
      </c>
    </row>
    <row r="1212" spans="1:17" x14ac:dyDescent="0.25">
      <c r="A1212" s="198" t="s">
        <v>32</v>
      </c>
      <c r="B1212" s="198" t="s">
        <v>7506</v>
      </c>
      <c r="C1212" s="198"/>
      <c r="D1212" s="196">
        <v>33</v>
      </c>
      <c r="E1212" s="196"/>
      <c r="F1212" s="196">
        <v>0.54600000000000004</v>
      </c>
      <c r="G1212" s="196"/>
      <c r="H1212" s="196"/>
      <c r="I1212" s="196"/>
      <c r="J1212" s="196"/>
      <c r="K1212" s="196"/>
      <c r="L1212" s="200">
        <v>1212</v>
      </c>
      <c r="M1212" s="200">
        <v>1</v>
      </c>
      <c r="N1212" s="200">
        <v>28</v>
      </c>
    </row>
    <row r="1213" spans="1:17" x14ac:dyDescent="0.25">
      <c r="A1213" s="198" t="s">
        <v>2240</v>
      </c>
      <c r="B1213" s="198" t="s">
        <v>8882</v>
      </c>
      <c r="C1213" s="198">
        <v>0</v>
      </c>
      <c r="D1213" s="196">
        <v>123</v>
      </c>
      <c r="E1213" s="196">
        <v>45.56</v>
      </c>
      <c r="F1213" s="196">
        <v>0.24199999999999999</v>
      </c>
      <c r="G1213" s="196">
        <v>22.2</v>
      </c>
      <c r="H1213" s="196">
        <v>50.8</v>
      </c>
      <c r="I1213" s="196">
        <v>326.60000000000002</v>
      </c>
      <c r="J1213" s="196">
        <v>341.8</v>
      </c>
      <c r="K1213" s="196"/>
      <c r="L1213" s="200">
        <v>1213</v>
      </c>
      <c r="M1213" s="200">
        <v>2</v>
      </c>
      <c r="N1213" s="200">
        <v>7</v>
      </c>
    </row>
    <row r="1214" spans="1:17" x14ac:dyDescent="0.25">
      <c r="A1214" s="198" t="s">
        <v>2240</v>
      </c>
      <c r="B1214" s="198" t="s">
        <v>8883</v>
      </c>
      <c r="C1214" s="198">
        <v>0</v>
      </c>
      <c r="D1214" s="196">
        <v>177</v>
      </c>
      <c r="E1214" s="196">
        <v>45.578000000000003</v>
      </c>
      <c r="F1214" s="196">
        <v>0.33</v>
      </c>
      <c r="G1214" s="196">
        <v>7.86</v>
      </c>
      <c r="H1214" s="196">
        <v>54.55</v>
      </c>
      <c r="I1214" s="196">
        <v>65.97</v>
      </c>
      <c r="J1214" s="196">
        <v>34.06</v>
      </c>
      <c r="K1214" s="196"/>
      <c r="L1214" s="200">
        <v>1214</v>
      </c>
      <c r="M1214" s="200">
        <v>2</v>
      </c>
      <c r="N1214" s="200">
        <v>7</v>
      </c>
    </row>
    <row r="1215" spans="1:17" x14ac:dyDescent="0.25">
      <c r="A1215" s="198" t="s">
        <v>2240</v>
      </c>
      <c r="B1215" s="198" t="s">
        <v>8884</v>
      </c>
      <c r="C1215" s="198">
        <v>0</v>
      </c>
      <c r="D1215" s="196">
        <v>111</v>
      </c>
      <c r="E1215" s="196">
        <v>45.59</v>
      </c>
      <c r="F1215" s="196">
        <v>0.34</v>
      </c>
      <c r="G1215" s="196">
        <v>15.74</v>
      </c>
      <c r="H1215" s="196">
        <v>101.44</v>
      </c>
      <c r="I1215" s="196">
        <v>320</v>
      </c>
      <c r="J1215" s="196">
        <v>46.83</v>
      </c>
      <c r="K1215" s="196"/>
      <c r="L1215" s="200">
        <v>1215</v>
      </c>
      <c r="M1215" s="200">
        <v>2</v>
      </c>
      <c r="N1215" s="200">
        <v>7</v>
      </c>
    </row>
    <row r="1216" spans="1:17" x14ac:dyDescent="0.25">
      <c r="A1216" s="198" t="s">
        <v>2240</v>
      </c>
      <c r="B1216" s="198" t="s">
        <v>8885</v>
      </c>
      <c r="C1216" s="198">
        <v>0</v>
      </c>
      <c r="D1216" s="196">
        <v>119</v>
      </c>
      <c r="E1216" s="196">
        <v>45.595999999999997</v>
      </c>
      <c r="F1216" s="196">
        <v>8.6999999999999994E-2</v>
      </c>
      <c r="G1216" s="196">
        <v>3.5920000000000001</v>
      </c>
      <c r="H1216" s="196">
        <v>285.7</v>
      </c>
      <c r="I1216" s="196">
        <v>292.45</v>
      </c>
      <c r="J1216" s="196">
        <v>320.16000000000003</v>
      </c>
      <c r="K1216" s="196"/>
      <c r="L1216" s="200">
        <v>1216</v>
      </c>
      <c r="M1216" s="200">
        <v>2</v>
      </c>
      <c r="N1216" s="200">
        <v>7</v>
      </c>
    </row>
    <row r="1217" spans="1:14" x14ac:dyDescent="0.25">
      <c r="A1217" s="198" t="s">
        <v>2240</v>
      </c>
      <c r="B1217" s="198" t="s">
        <v>8886</v>
      </c>
      <c r="C1217" s="198">
        <v>0</v>
      </c>
      <c r="D1217" s="196">
        <v>133</v>
      </c>
      <c r="E1217" s="196">
        <v>45.67</v>
      </c>
      <c r="F1217" s="196">
        <v>7.1999999999999995E-2</v>
      </c>
      <c r="G1217" s="196">
        <v>15.303000000000001</v>
      </c>
      <c r="H1217" s="196">
        <v>190.88300000000001</v>
      </c>
      <c r="I1217" s="196">
        <v>149.18600000000001</v>
      </c>
      <c r="J1217" s="196">
        <v>178.65100000000001</v>
      </c>
      <c r="K1217" s="196"/>
      <c r="L1217" s="200">
        <v>1217</v>
      </c>
      <c r="M1217" s="200">
        <v>2</v>
      </c>
      <c r="N1217" s="200">
        <v>7</v>
      </c>
    </row>
    <row r="1218" spans="1:14" x14ac:dyDescent="0.25">
      <c r="A1218" s="198" t="s">
        <v>2240</v>
      </c>
      <c r="B1218" s="198" t="s">
        <v>8887</v>
      </c>
      <c r="C1218" s="198">
        <v>0</v>
      </c>
      <c r="D1218" s="196">
        <v>276</v>
      </c>
      <c r="E1218" s="196">
        <v>45.722999999999999</v>
      </c>
      <c r="F1218" s="196">
        <v>6.5000000000000002E-2</v>
      </c>
      <c r="G1218" s="196">
        <v>22.91</v>
      </c>
      <c r="H1218" s="196">
        <v>272.52</v>
      </c>
      <c r="I1218" s="196">
        <v>53.62</v>
      </c>
      <c r="J1218" s="196">
        <v>102.2</v>
      </c>
      <c r="K1218" s="196"/>
      <c r="L1218" s="200">
        <v>1218</v>
      </c>
      <c r="M1218" s="200">
        <v>2</v>
      </c>
      <c r="N1218" s="200">
        <v>7</v>
      </c>
    </row>
    <row r="1219" spans="1:14" x14ac:dyDescent="0.25">
      <c r="A1219" s="198" t="s">
        <v>2240</v>
      </c>
      <c r="B1219" s="198" t="s">
        <v>8888</v>
      </c>
      <c r="C1219" s="198">
        <v>0</v>
      </c>
      <c r="D1219" s="196">
        <v>111</v>
      </c>
      <c r="E1219" s="196">
        <v>45.734999999999999</v>
      </c>
      <c r="F1219" s="196">
        <v>0.183</v>
      </c>
      <c r="G1219" s="196">
        <v>18.727</v>
      </c>
      <c r="H1219" s="196">
        <v>9.9559999999999995</v>
      </c>
      <c r="I1219" s="196">
        <v>239.75800000000001</v>
      </c>
      <c r="J1219" s="196">
        <v>180.06899999999999</v>
      </c>
      <c r="K1219" s="196"/>
      <c r="L1219" s="200">
        <v>1219</v>
      </c>
      <c r="M1219" s="200">
        <v>2</v>
      </c>
      <c r="N1219" s="200">
        <v>7</v>
      </c>
    </row>
    <row r="1220" spans="1:14" x14ac:dyDescent="0.25">
      <c r="A1220" s="198" t="s">
        <v>2240</v>
      </c>
      <c r="B1220" s="198" t="s">
        <v>8889</v>
      </c>
      <c r="C1220" s="198">
        <v>0</v>
      </c>
      <c r="D1220" s="196">
        <v>262</v>
      </c>
      <c r="E1220" s="196">
        <v>45.759</v>
      </c>
      <c r="F1220" s="196">
        <v>0.14399999999999999</v>
      </c>
      <c r="G1220" s="196">
        <v>15.42</v>
      </c>
      <c r="H1220" s="196">
        <v>344.9</v>
      </c>
      <c r="I1220" s="196">
        <v>279.2</v>
      </c>
      <c r="J1220" s="196">
        <v>263.3</v>
      </c>
      <c r="K1220" s="196"/>
      <c r="L1220" s="200">
        <v>1220</v>
      </c>
      <c r="M1220" s="200">
        <v>2</v>
      </c>
      <c r="N1220" s="200">
        <v>7</v>
      </c>
    </row>
    <row r="1221" spans="1:14" x14ac:dyDescent="0.25">
      <c r="A1221" s="198" t="s">
        <v>2240</v>
      </c>
      <c r="B1221" s="198" t="s">
        <v>8890</v>
      </c>
      <c r="C1221" s="198">
        <v>0</v>
      </c>
      <c r="D1221" s="196">
        <v>120</v>
      </c>
      <c r="E1221" s="196">
        <v>45.77</v>
      </c>
      <c r="F1221" s="196">
        <v>0.08</v>
      </c>
      <c r="G1221" s="196">
        <v>3.48</v>
      </c>
      <c r="H1221" s="196">
        <v>133.78</v>
      </c>
      <c r="I1221" s="196">
        <v>65.260000000000005</v>
      </c>
      <c r="J1221" s="196">
        <v>308.60000000000002</v>
      </c>
      <c r="K1221" s="196"/>
      <c r="L1221" s="200">
        <v>1221</v>
      </c>
      <c r="M1221" s="200">
        <v>2</v>
      </c>
      <c r="N1221" s="200">
        <v>7</v>
      </c>
    </row>
    <row r="1222" spans="1:14" x14ac:dyDescent="0.25">
      <c r="A1222" s="198" t="s">
        <v>2240</v>
      </c>
      <c r="B1222" s="198" t="s">
        <v>2628</v>
      </c>
      <c r="C1222" s="198">
        <v>0</v>
      </c>
      <c r="D1222" s="196">
        <v>208</v>
      </c>
      <c r="E1222" s="196">
        <v>45.795999999999999</v>
      </c>
      <c r="F1222" s="196">
        <v>0.106</v>
      </c>
      <c r="G1222" s="196">
        <v>12.05</v>
      </c>
      <c r="H1222" s="196">
        <v>58.41</v>
      </c>
      <c r="I1222" s="196">
        <v>50.024000000000001</v>
      </c>
      <c r="J1222" s="196">
        <v>337.3</v>
      </c>
      <c r="K1222" s="196"/>
      <c r="L1222" s="200">
        <v>1222</v>
      </c>
      <c r="M1222" s="200">
        <v>1</v>
      </c>
      <c r="N1222" s="200">
        <v>7</v>
      </c>
    </row>
    <row r="1223" spans="1:14" x14ac:dyDescent="0.25">
      <c r="A1223" s="198" t="s">
        <v>2240</v>
      </c>
      <c r="B1223" s="198" t="s">
        <v>8891</v>
      </c>
      <c r="C1223" s="198">
        <v>0</v>
      </c>
      <c r="D1223" s="196">
        <v>126</v>
      </c>
      <c r="E1223" s="196">
        <v>45.8</v>
      </c>
      <c r="F1223" s="196">
        <v>0.14299999999999999</v>
      </c>
      <c r="G1223" s="196">
        <v>6.77</v>
      </c>
      <c r="H1223" s="196">
        <v>210.2</v>
      </c>
      <c r="I1223" s="196">
        <v>189.21</v>
      </c>
      <c r="J1223" s="196">
        <v>346.8</v>
      </c>
      <c r="K1223" s="196"/>
      <c r="L1223" s="200">
        <v>1223</v>
      </c>
      <c r="M1223" s="200">
        <v>2</v>
      </c>
      <c r="N1223" s="200">
        <v>7</v>
      </c>
    </row>
    <row r="1224" spans="1:14" x14ac:dyDescent="0.25">
      <c r="A1224" s="198" t="s">
        <v>2240</v>
      </c>
      <c r="B1224" s="198" t="s">
        <v>8892</v>
      </c>
      <c r="C1224" s="198">
        <v>0</v>
      </c>
      <c r="D1224" s="196">
        <v>145</v>
      </c>
      <c r="E1224" s="196">
        <v>45.86</v>
      </c>
      <c r="F1224" s="196">
        <v>0.129</v>
      </c>
      <c r="G1224" s="196">
        <v>5.35</v>
      </c>
      <c r="H1224" s="196">
        <v>177.6</v>
      </c>
      <c r="I1224" s="196">
        <v>116.9</v>
      </c>
      <c r="J1224" s="196">
        <v>294.54000000000002</v>
      </c>
      <c r="K1224" s="196"/>
      <c r="L1224" s="200">
        <v>1224</v>
      </c>
      <c r="M1224" s="200">
        <v>2</v>
      </c>
      <c r="N1224" s="200">
        <v>7</v>
      </c>
    </row>
    <row r="1225" spans="1:14" x14ac:dyDescent="0.25">
      <c r="A1225" s="198" t="s">
        <v>2240</v>
      </c>
      <c r="B1225" s="198" t="s">
        <v>8893</v>
      </c>
      <c r="C1225" s="198">
        <v>0</v>
      </c>
      <c r="D1225" s="196">
        <v>140</v>
      </c>
      <c r="E1225" s="196">
        <v>45.921999999999997</v>
      </c>
      <c r="F1225" s="196">
        <v>6.3E-2</v>
      </c>
      <c r="G1225" s="196">
        <v>15.667</v>
      </c>
      <c r="H1225" s="196">
        <v>173.98</v>
      </c>
      <c r="I1225" s="196">
        <v>320.82</v>
      </c>
      <c r="J1225" s="196">
        <v>42.497</v>
      </c>
      <c r="K1225" s="196"/>
      <c r="L1225" s="200">
        <v>1225</v>
      </c>
      <c r="M1225" s="200">
        <v>2</v>
      </c>
      <c r="N1225" s="200">
        <v>7</v>
      </c>
    </row>
    <row r="1226" spans="1:14" x14ac:dyDescent="0.25">
      <c r="A1226" s="198" t="s">
        <v>2240</v>
      </c>
      <c r="B1226" s="198" t="s">
        <v>8894</v>
      </c>
      <c r="C1226" s="198">
        <v>0</v>
      </c>
      <c r="D1226" s="196">
        <v>106</v>
      </c>
      <c r="E1226" s="196">
        <v>45.944000000000003</v>
      </c>
      <c r="F1226" s="196">
        <v>0.16900000000000001</v>
      </c>
      <c r="G1226" s="196">
        <v>25.902000000000001</v>
      </c>
      <c r="H1226" s="196">
        <v>356.68099999999998</v>
      </c>
      <c r="I1226" s="196">
        <v>16.257999999999999</v>
      </c>
      <c r="J1226" s="196">
        <v>1.7999999999999999E-2</v>
      </c>
      <c r="K1226" s="196"/>
      <c r="L1226" s="200">
        <v>1226</v>
      </c>
      <c r="M1226" s="200">
        <v>2</v>
      </c>
      <c r="N1226" s="200">
        <v>7</v>
      </c>
    </row>
    <row r="1227" spans="1:14" x14ac:dyDescent="0.25">
      <c r="A1227" s="198" t="s">
        <v>2240</v>
      </c>
      <c r="B1227" s="198" t="s">
        <v>8895</v>
      </c>
      <c r="C1227" s="198">
        <v>0</v>
      </c>
      <c r="D1227" s="196">
        <v>107</v>
      </c>
      <c r="E1227" s="196">
        <v>45.994</v>
      </c>
      <c r="F1227" s="196">
        <v>0.11</v>
      </c>
      <c r="G1227" s="196">
        <v>7.6920000000000002</v>
      </c>
      <c r="H1227" s="196">
        <v>207.54</v>
      </c>
      <c r="I1227" s="196">
        <v>202.71600000000001</v>
      </c>
      <c r="J1227" s="196">
        <v>0.05</v>
      </c>
      <c r="K1227" s="196"/>
      <c r="L1227" s="200">
        <v>1227</v>
      </c>
      <c r="M1227" s="200">
        <v>2</v>
      </c>
      <c r="N1227" s="200">
        <v>7</v>
      </c>
    </row>
    <row r="1228" spans="1:14" x14ac:dyDescent="0.25">
      <c r="A1228" s="198" t="s">
        <v>2240</v>
      </c>
      <c r="B1228" s="198" t="s">
        <v>8896</v>
      </c>
      <c r="C1228" s="198">
        <v>0</v>
      </c>
      <c r="D1228" s="196">
        <v>177</v>
      </c>
      <c r="E1228" s="196">
        <v>46.000999999999998</v>
      </c>
      <c r="F1228" s="196">
        <v>8.2000000000000003E-2</v>
      </c>
      <c r="G1228" s="196">
        <v>16.27</v>
      </c>
      <c r="H1228" s="196">
        <v>94.6</v>
      </c>
      <c r="I1228" s="196">
        <v>193.208</v>
      </c>
      <c r="J1228" s="196">
        <v>255.8</v>
      </c>
      <c r="K1228" s="196"/>
      <c r="L1228" s="200">
        <v>1228</v>
      </c>
      <c r="M1228" s="200">
        <v>2</v>
      </c>
      <c r="N1228" s="200">
        <v>7</v>
      </c>
    </row>
    <row r="1229" spans="1:14" x14ac:dyDescent="0.25">
      <c r="A1229" s="198" t="s">
        <v>2240</v>
      </c>
      <c r="B1229" s="198" t="s">
        <v>8897</v>
      </c>
      <c r="C1229" s="198">
        <v>0</v>
      </c>
      <c r="D1229" s="196">
        <v>112</v>
      </c>
      <c r="E1229" s="196">
        <v>46.024000000000001</v>
      </c>
      <c r="F1229" s="196">
        <v>0.185</v>
      </c>
      <c r="G1229" s="196">
        <v>19.071999999999999</v>
      </c>
      <c r="H1229" s="196">
        <v>330.46</v>
      </c>
      <c r="I1229" s="196">
        <v>50.277999999999999</v>
      </c>
      <c r="J1229" s="196">
        <v>4.5</v>
      </c>
      <c r="K1229" s="196"/>
      <c r="L1229" s="200">
        <v>1229</v>
      </c>
      <c r="M1229" s="200">
        <v>2</v>
      </c>
      <c r="N1229" s="200">
        <v>7</v>
      </c>
    </row>
    <row r="1230" spans="1:14" x14ac:dyDescent="0.25">
      <c r="A1230" s="198" t="s">
        <v>2240</v>
      </c>
      <c r="B1230" s="198" t="s">
        <v>8898</v>
      </c>
      <c r="C1230" s="198">
        <v>0</v>
      </c>
      <c r="D1230" s="196">
        <v>126</v>
      </c>
      <c r="E1230" s="196">
        <v>46.094999999999999</v>
      </c>
      <c r="F1230" s="196">
        <v>0.122</v>
      </c>
      <c r="G1230" s="196">
        <v>6.27</v>
      </c>
      <c r="H1230" s="196">
        <v>7.09</v>
      </c>
      <c r="I1230" s="196">
        <v>276.97000000000003</v>
      </c>
      <c r="J1230" s="196">
        <v>186.72</v>
      </c>
      <c r="K1230" s="196"/>
      <c r="L1230" s="200">
        <v>1230</v>
      </c>
      <c r="M1230" s="200">
        <v>2</v>
      </c>
      <c r="N1230" s="200">
        <v>7</v>
      </c>
    </row>
    <row r="1231" spans="1:14" x14ac:dyDescent="0.25">
      <c r="A1231" s="198" t="s">
        <v>2240</v>
      </c>
      <c r="B1231" s="198" t="s">
        <v>2647</v>
      </c>
      <c r="C1231" s="198">
        <v>1</v>
      </c>
      <c r="D1231" s="196">
        <v>370</v>
      </c>
      <c r="E1231" s="196">
        <v>46.11</v>
      </c>
      <c r="F1231" s="196">
        <v>0.14299999999999999</v>
      </c>
      <c r="G1231" s="196">
        <v>21.510999999999999</v>
      </c>
      <c r="H1231" s="196">
        <v>180.072</v>
      </c>
      <c r="I1231" s="196">
        <v>184.15100000000001</v>
      </c>
      <c r="J1231" s="196">
        <v>275.20800000000003</v>
      </c>
      <c r="K1231" s="196">
        <v>1.5049999999999999</v>
      </c>
      <c r="L1231" s="200">
        <v>1231</v>
      </c>
      <c r="M1231" s="200">
        <v>1</v>
      </c>
      <c r="N1231" s="200">
        <v>7</v>
      </c>
    </row>
    <row r="1232" spans="1:14" x14ac:dyDescent="0.25">
      <c r="A1232" s="198" t="s">
        <v>32</v>
      </c>
      <c r="B1232" s="198" t="s">
        <v>2654</v>
      </c>
      <c r="C1232" s="198"/>
      <c r="D1232" s="196">
        <v>178</v>
      </c>
      <c r="E1232" s="196"/>
      <c r="F1232" s="196">
        <v>1.7999999999999999E-2</v>
      </c>
      <c r="G1232" s="196"/>
      <c r="H1232" s="196"/>
      <c r="I1232" s="196"/>
      <c r="J1232" s="196"/>
      <c r="K1232" s="196"/>
      <c r="L1232" s="200">
        <v>1232</v>
      </c>
      <c r="M1232" s="200">
        <v>1</v>
      </c>
      <c r="N1232" s="200">
        <v>28</v>
      </c>
    </row>
    <row r="1233" spans="1:14" x14ac:dyDescent="0.25">
      <c r="A1233" s="198" t="s">
        <v>2240</v>
      </c>
      <c r="B1233" s="198" t="s">
        <v>8899</v>
      </c>
      <c r="C1233" s="198">
        <v>0</v>
      </c>
      <c r="D1233" s="196">
        <v>133</v>
      </c>
      <c r="E1233" s="196">
        <v>46.128</v>
      </c>
      <c r="F1233" s="196">
        <v>0.14000000000000001</v>
      </c>
      <c r="G1233" s="196">
        <v>12.026</v>
      </c>
      <c r="H1233" s="196">
        <v>153.6</v>
      </c>
      <c r="I1233" s="196">
        <v>333.7</v>
      </c>
      <c r="J1233" s="196">
        <v>20.702999999999999</v>
      </c>
      <c r="K1233" s="196"/>
      <c r="L1233" s="200">
        <v>1233</v>
      </c>
      <c r="M1233" s="200">
        <v>2</v>
      </c>
      <c r="N1233" s="200">
        <v>7</v>
      </c>
    </row>
    <row r="1234" spans="1:14" x14ac:dyDescent="0.25">
      <c r="A1234" s="198" t="s">
        <v>2240</v>
      </c>
      <c r="B1234" s="198" t="s">
        <v>8900</v>
      </c>
      <c r="C1234" s="198">
        <v>0</v>
      </c>
      <c r="D1234" s="196">
        <v>140</v>
      </c>
      <c r="E1234" s="196">
        <v>46.13</v>
      </c>
      <c r="F1234" s="196">
        <v>0.17</v>
      </c>
      <c r="G1234" s="196">
        <v>9.69</v>
      </c>
      <c r="H1234" s="196">
        <v>75.64</v>
      </c>
      <c r="I1234" s="196">
        <v>290.27999999999997</v>
      </c>
      <c r="J1234" s="196">
        <v>321.56</v>
      </c>
      <c r="K1234" s="196"/>
      <c r="L1234" s="200">
        <v>1234</v>
      </c>
      <c r="M1234" s="200">
        <v>2</v>
      </c>
      <c r="N1234" s="200">
        <v>7</v>
      </c>
    </row>
    <row r="1235" spans="1:14" x14ac:dyDescent="0.25">
      <c r="A1235" s="198" t="s">
        <v>2240</v>
      </c>
      <c r="B1235" s="198" t="s">
        <v>8901</v>
      </c>
      <c r="C1235" s="198">
        <v>0</v>
      </c>
      <c r="D1235" s="196">
        <v>118</v>
      </c>
      <c r="E1235" s="196">
        <v>46.13</v>
      </c>
      <c r="F1235" s="196">
        <v>0.121</v>
      </c>
      <c r="G1235" s="196">
        <v>30.63</v>
      </c>
      <c r="H1235" s="196">
        <v>3.7</v>
      </c>
      <c r="I1235" s="196">
        <v>334.79</v>
      </c>
      <c r="J1235" s="196">
        <v>14.5</v>
      </c>
      <c r="K1235" s="196"/>
      <c r="L1235" s="200">
        <v>1235</v>
      </c>
      <c r="M1235" s="200">
        <v>2</v>
      </c>
      <c r="N1235" s="200">
        <v>7</v>
      </c>
    </row>
    <row r="1236" spans="1:14" x14ac:dyDescent="0.25">
      <c r="A1236" s="198" t="s">
        <v>32</v>
      </c>
      <c r="B1236" s="198" t="s">
        <v>5732</v>
      </c>
      <c r="C1236" s="198"/>
      <c r="D1236" s="196">
        <v>96</v>
      </c>
      <c r="E1236" s="196"/>
      <c r="F1236" s="196"/>
      <c r="G1236" s="196"/>
      <c r="H1236" s="196"/>
      <c r="I1236" s="196"/>
      <c r="J1236" s="196"/>
      <c r="K1236" s="196"/>
      <c r="L1236" s="200">
        <v>1236</v>
      </c>
      <c r="M1236" s="200">
        <v>3</v>
      </c>
      <c r="N1236" s="200">
        <v>28</v>
      </c>
    </row>
    <row r="1237" spans="1:14" x14ac:dyDescent="0.25">
      <c r="A1237" s="198" t="s">
        <v>1966</v>
      </c>
      <c r="B1237" s="198" t="s">
        <v>8902</v>
      </c>
      <c r="C1237" s="198">
        <v>0</v>
      </c>
      <c r="D1237" s="196">
        <v>69</v>
      </c>
      <c r="E1237" s="196">
        <v>46.133000000000003</v>
      </c>
      <c r="F1237" s="196">
        <v>0.46700000000000003</v>
      </c>
      <c r="G1237" s="196">
        <v>10.75</v>
      </c>
      <c r="H1237" s="196">
        <v>4.4269999999999996</v>
      </c>
      <c r="I1237" s="196">
        <v>93.341999999999999</v>
      </c>
      <c r="J1237" s="196">
        <v>334.84899999999999</v>
      </c>
      <c r="K1237" s="196"/>
      <c r="L1237" s="200">
        <v>1237</v>
      </c>
      <c r="M1237" s="200">
        <v>2</v>
      </c>
      <c r="N1237" s="200">
        <v>6</v>
      </c>
    </row>
    <row r="1238" spans="1:14" x14ac:dyDescent="0.25">
      <c r="A1238" s="198" t="s">
        <v>2240</v>
      </c>
      <c r="B1238" s="198" t="s">
        <v>8903</v>
      </c>
      <c r="C1238" s="198">
        <v>0</v>
      </c>
      <c r="D1238" s="196">
        <v>102</v>
      </c>
      <c r="E1238" s="196">
        <v>46.14</v>
      </c>
      <c r="F1238" s="196">
        <v>0.125</v>
      </c>
      <c r="G1238" s="196">
        <v>10.515000000000001</v>
      </c>
      <c r="H1238" s="196">
        <v>88.858000000000004</v>
      </c>
      <c r="I1238" s="196">
        <v>104.51</v>
      </c>
      <c r="J1238" s="196">
        <v>49.042000000000002</v>
      </c>
      <c r="K1238" s="196"/>
      <c r="L1238" s="200">
        <v>1238</v>
      </c>
      <c r="M1238" s="200">
        <v>2</v>
      </c>
      <c r="N1238" s="200">
        <v>7</v>
      </c>
    </row>
    <row r="1239" spans="1:14" x14ac:dyDescent="0.25">
      <c r="A1239" s="198" t="s">
        <v>2240</v>
      </c>
      <c r="B1239" s="198" t="s">
        <v>8904</v>
      </c>
      <c r="C1239" s="198">
        <v>0</v>
      </c>
      <c r="D1239" s="196">
        <v>166</v>
      </c>
      <c r="E1239" s="196">
        <v>46.164000000000001</v>
      </c>
      <c r="F1239" s="196">
        <v>0.16200000000000001</v>
      </c>
      <c r="G1239" s="196">
        <v>8.6869999999999994</v>
      </c>
      <c r="H1239" s="196">
        <v>236.86</v>
      </c>
      <c r="I1239" s="196">
        <v>30.646000000000001</v>
      </c>
      <c r="J1239" s="196">
        <v>302.70999999999998</v>
      </c>
      <c r="K1239" s="196"/>
      <c r="L1239" s="200">
        <v>1239</v>
      </c>
      <c r="M1239" s="200">
        <v>2</v>
      </c>
      <c r="N1239" s="200">
        <v>7</v>
      </c>
    </row>
    <row r="1240" spans="1:14" x14ac:dyDescent="0.25">
      <c r="A1240" s="198" t="s">
        <v>2240</v>
      </c>
      <c r="B1240" s="198" t="s">
        <v>8905</v>
      </c>
      <c r="C1240" s="198">
        <v>0</v>
      </c>
      <c r="D1240" s="196">
        <v>133</v>
      </c>
      <c r="E1240" s="196">
        <v>46.232999999999997</v>
      </c>
      <c r="F1240" s="196">
        <v>0.109</v>
      </c>
      <c r="G1240" s="196">
        <v>9.2759999999999998</v>
      </c>
      <c r="H1240" s="196">
        <v>317.89999999999998</v>
      </c>
      <c r="I1240" s="196">
        <v>351.38</v>
      </c>
      <c r="J1240" s="196">
        <v>21.8</v>
      </c>
      <c r="K1240" s="196"/>
      <c r="L1240" s="200">
        <v>1240</v>
      </c>
      <c r="M1240" s="200">
        <v>2</v>
      </c>
      <c r="N1240" s="200">
        <v>7</v>
      </c>
    </row>
    <row r="1241" spans="1:14" x14ac:dyDescent="0.25">
      <c r="A1241" s="198" t="s">
        <v>2240</v>
      </c>
      <c r="B1241" s="198" t="s">
        <v>8906</v>
      </c>
      <c r="C1241" s="198">
        <v>0</v>
      </c>
      <c r="D1241" s="196">
        <v>116</v>
      </c>
      <c r="E1241" s="196">
        <v>46.24</v>
      </c>
      <c r="F1241" s="196">
        <v>7.1999999999999995E-2</v>
      </c>
      <c r="G1241" s="196">
        <v>26.911000000000001</v>
      </c>
      <c r="H1241" s="196">
        <v>355.767</v>
      </c>
      <c r="I1241" s="196">
        <v>346.43400000000003</v>
      </c>
      <c r="J1241" s="196">
        <v>179.17</v>
      </c>
      <c r="K1241" s="196"/>
      <c r="L1241" s="200">
        <v>1241</v>
      </c>
      <c r="M1241" s="200">
        <v>2</v>
      </c>
      <c r="N1241" s="200">
        <v>7</v>
      </c>
    </row>
    <row r="1242" spans="1:14" x14ac:dyDescent="0.25">
      <c r="A1242" s="198" t="s">
        <v>2240</v>
      </c>
      <c r="B1242" s="198" t="s">
        <v>8907</v>
      </c>
      <c r="C1242" s="198">
        <v>0</v>
      </c>
      <c r="D1242" s="196">
        <v>195</v>
      </c>
      <c r="E1242" s="196">
        <v>46.243000000000002</v>
      </c>
      <c r="F1242" s="196">
        <v>0.14799999999999999</v>
      </c>
      <c r="G1242" s="196">
        <v>7.0490000000000004</v>
      </c>
      <c r="H1242" s="196">
        <v>336.77</v>
      </c>
      <c r="I1242" s="196">
        <v>300.74</v>
      </c>
      <c r="J1242" s="196">
        <v>233.51</v>
      </c>
      <c r="K1242" s="196"/>
      <c r="L1242" s="200">
        <v>1242</v>
      </c>
      <c r="M1242" s="200">
        <v>2</v>
      </c>
      <c r="N1242" s="200">
        <v>7</v>
      </c>
    </row>
    <row r="1243" spans="1:14" x14ac:dyDescent="0.25">
      <c r="A1243" s="198" t="s">
        <v>2240</v>
      </c>
      <c r="B1243" s="198" t="s">
        <v>8908</v>
      </c>
      <c r="C1243" s="198">
        <v>0</v>
      </c>
      <c r="D1243" s="196">
        <v>122</v>
      </c>
      <c r="E1243" s="196">
        <v>46.26</v>
      </c>
      <c r="F1243" s="196">
        <v>0.187</v>
      </c>
      <c r="G1243" s="196">
        <v>16.66</v>
      </c>
      <c r="H1243" s="196">
        <v>183.41</v>
      </c>
      <c r="I1243" s="196">
        <v>211.2</v>
      </c>
      <c r="J1243" s="196">
        <v>18.86</v>
      </c>
      <c r="K1243" s="196"/>
      <c r="L1243" s="200">
        <v>1243</v>
      </c>
      <c r="M1243" s="200">
        <v>2</v>
      </c>
      <c r="N1243" s="200">
        <v>7</v>
      </c>
    </row>
    <row r="1244" spans="1:14" x14ac:dyDescent="0.25">
      <c r="A1244" s="198" t="s">
        <v>2240</v>
      </c>
      <c r="B1244" s="198" t="s">
        <v>8909</v>
      </c>
      <c r="C1244" s="198">
        <v>0</v>
      </c>
      <c r="D1244" s="196">
        <v>93</v>
      </c>
      <c r="E1244" s="196">
        <v>46.264000000000003</v>
      </c>
      <c r="F1244" s="196">
        <v>0.187</v>
      </c>
      <c r="G1244" s="196">
        <v>28.6</v>
      </c>
      <c r="H1244" s="196">
        <v>40.700000000000003</v>
      </c>
      <c r="I1244" s="196">
        <v>41.5</v>
      </c>
      <c r="J1244" s="196">
        <v>348.6</v>
      </c>
      <c r="K1244" s="196"/>
      <c r="L1244" s="200">
        <v>1244</v>
      </c>
      <c r="M1244" s="200">
        <v>2</v>
      </c>
      <c r="N1244" s="200">
        <v>7</v>
      </c>
    </row>
    <row r="1245" spans="1:14" x14ac:dyDescent="0.25">
      <c r="A1245" s="198" t="s">
        <v>2240</v>
      </c>
      <c r="B1245" s="198" t="s">
        <v>8910</v>
      </c>
      <c r="C1245" s="198">
        <v>0</v>
      </c>
      <c r="D1245" s="196">
        <v>135</v>
      </c>
      <c r="E1245" s="196">
        <v>46.3</v>
      </c>
      <c r="F1245" s="196">
        <v>0.13400000000000001</v>
      </c>
      <c r="G1245" s="196">
        <v>16.86</v>
      </c>
      <c r="H1245" s="196">
        <v>133</v>
      </c>
      <c r="I1245" s="196">
        <v>42.28</v>
      </c>
      <c r="J1245" s="196">
        <v>269.60000000000002</v>
      </c>
      <c r="K1245" s="196"/>
      <c r="L1245" s="200">
        <v>1245</v>
      </c>
      <c r="M1245" s="200">
        <v>2</v>
      </c>
      <c r="N1245" s="200">
        <v>7</v>
      </c>
    </row>
    <row r="1246" spans="1:14" x14ac:dyDescent="0.25">
      <c r="A1246" s="198" t="s">
        <v>2240</v>
      </c>
      <c r="B1246" s="198" t="s">
        <v>8911</v>
      </c>
      <c r="C1246" s="198">
        <v>0</v>
      </c>
      <c r="D1246" s="196">
        <v>145</v>
      </c>
      <c r="E1246" s="196">
        <v>46.326999999999998</v>
      </c>
      <c r="F1246" s="196">
        <v>0</v>
      </c>
      <c r="G1246" s="196">
        <v>5.8760000000000003</v>
      </c>
      <c r="H1246" s="196">
        <v>209.31700000000001</v>
      </c>
      <c r="I1246" s="196">
        <v>42.914999999999999</v>
      </c>
      <c r="J1246" s="196">
        <v>203.33500000000001</v>
      </c>
      <c r="K1246" s="196"/>
      <c r="L1246" s="200">
        <v>1246</v>
      </c>
      <c r="M1246" s="200">
        <v>2</v>
      </c>
      <c r="N1246" s="200">
        <v>7</v>
      </c>
    </row>
    <row r="1247" spans="1:14" x14ac:dyDescent="0.25">
      <c r="A1247" s="198" t="s">
        <v>2240</v>
      </c>
      <c r="B1247" s="198" t="s">
        <v>8912</v>
      </c>
      <c r="C1247" s="198">
        <v>0</v>
      </c>
      <c r="D1247" s="196">
        <v>199</v>
      </c>
      <c r="E1247" s="196">
        <v>46.390999999999998</v>
      </c>
      <c r="F1247" s="196">
        <v>0.12</v>
      </c>
      <c r="G1247" s="196">
        <v>3.9319999999999999</v>
      </c>
      <c r="H1247" s="196">
        <v>259.35899999999998</v>
      </c>
      <c r="I1247" s="196">
        <v>308.88</v>
      </c>
      <c r="J1247" s="196">
        <v>70.254999999999995</v>
      </c>
      <c r="K1247" s="196"/>
      <c r="L1247" s="200">
        <v>1247</v>
      </c>
      <c r="M1247" s="200">
        <v>2</v>
      </c>
      <c r="N1247" s="200">
        <v>7</v>
      </c>
    </row>
    <row r="1248" spans="1:14" x14ac:dyDescent="0.25">
      <c r="A1248" s="198" t="s">
        <v>2240</v>
      </c>
      <c r="B1248" s="198" t="s">
        <v>8913</v>
      </c>
      <c r="C1248" s="198">
        <v>0</v>
      </c>
      <c r="D1248" s="196">
        <v>225</v>
      </c>
      <c r="E1248" s="196">
        <v>46.415999999999997</v>
      </c>
      <c r="F1248" s="196">
        <v>0.104</v>
      </c>
      <c r="G1248" s="196">
        <v>7.734</v>
      </c>
      <c r="H1248" s="196">
        <v>16.32</v>
      </c>
      <c r="I1248" s="196">
        <v>309.54000000000002</v>
      </c>
      <c r="J1248" s="196">
        <v>297.22000000000003</v>
      </c>
      <c r="K1248" s="196"/>
      <c r="L1248" s="200">
        <v>1248</v>
      </c>
      <c r="M1248" s="200">
        <v>2</v>
      </c>
      <c r="N1248" s="200">
        <v>7</v>
      </c>
    </row>
    <row r="1249" spans="1:14" x14ac:dyDescent="0.25">
      <c r="A1249" s="198" t="s">
        <v>2240</v>
      </c>
      <c r="B1249" s="198" t="s">
        <v>8914</v>
      </c>
      <c r="C1249" s="198">
        <v>0</v>
      </c>
      <c r="D1249" s="196">
        <v>135</v>
      </c>
      <c r="E1249" s="196">
        <v>46.448</v>
      </c>
      <c r="F1249" s="196">
        <v>0.19900000000000001</v>
      </c>
      <c r="G1249" s="196">
        <v>12.86</v>
      </c>
      <c r="H1249" s="196">
        <v>251.11</v>
      </c>
      <c r="I1249" s="196">
        <v>20.89</v>
      </c>
      <c r="J1249" s="196">
        <v>53.44</v>
      </c>
      <c r="K1249" s="196"/>
      <c r="L1249" s="200">
        <v>1249</v>
      </c>
      <c r="M1249" s="200">
        <v>2</v>
      </c>
      <c r="N1249" s="200">
        <v>7</v>
      </c>
    </row>
    <row r="1250" spans="1:14" x14ac:dyDescent="0.25">
      <c r="A1250" s="198" t="s">
        <v>2240</v>
      </c>
      <c r="B1250" s="198" t="s">
        <v>8915</v>
      </c>
      <c r="C1250" s="198">
        <v>0</v>
      </c>
      <c r="D1250" s="196">
        <v>95</v>
      </c>
      <c r="E1250" s="196">
        <v>46.47</v>
      </c>
      <c r="F1250" s="196">
        <v>0.28699999999999998</v>
      </c>
      <c r="G1250" s="196">
        <v>20.7</v>
      </c>
      <c r="H1250" s="196">
        <v>242.9</v>
      </c>
      <c r="I1250" s="196">
        <v>144.69999999999999</v>
      </c>
      <c r="J1250" s="196">
        <v>10.56</v>
      </c>
      <c r="K1250" s="196"/>
      <c r="L1250" s="200">
        <v>1250</v>
      </c>
      <c r="M1250" s="200">
        <v>2</v>
      </c>
      <c r="N1250" s="200">
        <v>7</v>
      </c>
    </row>
    <row r="1251" spans="1:14" x14ac:dyDescent="0.25">
      <c r="A1251" s="198" t="s">
        <v>2240</v>
      </c>
      <c r="B1251" s="198" t="s">
        <v>8916</v>
      </c>
      <c r="C1251" s="198">
        <v>0</v>
      </c>
      <c r="D1251" s="196">
        <v>106</v>
      </c>
      <c r="E1251" s="196">
        <v>46.48</v>
      </c>
      <c r="F1251" s="196">
        <v>0.127</v>
      </c>
      <c r="G1251" s="196">
        <v>7.02</v>
      </c>
      <c r="H1251" s="196">
        <v>255.8</v>
      </c>
      <c r="I1251" s="196">
        <v>238.47</v>
      </c>
      <c r="J1251" s="196">
        <v>96.7</v>
      </c>
      <c r="K1251" s="196"/>
      <c r="L1251" s="200">
        <v>1251</v>
      </c>
      <c r="M1251" s="200">
        <v>2</v>
      </c>
      <c r="N1251" s="200">
        <v>7</v>
      </c>
    </row>
    <row r="1252" spans="1:14" x14ac:dyDescent="0.25">
      <c r="A1252" s="198" t="s">
        <v>2240</v>
      </c>
      <c r="B1252" s="198" t="s">
        <v>8917</v>
      </c>
      <c r="C1252" s="198">
        <v>0</v>
      </c>
      <c r="D1252" s="196">
        <v>158</v>
      </c>
      <c r="E1252" s="196">
        <v>46.49</v>
      </c>
      <c r="F1252" s="196">
        <v>0.1</v>
      </c>
      <c r="G1252" s="196">
        <v>12.11</v>
      </c>
      <c r="H1252" s="196">
        <v>281.02</v>
      </c>
      <c r="I1252" s="196">
        <v>33.76</v>
      </c>
      <c r="J1252" s="196">
        <v>284.14999999999998</v>
      </c>
      <c r="K1252" s="196"/>
      <c r="L1252" s="200">
        <v>1252</v>
      </c>
      <c r="M1252" s="200">
        <v>2</v>
      </c>
      <c r="N1252" s="200">
        <v>7</v>
      </c>
    </row>
    <row r="1253" spans="1:14" x14ac:dyDescent="0.25">
      <c r="A1253" s="198" t="s">
        <v>2240</v>
      </c>
      <c r="B1253" s="198" t="s">
        <v>8918</v>
      </c>
      <c r="C1253" s="198">
        <v>0</v>
      </c>
      <c r="D1253" s="196">
        <v>121</v>
      </c>
      <c r="E1253" s="196">
        <v>46.5</v>
      </c>
      <c r="F1253" s="196">
        <v>3.9E-2</v>
      </c>
      <c r="G1253" s="196">
        <v>27.936</v>
      </c>
      <c r="H1253" s="196">
        <v>91</v>
      </c>
      <c r="I1253" s="196">
        <v>314.03500000000003</v>
      </c>
      <c r="J1253" s="196">
        <v>102</v>
      </c>
      <c r="K1253" s="196"/>
      <c r="L1253" s="200">
        <v>1253</v>
      </c>
      <c r="M1253" s="200">
        <v>2</v>
      </c>
      <c r="N1253" s="200">
        <v>7</v>
      </c>
    </row>
    <row r="1254" spans="1:14" x14ac:dyDescent="0.25">
      <c r="A1254" s="198" t="s">
        <v>2240</v>
      </c>
      <c r="B1254" s="198" t="s">
        <v>8919</v>
      </c>
      <c r="C1254" s="198">
        <v>0</v>
      </c>
      <c r="D1254" s="196">
        <v>259</v>
      </c>
      <c r="E1254" s="196">
        <v>46.530999999999999</v>
      </c>
      <c r="F1254" s="196">
        <v>0.17399999999999999</v>
      </c>
      <c r="G1254" s="196">
        <v>23.84</v>
      </c>
      <c r="H1254" s="196">
        <v>192.5</v>
      </c>
      <c r="I1254" s="196">
        <v>45.459000000000003</v>
      </c>
      <c r="J1254" s="196">
        <v>309.7</v>
      </c>
      <c r="K1254" s="196"/>
      <c r="L1254" s="200">
        <v>1254</v>
      </c>
      <c r="M1254" s="200">
        <v>2</v>
      </c>
      <c r="N1254" s="200">
        <v>7</v>
      </c>
    </row>
    <row r="1255" spans="1:14" x14ac:dyDescent="0.25">
      <c r="A1255" s="198" t="s">
        <v>2240</v>
      </c>
      <c r="B1255" s="198" t="s">
        <v>8920</v>
      </c>
      <c r="C1255" s="198">
        <v>0</v>
      </c>
      <c r="D1255" s="196">
        <v>253</v>
      </c>
      <c r="E1255" s="196">
        <v>46.533999999999999</v>
      </c>
      <c r="F1255" s="196">
        <v>0.112</v>
      </c>
      <c r="G1255" s="196">
        <v>11.038</v>
      </c>
      <c r="H1255" s="196">
        <v>176.13</v>
      </c>
      <c r="I1255" s="196">
        <v>317.87</v>
      </c>
      <c r="J1255" s="196">
        <v>287.23</v>
      </c>
      <c r="K1255" s="196"/>
      <c r="L1255" s="200">
        <v>1255</v>
      </c>
      <c r="M1255" s="200">
        <v>2</v>
      </c>
      <c r="N1255" s="200">
        <v>7</v>
      </c>
    </row>
    <row r="1256" spans="1:14" x14ac:dyDescent="0.25">
      <c r="A1256" s="198" t="s">
        <v>1966</v>
      </c>
      <c r="B1256" s="198" t="s">
        <v>8921</v>
      </c>
      <c r="C1256" s="198">
        <v>0</v>
      </c>
      <c r="D1256" s="196">
        <v>101</v>
      </c>
      <c r="E1256" s="196">
        <v>46.6</v>
      </c>
      <c r="F1256" s="196">
        <v>0.25600000000000001</v>
      </c>
      <c r="G1256" s="196">
        <v>44.83</v>
      </c>
      <c r="H1256" s="196">
        <v>10.38</v>
      </c>
      <c r="I1256" s="196">
        <v>233.54</v>
      </c>
      <c r="J1256" s="196">
        <v>6.4729999999999999</v>
      </c>
      <c r="K1256" s="196"/>
      <c r="L1256" s="200">
        <v>1256</v>
      </c>
      <c r="M1256" s="200">
        <v>2</v>
      </c>
      <c r="N1256" s="200">
        <v>6</v>
      </c>
    </row>
    <row r="1257" spans="1:14" x14ac:dyDescent="0.25">
      <c r="A1257" s="198" t="s">
        <v>2240</v>
      </c>
      <c r="B1257" s="198" t="s">
        <v>8922</v>
      </c>
      <c r="C1257" s="198">
        <v>0</v>
      </c>
      <c r="D1257" s="196">
        <v>133</v>
      </c>
      <c r="E1257" s="196">
        <v>46.209000000000003</v>
      </c>
      <c r="F1257" s="196">
        <v>0.16500000000000001</v>
      </c>
      <c r="G1257" s="196">
        <v>8.4890000000000008</v>
      </c>
      <c r="H1257" s="196">
        <v>114.99</v>
      </c>
      <c r="I1257" s="196">
        <v>27.788</v>
      </c>
      <c r="J1257" s="196">
        <v>249.56</v>
      </c>
      <c r="K1257" s="196"/>
      <c r="L1257" s="200">
        <v>1257</v>
      </c>
      <c r="M1257" s="200">
        <v>2</v>
      </c>
      <c r="N1257" s="200">
        <v>7</v>
      </c>
    </row>
    <row r="1258" spans="1:14" x14ac:dyDescent="0.25">
      <c r="A1258" s="198" t="s">
        <v>2240</v>
      </c>
      <c r="B1258" s="198" t="s">
        <v>8923</v>
      </c>
      <c r="C1258" s="198">
        <v>0</v>
      </c>
      <c r="D1258" s="196">
        <v>115</v>
      </c>
      <c r="E1258" s="196">
        <v>46.494</v>
      </c>
      <c r="F1258" s="196">
        <v>0.124</v>
      </c>
      <c r="G1258" s="196">
        <v>5.54</v>
      </c>
      <c r="H1258" s="196">
        <v>300.27</v>
      </c>
      <c r="I1258" s="196">
        <v>151.85</v>
      </c>
      <c r="J1258" s="196">
        <v>320.57</v>
      </c>
      <c r="K1258" s="196"/>
      <c r="L1258" s="200">
        <v>1258</v>
      </c>
      <c r="M1258" s="200">
        <v>2</v>
      </c>
      <c r="N1258" s="200">
        <v>7</v>
      </c>
    </row>
    <row r="1259" spans="1:14" x14ac:dyDescent="0.25">
      <c r="A1259" s="198" t="s">
        <v>2240</v>
      </c>
      <c r="B1259" s="198" t="s">
        <v>8924</v>
      </c>
      <c r="C1259" s="198">
        <v>0</v>
      </c>
      <c r="D1259" s="196">
        <v>133</v>
      </c>
      <c r="E1259" s="196">
        <v>46.628999999999998</v>
      </c>
      <c r="F1259" s="196">
        <v>0.249</v>
      </c>
      <c r="G1259" s="196">
        <v>20.739000000000001</v>
      </c>
      <c r="H1259" s="196">
        <v>9.7240000000000002</v>
      </c>
      <c r="I1259" s="196">
        <v>8.0850000000000009</v>
      </c>
      <c r="J1259" s="196">
        <v>353.23</v>
      </c>
      <c r="K1259" s="196"/>
      <c r="L1259" s="200">
        <v>1259</v>
      </c>
      <c r="M1259" s="200">
        <v>2</v>
      </c>
      <c r="N1259" s="200">
        <v>7</v>
      </c>
    </row>
    <row r="1260" spans="1:14" x14ac:dyDescent="0.25">
      <c r="A1260" s="198" t="s">
        <v>2240</v>
      </c>
      <c r="B1260" s="198" t="s">
        <v>8925</v>
      </c>
      <c r="C1260" s="198">
        <v>0</v>
      </c>
      <c r="D1260" s="196">
        <v>139</v>
      </c>
      <c r="E1260" s="196">
        <v>46.637999999999998</v>
      </c>
      <c r="F1260" s="196">
        <v>0.184</v>
      </c>
      <c r="G1260" s="196">
        <v>15.445</v>
      </c>
      <c r="H1260" s="196">
        <v>341.39</v>
      </c>
      <c r="I1260" s="196">
        <v>222.71</v>
      </c>
      <c r="J1260" s="196">
        <v>27.658999999999999</v>
      </c>
      <c r="K1260" s="196"/>
      <c r="L1260" s="200">
        <v>1260</v>
      </c>
      <c r="M1260" s="200">
        <v>2</v>
      </c>
      <c r="N1260" s="200">
        <v>7</v>
      </c>
    </row>
    <row r="1261" spans="1:14" x14ac:dyDescent="0.25">
      <c r="A1261" s="198" t="s">
        <v>2240</v>
      </c>
      <c r="B1261" s="198" t="s">
        <v>8926</v>
      </c>
      <c r="C1261" s="198">
        <v>0</v>
      </c>
      <c r="D1261" s="196">
        <v>160</v>
      </c>
      <c r="E1261" s="196">
        <v>46.65</v>
      </c>
      <c r="F1261" s="196">
        <v>0.20200000000000001</v>
      </c>
      <c r="G1261" s="196">
        <v>7.75</v>
      </c>
      <c r="H1261" s="196">
        <v>18.48</v>
      </c>
      <c r="I1261" s="196">
        <v>309.19</v>
      </c>
      <c r="J1261" s="196">
        <v>294.63</v>
      </c>
      <c r="K1261" s="196"/>
      <c r="L1261" s="200">
        <v>1261</v>
      </c>
      <c r="M1261" s="200">
        <v>2</v>
      </c>
      <c r="N1261" s="200">
        <v>7</v>
      </c>
    </row>
    <row r="1262" spans="1:14" x14ac:dyDescent="0.25">
      <c r="A1262" s="198" t="s">
        <v>2240</v>
      </c>
      <c r="B1262" s="198" t="s">
        <v>8927</v>
      </c>
      <c r="C1262" s="198">
        <v>0</v>
      </c>
      <c r="D1262" s="196">
        <v>116</v>
      </c>
      <c r="E1262" s="196">
        <v>46.654000000000003</v>
      </c>
      <c r="F1262" s="196">
        <v>0.187</v>
      </c>
      <c r="G1262" s="196">
        <v>37.909999999999997</v>
      </c>
      <c r="H1262" s="196">
        <v>1.2470000000000001</v>
      </c>
      <c r="I1262" s="196">
        <v>19.062000000000001</v>
      </c>
      <c r="J1262" s="196">
        <v>178.51300000000001</v>
      </c>
      <c r="K1262" s="196"/>
      <c r="L1262" s="200">
        <v>1262</v>
      </c>
      <c r="M1262" s="200">
        <v>2</v>
      </c>
      <c r="N1262" s="200">
        <v>7</v>
      </c>
    </row>
    <row r="1263" spans="1:14" x14ac:dyDescent="0.25">
      <c r="A1263" s="198" t="s">
        <v>2240</v>
      </c>
      <c r="B1263" s="198" t="s">
        <v>8928</v>
      </c>
      <c r="C1263" s="198">
        <v>0</v>
      </c>
      <c r="D1263" s="196">
        <v>168</v>
      </c>
      <c r="E1263" s="196">
        <v>46.671999999999997</v>
      </c>
      <c r="F1263" s="196">
        <v>0.29699999999999999</v>
      </c>
      <c r="G1263" s="196">
        <v>13.89</v>
      </c>
      <c r="H1263" s="196">
        <v>333.6</v>
      </c>
      <c r="I1263" s="196">
        <v>178.34</v>
      </c>
      <c r="J1263" s="196">
        <v>243.1</v>
      </c>
      <c r="K1263" s="196"/>
      <c r="L1263" s="200">
        <v>1263</v>
      </c>
      <c r="M1263" s="200">
        <v>2</v>
      </c>
      <c r="N1263" s="200">
        <v>7</v>
      </c>
    </row>
    <row r="1264" spans="1:14" x14ac:dyDescent="0.25">
      <c r="A1264" s="198" t="s">
        <v>2240</v>
      </c>
      <c r="B1264" s="198" t="s">
        <v>8929</v>
      </c>
      <c r="C1264" s="198">
        <v>0</v>
      </c>
      <c r="D1264" s="196">
        <v>94</v>
      </c>
      <c r="E1264" s="196">
        <v>46.683</v>
      </c>
      <c r="F1264" s="196">
        <v>0.182</v>
      </c>
      <c r="G1264" s="196">
        <v>0.83</v>
      </c>
      <c r="H1264" s="196">
        <v>307.49</v>
      </c>
      <c r="I1264" s="196">
        <v>248.25</v>
      </c>
      <c r="J1264" s="196">
        <v>3.47</v>
      </c>
      <c r="K1264" s="196"/>
      <c r="L1264" s="200">
        <v>1264</v>
      </c>
      <c r="M1264" s="200">
        <v>2</v>
      </c>
      <c r="N1264" s="200">
        <v>7</v>
      </c>
    </row>
    <row r="1265" spans="1:14" x14ac:dyDescent="0.25">
      <c r="A1265" s="198" t="s">
        <v>2240</v>
      </c>
      <c r="B1265" s="198" t="s">
        <v>8930</v>
      </c>
      <c r="C1265" s="198">
        <v>0</v>
      </c>
      <c r="D1265" s="196">
        <v>187</v>
      </c>
      <c r="E1265" s="196">
        <v>46.69</v>
      </c>
      <c r="F1265" s="196">
        <v>5.3999999999999999E-2</v>
      </c>
      <c r="G1265" s="196">
        <v>37.93</v>
      </c>
      <c r="H1265" s="196">
        <v>251</v>
      </c>
      <c r="I1265" s="196">
        <v>185.97</v>
      </c>
      <c r="J1265" s="196">
        <v>322.2</v>
      </c>
      <c r="K1265" s="196"/>
      <c r="L1265" s="200">
        <v>1265</v>
      </c>
      <c r="M1265" s="200">
        <v>2</v>
      </c>
      <c r="N1265" s="200">
        <v>7</v>
      </c>
    </row>
    <row r="1266" spans="1:14" x14ac:dyDescent="0.25">
      <c r="A1266" s="198" t="s">
        <v>2240</v>
      </c>
      <c r="B1266" s="198" t="s">
        <v>8931</v>
      </c>
      <c r="C1266" s="198">
        <v>0</v>
      </c>
      <c r="D1266" s="196">
        <v>143</v>
      </c>
      <c r="E1266" s="196">
        <v>46.698</v>
      </c>
      <c r="F1266" s="196">
        <v>0.14699999999999999</v>
      </c>
      <c r="G1266" s="196">
        <v>9.8109999999999999</v>
      </c>
      <c r="H1266" s="196">
        <v>178.63</v>
      </c>
      <c r="I1266" s="196">
        <v>334.84</v>
      </c>
      <c r="J1266" s="196">
        <v>19.489000000000001</v>
      </c>
      <c r="K1266" s="196"/>
      <c r="L1266" s="200">
        <v>1266</v>
      </c>
      <c r="M1266" s="200">
        <v>2</v>
      </c>
      <c r="N1266" s="200">
        <v>7</v>
      </c>
    </row>
    <row r="1267" spans="1:14" x14ac:dyDescent="0.25">
      <c r="A1267" s="198" t="s">
        <v>2240</v>
      </c>
      <c r="B1267" s="198" t="s">
        <v>8932</v>
      </c>
      <c r="C1267" s="198">
        <v>0</v>
      </c>
      <c r="D1267" s="196">
        <v>148</v>
      </c>
      <c r="E1267" s="196">
        <v>46.712000000000003</v>
      </c>
      <c r="F1267" s="196">
        <v>3.0000000000000001E-3</v>
      </c>
      <c r="G1267" s="196">
        <v>23.3</v>
      </c>
      <c r="H1267" s="196">
        <v>65.25</v>
      </c>
      <c r="I1267" s="196">
        <v>125.17</v>
      </c>
      <c r="J1267" s="196">
        <v>324.2</v>
      </c>
      <c r="K1267" s="196"/>
      <c r="L1267" s="200">
        <v>1267</v>
      </c>
      <c r="M1267" s="200">
        <v>2</v>
      </c>
      <c r="N1267" s="200">
        <v>7</v>
      </c>
    </row>
    <row r="1268" spans="1:14" x14ac:dyDescent="0.25">
      <c r="A1268" s="198" t="s">
        <v>2240</v>
      </c>
      <c r="B1268" s="198" t="s">
        <v>8933</v>
      </c>
      <c r="C1268" s="198">
        <v>0</v>
      </c>
      <c r="D1268" s="196">
        <v>102</v>
      </c>
      <c r="E1268" s="196">
        <v>46.719000000000001</v>
      </c>
      <c r="F1268" s="196">
        <v>0.121</v>
      </c>
      <c r="G1268" s="196">
        <v>36.5</v>
      </c>
      <c r="H1268" s="196">
        <v>20.12</v>
      </c>
      <c r="I1268" s="196">
        <v>24.86</v>
      </c>
      <c r="J1268" s="196">
        <v>351.47</v>
      </c>
      <c r="K1268" s="196"/>
      <c r="L1268" s="200">
        <v>1268</v>
      </c>
      <c r="M1268" s="200">
        <v>2</v>
      </c>
      <c r="N1268" s="200">
        <v>7</v>
      </c>
    </row>
    <row r="1269" spans="1:14" x14ac:dyDescent="0.25">
      <c r="A1269" s="198" t="s">
        <v>2240</v>
      </c>
      <c r="B1269" s="198" t="s">
        <v>8934</v>
      </c>
      <c r="C1269" s="198">
        <v>0</v>
      </c>
      <c r="D1269" s="196">
        <v>133</v>
      </c>
      <c r="E1269" s="196">
        <v>46.764000000000003</v>
      </c>
      <c r="F1269" s="196">
        <v>0.15</v>
      </c>
      <c r="G1269" s="196">
        <v>11.194000000000001</v>
      </c>
      <c r="H1269" s="196">
        <v>5.6420000000000003</v>
      </c>
      <c r="I1269" s="196">
        <v>232.197</v>
      </c>
      <c r="J1269" s="196">
        <v>179.86099999999999</v>
      </c>
      <c r="K1269" s="196"/>
      <c r="L1269" s="200">
        <v>1269</v>
      </c>
      <c r="M1269" s="200">
        <v>2</v>
      </c>
      <c r="N1269" s="200">
        <v>7</v>
      </c>
    </row>
    <row r="1270" spans="1:14" x14ac:dyDescent="0.25">
      <c r="A1270" s="198" t="s">
        <v>2240</v>
      </c>
      <c r="B1270" s="198" t="s">
        <v>8935</v>
      </c>
      <c r="C1270" s="198">
        <v>0</v>
      </c>
      <c r="D1270" s="196">
        <v>125</v>
      </c>
      <c r="E1270" s="196">
        <v>46.774000000000001</v>
      </c>
      <c r="F1270" s="196">
        <v>0.219</v>
      </c>
      <c r="G1270" s="196">
        <v>9.3879999999999999</v>
      </c>
      <c r="H1270" s="196">
        <v>210</v>
      </c>
      <c r="I1270" s="196">
        <v>18.88</v>
      </c>
      <c r="J1270" s="196">
        <v>338.63799999999998</v>
      </c>
      <c r="K1270" s="196"/>
      <c r="L1270" s="200">
        <v>1270</v>
      </c>
      <c r="M1270" s="200">
        <v>2</v>
      </c>
      <c r="N1270" s="200">
        <v>7</v>
      </c>
    </row>
    <row r="1271" spans="1:14" x14ac:dyDescent="0.25">
      <c r="A1271" s="198" t="s">
        <v>2240</v>
      </c>
      <c r="B1271" s="198" t="s">
        <v>8936</v>
      </c>
      <c r="C1271" s="198">
        <v>0</v>
      </c>
      <c r="D1271" s="196">
        <v>125</v>
      </c>
      <c r="E1271" s="196">
        <v>46.784999999999997</v>
      </c>
      <c r="F1271" s="196">
        <v>0.159</v>
      </c>
      <c r="G1271" s="196">
        <v>19.059999999999999</v>
      </c>
      <c r="H1271" s="196">
        <v>296.25</v>
      </c>
      <c r="I1271" s="196">
        <v>87.05</v>
      </c>
      <c r="J1271" s="196">
        <v>337.28</v>
      </c>
      <c r="K1271" s="196"/>
      <c r="L1271" s="200">
        <v>1271</v>
      </c>
      <c r="M1271" s="200">
        <v>2</v>
      </c>
      <c r="N1271" s="200">
        <v>7</v>
      </c>
    </row>
    <row r="1272" spans="1:14" x14ac:dyDescent="0.25">
      <c r="A1272" s="198" t="s">
        <v>2240</v>
      </c>
      <c r="B1272" s="198" t="s">
        <v>8937</v>
      </c>
      <c r="C1272" s="198">
        <v>0</v>
      </c>
      <c r="D1272" s="196">
        <v>208</v>
      </c>
      <c r="E1272" s="196">
        <v>46.802999999999997</v>
      </c>
      <c r="F1272" s="196">
        <v>0.11899999999999999</v>
      </c>
      <c r="G1272" s="196">
        <v>15.57</v>
      </c>
      <c r="H1272" s="196">
        <v>99.61</v>
      </c>
      <c r="I1272" s="196">
        <v>109.7</v>
      </c>
      <c r="J1272" s="196">
        <v>233.6</v>
      </c>
      <c r="K1272" s="196"/>
      <c r="L1272" s="200">
        <v>1272</v>
      </c>
      <c r="M1272" s="200">
        <v>2</v>
      </c>
      <c r="N1272" s="200">
        <v>7</v>
      </c>
    </row>
    <row r="1273" spans="1:14" x14ac:dyDescent="0.25">
      <c r="A1273" s="198" t="s">
        <v>2240</v>
      </c>
      <c r="B1273" s="198" t="s">
        <v>8938</v>
      </c>
      <c r="C1273" s="198">
        <v>0</v>
      </c>
      <c r="D1273" s="196">
        <v>111</v>
      </c>
      <c r="E1273" s="196">
        <v>46.857999999999997</v>
      </c>
      <c r="F1273" s="196">
        <v>0.17</v>
      </c>
      <c r="G1273" s="196">
        <v>16.47</v>
      </c>
      <c r="H1273" s="196">
        <v>83.21</v>
      </c>
      <c r="I1273" s="196">
        <v>134.58000000000001</v>
      </c>
      <c r="J1273" s="196">
        <v>3.76</v>
      </c>
      <c r="K1273" s="196"/>
      <c r="L1273" s="200">
        <v>1273</v>
      </c>
      <c r="M1273" s="200">
        <v>2</v>
      </c>
      <c r="N1273" s="200">
        <v>7</v>
      </c>
    </row>
    <row r="1274" spans="1:14" x14ac:dyDescent="0.25">
      <c r="A1274" s="198" t="s">
        <v>2240</v>
      </c>
      <c r="B1274" s="198" t="s">
        <v>8939</v>
      </c>
      <c r="C1274" s="198">
        <v>0</v>
      </c>
      <c r="D1274" s="196">
        <v>208</v>
      </c>
      <c r="E1274" s="196">
        <v>46.878</v>
      </c>
      <c r="F1274" s="196">
        <v>0.158</v>
      </c>
      <c r="G1274" s="196">
        <v>23.21</v>
      </c>
      <c r="H1274" s="196">
        <v>0.56999999999999995</v>
      </c>
      <c r="I1274" s="196">
        <v>193.41</v>
      </c>
      <c r="J1274" s="196">
        <v>274.64</v>
      </c>
      <c r="K1274" s="196"/>
      <c r="L1274" s="200">
        <v>1274</v>
      </c>
      <c r="M1274" s="200">
        <v>2</v>
      </c>
      <c r="N1274" s="200">
        <v>7</v>
      </c>
    </row>
    <row r="1275" spans="1:14" x14ac:dyDescent="0.25">
      <c r="A1275" s="198" t="s">
        <v>2240</v>
      </c>
      <c r="B1275" s="198" t="s">
        <v>8940</v>
      </c>
      <c r="C1275" s="198">
        <v>0</v>
      </c>
      <c r="D1275" s="196">
        <v>131</v>
      </c>
      <c r="E1275" s="196">
        <v>46.88</v>
      </c>
      <c r="F1275" s="196">
        <v>0.187</v>
      </c>
      <c r="G1275" s="196">
        <v>7.73</v>
      </c>
      <c r="H1275" s="196">
        <v>130.9</v>
      </c>
      <c r="I1275" s="196">
        <v>12.65</v>
      </c>
      <c r="J1275" s="196">
        <v>232.8</v>
      </c>
      <c r="K1275" s="196"/>
      <c r="L1275" s="200">
        <v>1275</v>
      </c>
      <c r="M1275" s="200">
        <v>2</v>
      </c>
      <c r="N1275" s="200">
        <v>7</v>
      </c>
    </row>
    <row r="1276" spans="1:14" x14ac:dyDescent="0.25">
      <c r="A1276" s="198" t="s">
        <v>2240</v>
      </c>
      <c r="B1276" s="198" t="s">
        <v>8941</v>
      </c>
      <c r="C1276" s="198">
        <v>0</v>
      </c>
      <c r="D1276" s="196">
        <v>98</v>
      </c>
      <c r="E1276" s="196">
        <v>46.95</v>
      </c>
      <c r="F1276" s="196">
        <v>0.18</v>
      </c>
      <c r="G1276" s="196">
        <v>25.33</v>
      </c>
      <c r="H1276" s="196">
        <v>197.82</v>
      </c>
      <c r="I1276" s="196">
        <v>205.5</v>
      </c>
      <c r="J1276" s="196">
        <v>19.43</v>
      </c>
      <c r="K1276" s="196"/>
      <c r="L1276" s="200">
        <v>1276</v>
      </c>
      <c r="M1276" s="200">
        <v>2</v>
      </c>
      <c r="N1276" s="200">
        <v>7</v>
      </c>
    </row>
    <row r="1277" spans="1:14" x14ac:dyDescent="0.25">
      <c r="A1277" s="198" t="s">
        <v>2240</v>
      </c>
      <c r="B1277" s="198" t="s">
        <v>8942</v>
      </c>
      <c r="C1277" s="198">
        <v>0</v>
      </c>
      <c r="D1277" s="196">
        <v>108</v>
      </c>
      <c r="E1277" s="196">
        <v>47</v>
      </c>
      <c r="F1277" s="196">
        <v>0.22800000000000001</v>
      </c>
      <c r="G1277" s="196">
        <v>8.2119999999999997</v>
      </c>
      <c r="H1277" s="196">
        <v>160.41999999999999</v>
      </c>
      <c r="I1277" s="196">
        <v>350.4</v>
      </c>
      <c r="J1277" s="196">
        <v>66</v>
      </c>
      <c r="K1277" s="196"/>
      <c r="L1277" s="200">
        <v>1277</v>
      </c>
      <c r="M1277" s="200">
        <v>2</v>
      </c>
      <c r="N1277" s="200">
        <v>7</v>
      </c>
    </row>
    <row r="1278" spans="1:14" x14ac:dyDescent="0.25">
      <c r="A1278" s="198" t="s">
        <v>2240</v>
      </c>
      <c r="B1278" s="198" t="s">
        <v>8943</v>
      </c>
      <c r="C1278" s="198">
        <v>0</v>
      </c>
      <c r="D1278" s="196">
        <v>221</v>
      </c>
      <c r="E1278" s="196">
        <v>47.018999999999998</v>
      </c>
      <c r="F1278" s="196">
        <v>0.14000000000000001</v>
      </c>
      <c r="G1278" s="196">
        <v>7.16</v>
      </c>
      <c r="H1278" s="196">
        <v>110.2</v>
      </c>
      <c r="I1278" s="196">
        <v>131.822</v>
      </c>
      <c r="J1278" s="196">
        <v>268.60000000000002</v>
      </c>
      <c r="K1278" s="196"/>
      <c r="L1278" s="200">
        <v>1278</v>
      </c>
      <c r="M1278" s="200">
        <v>2</v>
      </c>
      <c r="N1278" s="200">
        <v>7</v>
      </c>
    </row>
    <row r="1279" spans="1:14" x14ac:dyDescent="0.25">
      <c r="A1279" s="198" t="s">
        <v>2240</v>
      </c>
      <c r="B1279" s="198" t="s">
        <v>7886</v>
      </c>
      <c r="C1279" s="198">
        <v>0</v>
      </c>
      <c r="D1279" s="196">
        <v>384</v>
      </c>
      <c r="E1279" s="196">
        <v>47.042000000000002</v>
      </c>
      <c r="F1279" s="196">
        <v>0.13</v>
      </c>
      <c r="G1279" s="196">
        <v>24.451000000000001</v>
      </c>
      <c r="H1279" s="196">
        <v>297.49400000000003</v>
      </c>
      <c r="I1279" s="196">
        <v>297.60599999999999</v>
      </c>
      <c r="J1279" s="196">
        <v>294.53199999999998</v>
      </c>
      <c r="K1279" s="196"/>
      <c r="L1279" s="200">
        <v>1279</v>
      </c>
      <c r="M1279" s="200">
        <v>1</v>
      </c>
      <c r="N1279" s="200">
        <v>7</v>
      </c>
    </row>
    <row r="1280" spans="1:14" x14ac:dyDescent="0.25">
      <c r="A1280" s="198" t="s">
        <v>2240</v>
      </c>
      <c r="B1280" s="198" t="s">
        <v>8944</v>
      </c>
      <c r="C1280" s="198">
        <v>0</v>
      </c>
      <c r="D1280" s="196">
        <v>148</v>
      </c>
      <c r="E1280" s="196">
        <v>47.1</v>
      </c>
      <c r="F1280" s="196">
        <v>0.54500000000000004</v>
      </c>
      <c r="G1280" s="196">
        <v>19.29</v>
      </c>
      <c r="H1280" s="196">
        <v>191</v>
      </c>
      <c r="I1280" s="196">
        <v>28.22</v>
      </c>
      <c r="J1280" s="196">
        <v>186</v>
      </c>
      <c r="K1280" s="196"/>
      <c r="L1280" s="200">
        <v>1280</v>
      </c>
      <c r="M1280" s="200">
        <v>2</v>
      </c>
      <c r="N1280" s="200">
        <v>7</v>
      </c>
    </row>
    <row r="1281" spans="1:14" x14ac:dyDescent="0.25">
      <c r="A1281" s="198" t="s">
        <v>2240</v>
      </c>
      <c r="B1281" s="198" t="s">
        <v>8945</v>
      </c>
      <c r="C1281" s="198">
        <v>0</v>
      </c>
      <c r="D1281" s="196">
        <v>258</v>
      </c>
      <c r="E1281" s="196">
        <v>47.134999999999998</v>
      </c>
      <c r="F1281" s="196">
        <v>6.4000000000000001E-2</v>
      </c>
      <c r="G1281" s="196">
        <v>25.17</v>
      </c>
      <c r="H1281" s="196">
        <v>347.887</v>
      </c>
      <c r="I1281" s="196">
        <v>311.07400000000001</v>
      </c>
      <c r="J1281" s="196">
        <v>295.09399999999999</v>
      </c>
      <c r="K1281" s="196"/>
      <c r="L1281" s="200">
        <v>1281</v>
      </c>
      <c r="M1281" s="200">
        <v>2</v>
      </c>
      <c r="N1281" s="200">
        <v>7</v>
      </c>
    </row>
    <row r="1282" spans="1:14" x14ac:dyDescent="0.25">
      <c r="A1282" s="198" t="s">
        <v>2240</v>
      </c>
      <c r="B1282" s="198" t="s">
        <v>8946</v>
      </c>
      <c r="C1282" s="198">
        <v>0</v>
      </c>
      <c r="D1282" s="196">
        <v>134</v>
      </c>
      <c r="E1282" s="196">
        <v>47.143999999999998</v>
      </c>
      <c r="F1282" s="196">
        <v>0.13200000000000001</v>
      </c>
      <c r="G1282" s="196">
        <v>8.4380000000000006</v>
      </c>
      <c r="H1282" s="196">
        <v>212.93299999999999</v>
      </c>
      <c r="I1282" s="196">
        <v>310.95999999999998</v>
      </c>
      <c r="J1282" s="196">
        <v>339.91</v>
      </c>
      <c r="K1282" s="196"/>
      <c r="L1282" s="200">
        <v>1282</v>
      </c>
      <c r="M1282" s="200">
        <v>2</v>
      </c>
      <c r="N1282" s="200">
        <v>7</v>
      </c>
    </row>
    <row r="1283" spans="1:14" x14ac:dyDescent="0.25">
      <c r="A1283" s="198" t="s">
        <v>2240</v>
      </c>
      <c r="B1283" s="198" t="s">
        <v>8947</v>
      </c>
      <c r="C1283" s="198">
        <v>0</v>
      </c>
      <c r="D1283" s="196">
        <v>226</v>
      </c>
      <c r="E1283" s="196">
        <v>47.177</v>
      </c>
      <c r="F1283" s="196">
        <v>0.152</v>
      </c>
      <c r="G1283" s="196">
        <v>29.03</v>
      </c>
      <c r="H1283" s="196">
        <v>38.6</v>
      </c>
      <c r="I1283" s="196">
        <v>132.66</v>
      </c>
      <c r="J1283" s="196">
        <v>210.5</v>
      </c>
      <c r="K1283" s="196"/>
      <c r="L1283" s="200">
        <v>1283</v>
      </c>
      <c r="M1283" s="200">
        <v>2</v>
      </c>
      <c r="N1283" s="200">
        <v>7</v>
      </c>
    </row>
    <row r="1284" spans="1:14" x14ac:dyDescent="0.25">
      <c r="A1284" s="198" t="s">
        <v>2240</v>
      </c>
      <c r="B1284" s="198" t="s">
        <v>8948</v>
      </c>
      <c r="C1284" s="198">
        <v>0</v>
      </c>
      <c r="D1284" s="196">
        <v>131</v>
      </c>
      <c r="E1284" s="196">
        <v>47.213999999999999</v>
      </c>
      <c r="F1284" s="196">
        <v>0.14599999999999999</v>
      </c>
      <c r="G1284" s="196">
        <v>22.28</v>
      </c>
      <c r="H1284" s="196">
        <v>356.07</v>
      </c>
      <c r="I1284" s="196">
        <v>354.52</v>
      </c>
      <c r="J1284" s="196">
        <v>7.57</v>
      </c>
      <c r="K1284" s="196"/>
      <c r="L1284" s="200">
        <v>1284</v>
      </c>
      <c r="M1284" s="200">
        <v>2</v>
      </c>
      <c r="N1284" s="200">
        <v>7</v>
      </c>
    </row>
    <row r="1285" spans="1:14" x14ac:dyDescent="0.25">
      <c r="A1285" s="198" t="s">
        <v>1966</v>
      </c>
      <c r="B1285" s="198" t="s">
        <v>8949</v>
      </c>
      <c r="C1285" s="198">
        <v>0</v>
      </c>
      <c r="D1285" s="196">
        <v>59</v>
      </c>
      <c r="E1285" s="196">
        <v>47.216000000000001</v>
      </c>
      <c r="F1285" s="196">
        <v>0.58499999999999996</v>
      </c>
      <c r="G1285" s="196">
        <v>18.73</v>
      </c>
      <c r="H1285" s="196">
        <v>6.61</v>
      </c>
      <c r="I1285" s="196">
        <v>122.35899999999999</v>
      </c>
      <c r="J1285" s="196">
        <v>339.17599999999999</v>
      </c>
      <c r="K1285" s="196"/>
      <c r="L1285" s="200">
        <v>1285</v>
      </c>
      <c r="M1285" s="200">
        <v>2</v>
      </c>
      <c r="N1285" s="200">
        <v>6</v>
      </c>
    </row>
    <row r="1286" spans="1:14" x14ac:dyDescent="0.25">
      <c r="A1286" s="198" t="s">
        <v>2240</v>
      </c>
      <c r="B1286" s="198" t="s">
        <v>8950</v>
      </c>
      <c r="C1286" s="198">
        <v>0</v>
      </c>
      <c r="D1286" s="196">
        <v>279</v>
      </c>
      <c r="E1286" s="196">
        <v>47.216000000000001</v>
      </c>
      <c r="F1286" s="196">
        <v>0.249</v>
      </c>
      <c r="G1286" s="196">
        <v>38.076999999999998</v>
      </c>
      <c r="H1286" s="196">
        <v>132.63200000000001</v>
      </c>
      <c r="I1286" s="196">
        <v>328.75200000000001</v>
      </c>
      <c r="J1286" s="196">
        <v>356.37599999999998</v>
      </c>
      <c r="K1286" s="196"/>
      <c r="L1286" s="200">
        <v>1286</v>
      </c>
      <c r="M1286" s="200">
        <v>2</v>
      </c>
      <c r="N1286" s="200">
        <v>7</v>
      </c>
    </row>
    <row r="1287" spans="1:14" x14ac:dyDescent="0.25">
      <c r="A1287" s="198" t="s">
        <v>2240</v>
      </c>
      <c r="B1287" s="198" t="s">
        <v>8951</v>
      </c>
      <c r="C1287" s="198">
        <v>0</v>
      </c>
      <c r="D1287" s="196">
        <v>111</v>
      </c>
      <c r="E1287" s="196">
        <v>47.25</v>
      </c>
      <c r="F1287" s="196">
        <v>0.21</v>
      </c>
      <c r="G1287" s="196">
        <v>16.21</v>
      </c>
      <c r="H1287" s="196">
        <v>334.81</v>
      </c>
      <c r="I1287" s="196">
        <v>194.06899999999999</v>
      </c>
      <c r="J1287" s="196">
        <v>347.74</v>
      </c>
      <c r="K1287" s="196"/>
      <c r="L1287" s="200">
        <v>1287</v>
      </c>
      <c r="M1287" s="200">
        <v>2</v>
      </c>
      <c r="N1287" s="200">
        <v>7</v>
      </c>
    </row>
    <row r="1288" spans="1:14" x14ac:dyDescent="0.25">
      <c r="A1288" s="198" t="s">
        <v>2240</v>
      </c>
      <c r="B1288" s="198" t="s">
        <v>8952</v>
      </c>
      <c r="C1288" s="198">
        <v>0</v>
      </c>
      <c r="D1288" s="196">
        <v>262</v>
      </c>
      <c r="E1288" s="196">
        <v>47.276000000000003</v>
      </c>
      <c r="F1288" s="196">
        <v>0.182</v>
      </c>
      <c r="G1288" s="196">
        <v>11.35</v>
      </c>
      <c r="H1288" s="196">
        <v>344.9</v>
      </c>
      <c r="I1288" s="196">
        <v>43.97</v>
      </c>
      <c r="J1288" s="196">
        <v>297.76</v>
      </c>
      <c r="K1288" s="196"/>
      <c r="L1288" s="200">
        <v>1288</v>
      </c>
      <c r="M1288" s="200">
        <v>2</v>
      </c>
      <c r="N1288" s="200">
        <v>7</v>
      </c>
    </row>
    <row r="1289" spans="1:14" x14ac:dyDescent="0.25">
      <c r="A1289" s="198" t="s">
        <v>2240</v>
      </c>
      <c r="B1289" s="198" t="s">
        <v>8953</v>
      </c>
      <c r="C1289" s="198">
        <v>0</v>
      </c>
      <c r="D1289" s="196">
        <v>153</v>
      </c>
      <c r="E1289" s="196">
        <v>47.313000000000002</v>
      </c>
      <c r="F1289" s="196">
        <v>0.14299999999999999</v>
      </c>
      <c r="G1289" s="196">
        <v>19.216000000000001</v>
      </c>
      <c r="H1289" s="196">
        <v>57.3</v>
      </c>
      <c r="I1289" s="196">
        <v>307.24</v>
      </c>
      <c r="J1289" s="196">
        <v>115.9</v>
      </c>
      <c r="K1289" s="196"/>
      <c r="L1289" s="200">
        <v>1289</v>
      </c>
      <c r="M1289" s="200">
        <v>2</v>
      </c>
      <c r="N1289" s="200">
        <v>7</v>
      </c>
    </row>
    <row r="1290" spans="1:14" x14ac:dyDescent="0.25">
      <c r="A1290" s="198" t="s">
        <v>2240</v>
      </c>
      <c r="B1290" s="198" t="s">
        <v>8954</v>
      </c>
      <c r="C1290" s="198">
        <v>0</v>
      </c>
      <c r="D1290" s="196">
        <v>157</v>
      </c>
      <c r="E1290" s="196">
        <v>47.32</v>
      </c>
      <c r="F1290" s="196">
        <v>0.193</v>
      </c>
      <c r="G1290" s="196">
        <v>19.55</v>
      </c>
      <c r="H1290" s="196">
        <v>188.18</v>
      </c>
      <c r="I1290" s="196">
        <v>131</v>
      </c>
      <c r="J1290" s="196">
        <v>31.37</v>
      </c>
      <c r="K1290" s="196"/>
      <c r="L1290" s="200">
        <v>1290</v>
      </c>
      <c r="M1290" s="200">
        <v>2</v>
      </c>
      <c r="N1290" s="200">
        <v>7</v>
      </c>
    </row>
    <row r="1291" spans="1:14" x14ac:dyDescent="0.25">
      <c r="A1291" s="198" t="s">
        <v>2240</v>
      </c>
      <c r="B1291" s="198" t="s">
        <v>8955</v>
      </c>
      <c r="C1291" s="198">
        <v>0</v>
      </c>
      <c r="D1291" s="196">
        <v>240</v>
      </c>
      <c r="E1291" s="196">
        <v>47.34</v>
      </c>
      <c r="F1291" s="196">
        <v>0.09</v>
      </c>
      <c r="G1291" s="196">
        <v>22.8</v>
      </c>
      <c r="H1291" s="196">
        <v>125.4</v>
      </c>
      <c r="I1291" s="196">
        <v>239.1</v>
      </c>
      <c r="J1291" s="196">
        <v>268.3</v>
      </c>
      <c r="K1291" s="196"/>
      <c r="L1291" s="200">
        <v>1291</v>
      </c>
      <c r="M1291" s="200">
        <v>2</v>
      </c>
      <c r="N1291" s="200">
        <v>7</v>
      </c>
    </row>
    <row r="1292" spans="1:14" x14ac:dyDescent="0.25">
      <c r="A1292" s="198" t="s">
        <v>2240</v>
      </c>
      <c r="B1292" s="198" t="s">
        <v>8956</v>
      </c>
      <c r="C1292" s="198">
        <v>0</v>
      </c>
      <c r="D1292" s="196">
        <v>103</v>
      </c>
      <c r="E1292" s="196">
        <v>47.39</v>
      </c>
      <c r="F1292" s="196">
        <v>0.246</v>
      </c>
      <c r="G1292" s="196">
        <v>27.28</v>
      </c>
      <c r="H1292" s="196">
        <v>229.98</v>
      </c>
      <c r="I1292" s="196">
        <v>63.21</v>
      </c>
      <c r="J1292" s="196">
        <v>350.52</v>
      </c>
      <c r="K1292" s="196"/>
      <c r="L1292" s="200">
        <v>1292</v>
      </c>
      <c r="M1292" s="200">
        <v>2</v>
      </c>
      <c r="N1292" s="200">
        <v>7</v>
      </c>
    </row>
    <row r="1293" spans="1:14" x14ac:dyDescent="0.25">
      <c r="A1293" s="198" t="s">
        <v>2240</v>
      </c>
      <c r="B1293" s="198" t="s">
        <v>8957</v>
      </c>
      <c r="C1293" s="198">
        <v>0</v>
      </c>
      <c r="D1293" s="196">
        <v>95</v>
      </c>
      <c r="E1293" s="196">
        <v>47.39</v>
      </c>
      <c r="F1293" s="196">
        <v>0.252</v>
      </c>
      <c r="G1293" s="196">
        <v>16.989999999999998</v>
      </c>
      <c r="H1293" s="196">
        <v>25.91</v>
      </c>
      <c r="I1293" s="196">
        <v>134.1</v>
      </c>
      <c r="J1293" s="196">
        <v>38.869999999999997</v>
      </c>
      <c r="K1293" s="196"/>
      <c r="L1293" s="200">
        <v>1293</v>
      </c>
      <c r="M1293" s="200">
        <v>2</v>
      </c>
      <c r="N1293" s="200">
        <v>7</v>
      </c>
    </row>
    <row r="1294" spans="1:14" x14ac:dyDescent="0.25">
      <c r="A1294" s="198" t="s">
        <v>2240</v>
      </c>
      <c r="B1294" s="198" t="s">
        <v>8958</v>
      </c>
      <c r="C1294" s="198">
        <v>0</v>
      </c>
      <c r="D1294" s="196">
        <v>80</v>
      </c>
      <c r="E1294" s="196">
        <v>47.41</v>
      </c>
      <c r="F1294" s="196">
        <v>0.28999999999999998</v>
      </c>
      <c r="G1294" s="196">
        <v>12.7</v>
      </c>
      <c r="H1294" s="196">
        <v>208.7</v>
      </c>
      <c r="I1294" s="196">
        <v>175.7</v>
      </c>
      <c r="J1294" s="196">
        <v>357.1</v>
      </c>
      <c r="K1294" s="196"/>
      <c r="L1294" s="200">
        <v>1294</v>
      </c>
      <c r="M1294" s="200">
        <v>2</v>
      </c>
      <c r="N1294" s="200">
        <v>7</v>
      </c>
    </row>
    <row r="1295" spans="1:14" x14ac:dyDescent="0.25">
      <c r="A1295" s="198" t="s">
        <v>2240</v>
      </c>
      <c r="B1295" s="198" t="s">
        <v>8959</v>
      </c>
      <c r="C1295" s="198">
        <v>1</v>
      </c>
      <c r="D1295" s="196">
        <v>139</v>
      </c>
      <c r="E1295" s="196">
        <v>47.417000000000002</v>
      </c>
      <c r="F1295" s="196">
        <v>0.37</v>
      </c>
      <c r="G1295" s="196">
        <v>13.521000000000001</v>
      </c>
      <c r="H1295" s="196">
        <v>130.22</v>
      </c>
      <c r="I1295" s="196">
        <v>183.21</v>
      </c>
      <c r="J1295" s="196">
        <v>47.484000000000002</v>
      </c>
      <c r="K1295" s="196">
        <v>0.51</v>
      </c>
      <c r="L1295" s="200">
        <v>1295</v>
      </c>
      <c r="M1295" s="200">
        <v>2</v>
      </c>
      <c r="N1295" s="200">
        <v>7</v>
      </c>
    </row>
    <row r="1296" spans="1:14" x14ac:dyDescent="0.25">
      <c r="A1296" s="198" t="s">
        <v>32</v>
      </c>
      <c r="B1296" s="198" t="s">
        <v>5221</v>
      </c>
      <c r="C1296" s="198"/>
      <c r="D1296" s="196">
        <v>48</v>
      </c>
      <c r="E1296" s="196"/>
      <c r="F1296" s="196"/>
      <c r="G1296" s="196"/>
      <c r="H1296" s="196"/>
      <c r="I1296" s="196"/>
      <c r="J1296" s="196"/>
      <c r="K1296" s="196"/>
      <c r="L1296" s="200">
        <v>1296</v>
      </c>
      <c r="M1296" s="200">
        <v>3</v>
      </c>
      <c r="N1296" s="200">
        <v>28</v>
      </c>
    </row>
    <row r="1297" spans="1:14" x14ac:dyDescent="0.25">
      <c r="A1297" s="198" t="s">
        <v>2240</v>
      </c>
      <c r="B1297" s="198" t="s">
        <v>8960</v>
      </c>
      <c r="C1297" s="198">
        <v>0</v>
      </c>
      <c r="D1297" s="196">
        <v>141</v>
      </c>
      <c r="E1297" s="196">
        <v>47.43</v>
      </c>
      <c r="F1297" s="196">
        <v>7.0999999999999994E-2</v>
      </c>
      <c r="G1297" s="196">
        <v>11.92</v>
      </c>
      <c r="H1297" s="196">
        <v>74.930000000000007</v>
      </c>
      <c r="I1297" s="196">
        <v>260.83999999999997</v>
      </c>
      <c r="J1297" s="196">
        <v>65.8</v>
      </c>
      <c r="K1297" s="196"/>
      <c r="L1297" s="200">
        <v>1297</v>
      </c>
      <c r="M1297" s="200">
        <v>2</v>
      </c>
      <c r="N1297" s="200">
        <v>7</v>
      </c>
    </row>
    <row r="1298" spans="1:14" x14ac:dyDescent="0.25">
      <c r="A1298" s="198" t="s">
        <v>2240</v>
      </c>
      <c r="B1298" s="198" t="s">
        <v>8961</v>
      </c>
      <c r="C1298" s="198">
        <v>0</v>
      </c>
      <c r="D1298" s="196">
        <v>102</v>
      </c>
      <c r="E1298" s="196">
        <v>47.454000000000001</v>
      </c>
      <c r="F1298" s="196">
        <v>0.217</v>
      </c>
      <c r="G1298" s="196">
        <v>8.89</v>
      </c>
      <c r="H1298" s="196">
        <v>262.61</v>
      </c>
      <c r="I1298" s="196">
        <v>247.94</v>
      </c>
      <c r="J1298" s="196">
        <v>42.09</v>
      </c>
      <c r="K1298" s="196"/>
      <c r="L1298" s="200">
        <v>1298</v>
      </c>
      <c r="M1298" s="200">
        <v>2</v>
      </c>
      <c r="N1298" s="200">
        <v>7</v>
      </c>
    </row>
    <row r="1299" spans="1:14" x14ac:dyDescent="0.25">
      <c r="A1299" s="198" t="s">
        <v>2240</v>
      </c>
      <c r="B1299" s="198" t="s">
        <v>8962</v>
      </c>
      <c r="C1299" s="198">
        <v>0</v>
      </c>
      <c r="D1299" s="196">
        <v>211</v>
      </c>
      <c r="E1299" s="196">
        <v>47.45</v>
      </c>
      <c r="F1299" s="196">
        <v>6.9000000000000006E-2</v>
      </c>
      <c r="G1299" s="196">
        <v>6.77</v>
      </c>
      <c r="H1299" s="196">
        <v>314.10000000000002</v>
      </c>
      <c r="I1299" s="196">
        <v>303.58</v>
      </c>
      <c r="J1299" s="196">
        <v>285.10000000000002</v>
      </c>
      <c r="K1299" s="196"/>
      <c r="L1299" s="200">
        <v>1299</v>
      </c>
      <c r="M1299" s="200">
        <v>2</v>
      </c>
      <c r="N1299" s="200">
        <v>7</v>
      </c>
    </row>
    <row r="1300" spans="1:14" x14ac:dyDescent="0.25">
      <c r="A1300" s="198" t="s">
        <v>2240</v>
      </c>
      <c r="B1300" s="198" t="s">
        <v>8963</v>
      </c>
      <c r="C1300" s="198">
        <v>0</v>
      </c>
      <c r="D1300" s="196">
        <v>103</v>
      </c>
      <c r="E1300" s="196">
        <v>47.46</v>
      </c>
      <c r="F1300" s="196">
        <v>0.27800000000000002</v>
      </c>
      <c r="G1300" s="196">
        <v>9.76</v>
      </c>
      <c r="H1300" s="196">
        <v>201.9</v>
      </c>
      <c r="I1300" s="196">
        <v>250.2</v>
      </c>
      <c r="J1300" s="196">
        <v>346.4</v>
      </c>
      <c r="K1300" s="196"/>
      <c r="L1300" s="200">
        <v>1300</v>
      </c>
      <c r="M1300" s="200">
        <v>2</v>
      </c>
      <c r="N1300" s="200">
        <v>7</v>
      </c>
    </row>
    <row r="1301" spans="1:14" x14ac:dyDescent="0.25">
      <c r="A1301" s="198" t="s">
        <v>2240</v>
      </c>
      <c r="B1301" s="198" t="s">
        <v>8964</v>
      </c>
      <c r="C1301" s="198">
        <v>0</v>
      </c>
      <c r="D1301" s="196">
        <v>188</v>
      </c>
      <c r="E1301" s="196">
        <v>47.491999999999997</v>
      </c>
      <c r="F1301" s="196">
        <v>0.21299999999999999</v>
      </c>
      <c r="G1301" s="196">
        <v>20.704999999999998</v>
      </c>
      <c r="H1301" s="196">
        <v>345.57</v>
      </c>
      <c r="I1301" s="196">
        <v>341.10599999999999</v>
      </c>
      <c r="J1301" s="196">
        <v>48.22</v>
      </c>
      <c r="K1301" s="196"/>
      <c r="L1301" s="200">
        <v>1301</v>
      </c>
      <c r="M1301" s="200">
        <v>2</v>
      </c>
      <c r="N1301" s="200">
        <v>7</v>
      </c>
    </row>
    <row r="1302" spans="1:14" x14ac:dyDescent="0.25">
      <c r="A1302" s="198" t="s">
        <v>2240</v>
      </c>
      <c r="B1302" s="198" t="s">
        <v>8965</v>
      </c>
      <c r="C1302" s="198">
        <v>0</v>
      </c>
      <c r="D1302" s="196">
        <v>118</v>
      </c>
      <c r="E1302" s="196">
        <v>47.506999999999998</v>
      </c>
      <c r="F1302" s="196">
        <v>0.14799999999999999</v>
      </c>
      <c r="G1302" s="196">
        <v>17.87</v>
      </c>
      <c r="H1302" s="196">
        <v>151.84</v>
      </c>
      <c r="I1302" s="196">
        <v>214.67</v>
      </c>
      <c r="J1302" s="196">
        <v>12.52</v>
      </c>
      <c r="K1302" s="196"/>
      <c r="L1302" s="200">
        <v>1302</v>
      </c>
      <c r="M1302" s="200">
        <v>2</v>
      </c>
      <c r="N1302" s="200">
        <v>7</v>
      </c>
    </row>
    <row r="1303" spans="1:14" x14ac:dyDescent="0.25">
      <c r="A1303" s="198" t="s">
        <v>2240</v>
      </c>
      <c r="B1303" s="198" t="s">
        <v>8966</v>
      </c>
      <c r="C1303" s="198">
        <v>0</v>
      </c>
      <c r="D1303" s="196">
        <v>116</v>
      </c>
      <c r="E1303" s="196">
        <v>47.529000000000003</v>
      </c>
      <c r="F1303" s="196">
        <v>0.108</v>
      </c>
      <c r="G1303" s="196">
        <v>8.65</v>
      </c>
      <c r="H1303" s="196">
        <v>13.53</v>
      </c>
      <c r="I1303" s="196">
        <v>150.38</v>
      </c>
      <c r="J1303" s="196">
        <v>340.78</v>
      </c>
      <c r="K1303" s="196"/>
      <c r="L1303" s="200">
        <v>1303</v>
      </c>
      <c r="M1303" s="200">
        <v>2</v>
      </c>
      <c r="N1303" s="200">
        <v>7</v>
      </c>
    </row>
    <row r="1304" spans="1:14" x14ac:dyDescent="0.25">
      <c r="A1304" s="198" t="s">
        <v>1966</v>
      </c>
      <c r="B1304" s="198" t="s">
        <v>8967</v>
      </c>
      <c r="C1304" s="198">
        <v>0</v>
      </c>
      <c r="D1304" s="196">
        <v>91</v>
      </c>
      <c r="E1304" s="196">
        <v>47.531999999999996</v>
      </c>
      <c r="F1304" s="196">
        <v>0.57199999999999995</v>
      </c>
      <c r="G1304" s="196">
        <v>18.29</v>
      </c>
      <c r="H1304" s="196">
        <v>232.63</v>
      </c>
      <c r="I1304" s="196">
        <v>288.26</v>
      </c>
      <c r="J1304" s="196">
        <v>20.92</v>
      </c>
      <c r="K1304" s="196"/>
      <c r="L1304" s="200">
        <v>1304</v>
      </c>
      <c r="M1304" s="200">
        <v>2</v>
      </c>
      <c r="N1304" s="200">
        <v>6</v>
      </c>
    </row>
    <row r="1305" spans="1:14" x14ac:dyDescent="0.25">
      <c r="A1305" s="198" t="s">
        <v>2240</v>
      </c>
      <c r="B1305" s="198" t="s">
        <v>8968</v>
      </c>
      <c r="C1305" s="198">
        <v>0</v>
      </c>
      <c r="D1305" s="196">
        <v>98</v>
      </c>
      <c r="E1305" s="196">
        <v>47.57</v>
      </c>
      <c r="F1305" s="196">
        <v>0.16800000000000001</v>
      </c>
      <c r="G1305" s="196">
        <v>19</v>
      </c>
      <c r="H1305" s="196">
        <v>220.4</v>
      </c>
      <c r="I1305" s="196">
        <v>121.13</v>
      </c>
      <c r="J1305" s="196">
        <v>38.200000000000003</v>
      </c>
      <c r="K1305" s="196"/>
      <c r="L1305" s="200">
        <v>1305</v>
      </c>
      <c r="M1305" s="200">
        <v>2</v>
      </c>
      <c r="N1305" s="200">
        <v>7</v>
      </c>
    </row>
    <row r="1306" spans="1:14" x14ac:dyDescent="0.25">
      <c r="A1306" s="198" t="s">
        <v>1966</v>
      </c>
      <c r="B1306" s="198" t="s">
        <v>8969</v>
      </c>
      <c r="C1306" s="198">
        <v>0</v>
      </c>
      <c r="D1306" s="196">
        <v>106</v>
      </c>
      <c r="E1306" s="196">
        <v>47.613999999999997</v>
      </c>
      <c r="F1306" s="196">
        <v>3.4000000000000002E-2</v>
      </c>
      <c r="G1306" s="196">
        <v>20.887</v>
      </c>
      <c r="H1306" s="196">
        <v>120.00700000000001</v>
      </c>
      <c r="I1306" s="196">
        <v>94.072000000000003</v>
      </c>
      <c r="J1306" s="196">
        <v>113.16500000000001</v>
      </c>
      <c r="K1306" s="196"/>
      <c r="L1306" s="200">
        <v>1306</v>
      </c>
      <c r="M1306" s="200">
        <v>2</v>
      </c>
      <c r="N1306" s="200">
        <v>6</v>
      </c>
    </row>
    <row r="1307" spans="1:14" x14ac:dyDescent="0.25">
      <c r="A1307" s="198" t="s">
        <v>2240</v>
      </c>
      <c r="B1307" s="198" t="s">
        <v>8970</v>
      </c>
      <c r="C1307" s="198">
        <v>1</v>
      </c>
      <c r="D1307" s="196">
        <v>74</v>
      </c>
      <c r="E1307" s="196">
        <v>47.62</v>
      </c>
      <c r="F1307" s="196">
        <v>0.214</v>
      </c>
      <c r="G1307" s="196">
        <v>3.67</v>
      </c>
      <c r="H1307" s="196">
        <v>99.05</v>
      </c>
      <c r="I1307" s="196">
        <v>223.32</v>
      </c>
      <c r="J1307" s="196">
        <v>33.24</v>
      </c>
      <c r="K1307" s="196"/>
      <c r="L1307" s="200">
        <v>1307</v>
      </c>
      <c r="M1307" s="200">
        <v>2</v>
      </c>
      <c r="N1307" s="200">
        <v>7</v>
      </c>
    </row>
    <row r="1308" spans="1:14" x14ac:dyDescent="0.25">
      <c r="A1308" s="198" t="s">
        <v>32</v>
      </c>
      <c r="B1308" s="198" t="s">
        <v>6164</v>
      </c>
      <c r="C1308" s="198"/>
      <c r="D1308" s="196">
        <v>72</v>
      </c>
      <c r="E1308" s="196"/>
      <c r="F1308" s="196"/>
      <c r="G1308" s="196"/>
      <c r="H1308" s="196"/>
      <c r="I1308" s="196"/>
      <c r="J1308" s="196"/>
      <c r="K1308" s="196"/>
      <c r="L1308" s="200">
        <v>1308</v>
      </c>
      <c r="M1308" s="200">
        <v>3</v>
      </c>
      <c r="N1308" s="200">
        <v>28</v>
      </c>
    </row>
    <row r="1309" spans="1:14" x14ac:dyDescent="0.25">
      <c r="A1309" s="198" t="s">
        <v>2240</v>
      </c>
      <c r="B1309" s="198" t="s">
        <v>8971</v>
      </c>
      <c r="C1309" s="198">
        <v>0</v>
      </c>
      <c r="D1309" s="196">
        <v>186</v>
      </c>
      <c r="E1309" s="196">
        <v>47.731000000000002</v>
      </c>
      <c r="F1309" s="196">
        <v>0.19600000000000001</v>
      </c>
      <c r="G1309" s="196">
        <v>10.02</v>
      </c>
      <c r="H1309" s="196">
        <v>266.04000000000002</v>
      </c>
      <c r="I1309" s="196">
        <v>46.398000000000003</v>
      </c>
      <c r="J1309" s="196">
        <v>53.01</v>
      </c>
      <c r="K1309" s="196"/>
      <c r="L1309" s="200">
        <v>1309</v>
      </c>
      <c r="M1309" s="200">
        <v>2</v>
      </c>
      <c r="N1309" s="200">
        <v>7</v>
      </c>
    </row>
    <row r="1310" spans="1:14" x14ac:dyDescent="0.25">
      <c r="A1310" s="198" t="s">
        <v>2240</v>
      </c>
      <c r="B1310" s="198" t="s">
        <v>8972</v>
      </c>
      <c r="C1310" s="198">
        <v>0</v>
      </c>
      <c r="D1310" s="196">
        <v>117</v>
      </c>
      <c r="E1310" s="196">
        <v>47.646000000000001</v>
      </c>
      <c r="F1310" s="196">
        <v>0.254</v>
      </c>
      <c r="G1310" s="196">
        <v>15.884</v>
      </c>
      <c r="H1310" s="196">
        <v>47.241999999999997</v>
      </c>
      <c r="I1310" s="196">
        <v>3.8860000000000001</v>
      </c>
      <c r="J1310" s="196">
        <v>3.9830000000000001</v>
      </c>
      <c r="K1310" s="196"/>
      <c r="L1310" s="200">
        <v>1310</v>
      </c>
      <c r="M1310" s="200">
        <v>2</v>
      </c>
      <c r="N1310" s="200">
        <v>7</v>
      </c>
    </row>
    <row r="1311" spans="1:14" x14ac:dyDescent="0.25">
      <c r="A1311" s="198" t="s">
        <v>2240</v>
      </c>
      <c r="B1311" s="198" t="s">
        <v>8973</v>
      </c>
      <c r="C1311" s="198">
        <v>0</v>
      </c>
      <c r="D1311" s="196">
        <v>103</v>
      </c>
      <c r="E1311" s="196">
        <v>47.73</v>
      </c>
      <c r="F1311" s="196">
        <v>2.4E-2</v>
      </c>
      <c r="G1311" s="196">
        <v>24.54</v>
      </c>
      <c r="H1311" s="196">
        <v>131</v>
      </c>
      <c r="I1311" s="196">
        <v>215.17</v>
      </c>
      <c r="J1311" s="196">
        <v>237</v>
      </c>
      <c r="K1311" s="196"/>
      <c r="L1311" s="200">
        <v>1311</v>
      </c>
      <c r="M1311" s="200">
        <v>2</v>
      </c>
      <c r="N1311" s="200">
        <v>7</v>
      </c>
    </row>
    <row r="1312" spans="1:14" x14ac:dyDescent="0.25">
      <c r="A1312" s="198" t="s">
        <v>2240</v>
      </c>
      <c r="B1312" s="198" t="s">
        <v>8974</v>
      </c>
      <c r="C1312" s="198">
        <v>0</v>
      </c>
      <c r="D1312" s="196">
        <v>217</v>
      </c>
      <c r="E1312" s="196">
        <v>47.758000000000003</v>
      </c>
      <c r="F1312" s="196">
        <v>0.17899999999999999</v>
      </c>
      <c r="G1312" s="196">
        <v>18.137</v>
      </c>
      <c r="H1312" s="196">
        <v>185.13</v>
      </c>
      <c r="I1312" s="196">
        <v>168.75</v>
      </c>
      <c r="J1312" s="196">
        <v>282.69</v>
      </c>
      <c r="K1312" s="196"/>
      <c r="L1312" s="200">
        <v>1312</v>
      </c>
      <c r="M1312" s="200">
        <v>2</v>
      </c>
      <c r="N1312" s="200">
        <v>7</v>
      </c>
    </row>
    <row r="1313" spans="1:14" x14ac:dyDescent="0.25">
      <c r="A1313" s="198" t="s">
        <v>2240</v>
      </c>
      <c r="B1313" s="198" t="s">
        <v>8975</v>
      </c>
      <c r="C1313" s="198">
        <v>0</v>
      </c>
      <c r="D1313" s="196">
        <v>91</v>
      </c>
      <c r="E1313" s="196">
        <v>47.783999999999999</v>
      </c>
      <c r="F1313" s="196">
        <v>0.22600000000000001</v>
      </c>
      <c r="G1313" s="196">
        <v>43.78</v>
      </c>
      <c r="H1313" s="196">
        <v>199.06</v>
      </c>
      <c r="I1313" s="196">
        <v>133.80000000000001</v>
      </c>
      <c r="J1313" s="196">
        <v>7.78</v>
      </c>
      <c r="K1313" s="196"/>
      <c r="L1313" s="200">
        <v>1313</v>
      </c>
      <c r="M1313" s="200">
        <v>2</v>
      </c>
      <c r="N1313" s="200">
        <v>7</v>
      </c>
    </row>
    <row r="1314" spans="1:14" x14ac:dyDescent="0.25">
      <c r="A1314" s="198" t="s">
        <v>2240</v>
      </c>
      <c r="B1314" s="198" t="s">
        <v>8976</v>
      </c>
      <c r="C1314" s="198">
        <v>0</v>
      </c>
      <c r="D1314" s="196">
        <v>97</v>
      </c>
      <c r="E1314" s="196">
        <v>47.81</v>
      </c>
      <c r="F1314" s="196">
        <v>0.187</v>
      </c>
      <c r="G1314" s="196">
        <v>2.2480000000000002</v>
      </c>
      <c r="H1314" s="196">
        <v>59.89</v>
      </c>
      <c r="I1314" s="196">
        <v>173.916</v>
      </c>
      <c r="J1314" s="196">
        <v>354.45</v>
      </c>
      <c r="K1314" s="196"/>
      <c r="L1314" s="200">
        <v>1314</v>
      </c>
      <c r="M1314" s="200">
        <v>2</v>
      </c>
      <c r="N1314" s="200">
        <v>7</v>
      </c>
    </row>
    <row r="1315" spans="1:14" x14ac:dyDescent="0.25">
      <c r="A1315" s="198" t="s">
        <v>2240</v>
      </c>
      <c r="B1315" s="198" t="s">
        <v>8977</v>
      </c>
      <c r="C1315" s="198">
        <v>0</v>
      </c>
      <c r="D1315" s="196">
        <v>280</v>
      </c>
      <c r="E1315" s="196">
        <v>47.82</v>
      </c>
      <c r="F1315" s="196">
        <v>0.158</v>
      </c>
      <c r="G1315" s="196">
        <v>12.061999999999999</v>
      </c>
      <c r="H1315" s="196">
        <v>9.02</v>
      </c>
      <c r="I1315" s="196">
        <v>272.49299999999999</v>
      </c>
      <c r="J1315" s="196">
        <v>331.84</v>
      </c>
      <c r="K1315" s="196"/>
      <c r="L1315" s="200">
        <v>1315</v>
      </c>
      <c r="M1315" s="200">
        <v>2</v>
      </c>
      <c r="N1315" s="200">
        <v>7</v>
      </c>
    </row>
    <row r="1316" spans="1:14" x14ac:dyDescent="0.25">
      <c r="A1316" s="198" t="s">
        <v>2240</v>
      </c>
      <c r="B1316" s="198" t="s">
        <v>8978</v>
      </c>
      <c r="C1316" s="198">
        <v>0</v>
      </c>
      <c r="D1316" s="196">
        <v>145</v>
      </c>
      <c r="E1316" s="196">
        <v>47.85</v>
      </c>
      <c r="F1316" s="196">
        <v>0.107</v>
      </c>
      <c r="G1316" s="196">
        <v>4.17</v>
      </c>
      <c r="H1316" s="196">
        <v>331</v>
      </c>
      <c r="I1316" s="196">
        <v>180.62</v>
      </c>
      <c r="J1316" s="196">
        <v>349</v>
      </c>
      <c r="K1316" s="196"/>
      <c r="L1316" s="200">
        <v>1316</v>
      </c>
      <c r="M1316" s="200">
        <v>2</v>
      </c>
      <c r="N1316" s="200">
        <v>7</v>
      </c>
    </row>
    <row r="1317" spans="1:14" x14ac:dyDescent="0.25">
      <c r="A1317" s="198" t="s">
        <v>2240</v>
      </c>
      <c r="B1317" s="198" t="s">
        <v>8979</v>
      </c>
      <c r="C1317" s="198">
        <v>0</v>
      </c>
      <c r="D1317" s="196">
        <v>167</v>
      </c>
      <c r="E1317" s="196">
        <v>47.88</v>
      </c>
      <c r="F1317" s="196">
        <v>0.309</v>
      </c>
      <c r="G1317" s="196">
        <v>18.8</v>
      </c>
      <c r="H1317" s="196">
        <v>351.7</v>
      </c>
      <c r="I1317" s="196">
        <v>205</v>
      </c>
      <c r="J1317" s="196">
        <v>359.8</v>
      </c>
      <c r="K1317" s="196"/>
      <c r="L1317" s="200">
        <v>1317</v>
      </c>
      <c r="M1317" s="200">
        <v>2</v>
      </c>
      <c r="N1317" s="200">
        <v>7</v>
      </c>
    </row>
    <row r="1318" spans="1:14" x14ac:dyDescent="0.25">
      <c r="A1318" s="198" t="s">
        <v>2240</v>
      </c>
      <c r="B1318" s="198" t="s">
        <v>8980</v>
      </c>
      <c r="C1318" s="198">
        <v>0</v>
      </c>
      <c r="D1318" s="196">
        <v>117</v>
      </c>
      <c r="E1318" s="196">
        <v>47.87</v>
      </c>
      <c r="F1318" s="196">
        <v>0.26500000000000001</v>
      </c>
      <c r="G1318" s="196">
        <v>8.2100000000000009</v>
      </c>
      <c r="H1318" s="196">
        <v>5</v>
      </c>
      <c r="I1318" s="196">
        <v>31.16</v>
      </c>
      <c r="J1318" s="196">
        <v>127</v>
      </c>
      <c r="K1318" s="196"/>
      <c r="L1318" s="200">
        <v>1318</v>
      </c>
      <c r="M1318" s="200">
        <v>2</v>
      </c>
      <c r="N1318" s="200">
        <v>7</v>
      </c>
    </row>
    <row r="1319" spans="1:14" x14ac:dyDescent="0.25">
      <c r="A1319" s="198" t="s">
        <v>2240</v>
      </c>
      <c r="B1319" s="198" t="s">
        <v>8981</v>
      </c>
      <c r="C1319" s="198">
        <v>0</v>
      </c>
      <c r="D1319" s="196">
        <v>157</v>
      </c>
      <c r="E1319" s="196">
        <v>47.975999999999999</v>
      </c>
      <c r="F1319" s="196">
        <v>6.5000000000000002E-2</v>
      </c>
      <c r="G1319" s="196">
        <v>24.68</v>
      </c>
      <c r="H1319" s="196">
        <v>294.87</v>
      </c>
      <c r="I1319" s="196">
        <v>153.1</v>
      </c>
      <c r="J1319" s="196">
        <v>69.2</v>
      </c>
      <c r="K1319" s="196"/>
      <c r="L1319" s="200">
        <v>1319</v>
      </c>
      <c r="M1319" s="200">
        <v>2</v>
      </c>
      <c r="N1319" s="200">
        <v>7</v>
      </c>
    </row>
    <row r="1320" spans="1:14" x14ac:dyDescent="0.25">
      <c r="A1320" s="198" t="s">
        <v>2240</v>
      </c>
      <c r="B1320" s="198" t="s">
        <v>8982</v>
      </c>
      <c r="C1320" s="198">
        <v>0</v>
      </c>
      <c r="D1320" s="196">
        <v>108</v>
      </c>
      <c r="E1320" s="196">
        <v>48</v>
      </c>
      <c r="F1320" s="196">
        <v>0.33500000000000002</v>
      </c>
      <c r="G1320" s="196">
        <v>1.08</v>
      </c>
      <c r="H1320" s="196">
        <v>334.2</v>
      </c>
      <c r="I1320" s="196">
        <v>110.54</v>
      </c>
      <c r="J1320" s="196">
        <v>306</v>
      </c>
      <c r="K1320" s="196"/>
      <c r="L1320" s="200">
        <v>1320</v>
      </c>
      <c r="M1320" s="200">
        <v>2</v>
      </c>
      <c r="N1320" s="200">
        <v>7</v>
      </c>
    </row>
    <row r="1321" spans="1:14" x14ac:dyDescent="0.25">
      <c r="A1321" s="198" t="s">
        <v>2240</v>
      </c>
      <c r="B1321" s="198" t="s">
        <v>8983</v>
      </c>
      <c r="C1321" s="198">
        <v>1</v>
      </c>
      <c r="D1321" s="196">
        <v>169</v>
      </c>
      <c r="E1321" s="196">
        <v>48.01</v>
      </c>
      <c r="F1321" s="196">
        <v>0.26500000000000001</v>
      </c>
      <c r="G1321" s="196">
        <v>9.1750000000000007</v>
      </c>
      <c r="H1321" s="196">
        <v>44.356000000000002</v>
      </c>
      <c r="I1321" s="196">
        <v>109.755</v>
      </c>
      <c r="J1321" s="196">
        <v>316.02</v>
      </c>
      <c r="K1321" s="196">
        <v>1.97</v>
      </c>
      <c r="L1321" s="200">
        <v>1321</v>
      </c>
      <c r="M1321" s="200">
        <v>2</v>
      </c>
      <c r="N1321" s="200">
        <v>7</v>
      </c>
    </row>
    <row r="1322" spans="1:14" x14ac:dyDescent="0.25">
      <c r="A1322" s="198" t="s">
        <v>32</v>
      </c>
      <c r="B1322" s="198" t="s">
        <v>2750</v>
      </c>
      <c r="C1322" s="198"/>
      <c r="D1322" s="196">
        <v>41</v>
      </c>
      <c r="E1322" s="196"/>
      <c r="F1322" s="196">
        <v>0.21</v>
      </c>
      <c r="G1322" s="196"/>
      <c r="H1322" s="196"/>
      <c r="I1322" s="196"/>
      <c r="J1322" s="196"/>
      <c r="K1322" s="196"/>
      <c r="L1322" s="200">
        <v>1322</v>
      </c>
      <c r="M1322" s="200">
        <v>3</v>
      </c>
      <c r="N1322" s="200">
        <v>28</v>
      </c>
    </row>
    <row r="1323" spans="1:14" x14ac:dyDescent="0.25">
      <c r="A1323" s="198" t="s">
        <v>2240</v>
      </c>
      <c r="B1323" s="198" t="s">
        <v>8984</v>
      </c>
      <c r="C1323" s="198">
        <v>0</v>
      </c>
      <c r="D1323" s="196">
        <v>152</v>
      </c>
      <c r="E1323" s="196">
        <v>48.03</v>
      </c>
      <c r="F1323" s="196">
        <v>0.16600000000000001</v>
      </c>
      <c r="G1323" s="196">
        <v>15.1</v>
      </c>
      <c r="H1323" s="196">
        <v>174.5</v>
      </c>
      <c r="I1323" s="196">
        <v>125.88</v>
      </c>
      <c r="J1323" s="196">
        <v>357.1</v>
      </c>
      <c r="K1323" s="196"/>
      <c r="L1323" s="200">
        <v>1323</v>
      </c>
      <c r="M1323" s="200">
        <v>2</v>
      </c>
      <c r="N1323" s="200">
        <v>7</v>
      </c>
    </row>
    <row r="1324" spans="1:14" x14ac:dyDescent="0.25">
      <c r="A1324" s="198" t="s">
        <v>2240</v>
      </c>
      <c r="B1324" s="198" t="s">
        <v>8985</v>
      </c>
      <c r="C1324" s="198">
        <v>0</v>
      </c>
      <c r="D1324" s="196">
        <v>111</v>
      </c>
      <c r="E1324" s="196">
        <v>48.033000000000001</v>
      </c>
      <c r="F1324" s="196">
        <v>0.23</v>
      </c>
      <c r="G1324" s="196">
        <v>29.97</v>
      </c>
      <c r="H1324" s="196">
        <v>275.54000000000002</v>
      </c>
      <c r="I1324" s="196">
        <v>223.58</v>
      </c>
      <c r="J1324" s="196">
        <v>317.79000000000002</v>
      </c>
      <c r="K1324" s="196"/>
      <c r="L1324" s="200">
        <v>1324</v>
      </c>
      <c r="M1324" s="200">
        <v>2</v>
      </c>
      <c r="N1324" s="200">
        <v>7</v>
      </c>
    </row>
    <row r="1325" spans="1:14" x14ac:dyDescent="0.25">
      <c r="A1325" s="198" t="s">
        <v>1966</v>
      </c>
      <c r="B1325" s="198" t="s">
        <v>8986</v>
      </c>
      <c r="C1325" s="198">
        <v>0</v>
      </c>
      <c r="D1325" s="196">
        <v>84</v>
      </c>
      <c r="E1325" s="196">
        <v>48.033000000000001</v>
      </c>
      <c r="F1325" s="196">
        <v>0.4</v>
      </c>
      <c r="G1325" s="196">
        <v>8.2240000000000002</v>
      </c>
      <c r="H1325" s="196">
        <v>149.511</v>
      </c>
      <c r="I1325" s="196">
        <v>127.063</v>
      </c>
      <c r="J1325" s="196">
        <v>1.875</v>
      </c>
      <c r="K1325" s="196"/>
      <c r="L1325" s="200">
        <v>1325</v>
      </c>
      <c r="M1325" s="200">
        <v>2</v>
      </c>
      <c r="N1325" s="200">
        <v>6</v>
      </c>
    </row>
    <row r="1326" spans="1:14" x14ac:dyDescent="0.25">
      <c r="A1326" s="198" t="s">
        <v>1966</v>
      </c>
      <c r="B1326" s="198" t="s">
        <v>8987</v>
      </c>
      <c r="C1326" s="198">
        <v>0</v>
      </c>
      <c r="D1326" s="196">
        <v>54</v>
      </c>
      <c r="E1326" s="196">
        <v>48.078000000000003</v>
      </c>
      <c r="F1326" s="196">
        <v>0.39500000000000002</v>
      </c>
      <c r="G1326" s="196">
        <v>28.248999999999999</v>
      </c>
      <c r="H1326" s="196">
        <v>84.697000000000003</v>
      </c>
      <c r="I1326" s="196">
        <v>173.934</v>
      </c>
      <c r="J1326" s="196">
        <v>42.165999999999997</v>
      </c>
      <c r="K1326" s="196"/>
      <c r="L1326" s="200">
        <v>1326</v>
      </c>
      <c r="M1326" s="200">
        <v>2</v>
      </c>
      <c r="N1326" s="200">
        <v>6</v>
      </c>
    </row>
    <row r="1327" spans="1:14" x14ac:dyDescent="0.25">
      <c r="A1327" s="198" t="s">
        <v>2240</v>
      </c>
      <c r="B1327" s="198" t="s">
        <v>8988</v>
      </c>
      <c r="C1327" s="198">
        <v>0</v>
      </c>
      <c r="D1327" s="196">
        <v>103</v>
      </c>
      <c r="E1327" s="196">
        <v>48.08</v>
      </c>
      <c r="F1327" s="196">
        <v>0.14499999999999999</v>
      </c>
      <c r="G1327" s="196">
        <v>8.5220000000000002</v>
      </c>
      <c r="H1327" s="196">
        <v>133.5</v>
      </c>
      <c r="I1327" s="196">
        <v>87.88</v>
      </c>
      <c r="J1327" s="196">
        <v>151.5</v>
      </c>
      <c r="K1327" s="196"/>
      <c r="L1327" s="200">
        <v>1327</v>
      </c>
      <c r="M1327" s="200">
        <v>2</v>
      </c>
      <c r="N1327" s="200">
        <v>7</v>
      </c>
    </row>
    <row r="1328" spans="1:14" x14ac:dyDescent="0.25">
      <c r="A1328" s="198" t="s">
        <v>2240</v>
      </c>
      <c r="B1328" s="198" t="s">
        <v>8989</v>
      </c>
      <c r="C1328" s="198">
        <v>0</v>
      </c>
      <c r="D1328" s="196">
        <v>158</v>
      </c>
      <c r="E1328" s="196">
        <v>48.12</v>
      </c>
      <c r="F1328" s="196">
        <v>0.27600000000000002</v>
      </c>
      <c r="G1328" s="196">
        <v>6.61</v>
      </c>
      <c r="H1328" s="196">
        <v>165.01</v>
      </c>
      <c r="I1328" s="196">
        <v>329.09</v>
      </c>
      <c r="J1328" s="196">
        <v>64.599999999999994</v>
      </c>
      <c r="K1328" s="196"/>
      <c r="L1328" s="200">
        <v>1328</v>
      </c>
      <c r="M1328" s="200">
        <v>2</v>
      </c>
      <c r="N1328" s="200">
        <v>7</v>
      </c>
    </row>
    <row r="1329" spans="1:14" x14ac:dyDescent="0.25">
      <c r="A1329" s="198" t="s">
        <v>2240</v>
      </c>
      <c r="B1329" s="198" t="s">
        <v>8990</v>
      </c>
      <c r="C1329" s="198">
        <v>0</v>
      </c>
      <c r="D1329" s="196">
        <v>145</v>
      </c>
      <c r="E1329" s="196">
        <v>48.12</v>
      </c>
      <c r="F1329" s="196">
        <v>7.0999999999999994E-2</v>
      </c>
      <c r="G1329" s="196">
        <v>1.17</v>
      </c>
      <c r="H1329" s="196">
        <v>141.5</v>
      </c>
      <c r="I1329" s="196">
        <v>105.5</v>
      </c>
      <c r="J1329" s="196">
        <v>148.30000000000001</v>
      </c>
      <c r="K1329" s="196"/>
      <c r="L1329" s="200">
        <v>1329</v>
      </c>
      <c r="M1329" s="200">
        <v>2</v>
      </c>
      <c r="N1329" s="200">
        <v>7</v>
      </c>
    </row>
    <row r="1330" spans="1:14" x14ac:dyDescent="0.25">
      <c r="A1330" s="198" t="s">
        <v>2240</v>
      </c>
      <c r="B1330" s="198" t="s">
        <v>8991</v>
      </c>
      <c r="C1330" s="198">
        <v>0</v>
      </c>
      <c r="D1330" s="196">
        <v>279</v>
      </c>
      <c r="E1330" s="196">
        <v>48.143000000000001</v>
      </c>
      <c r="F1330" s="196">
        <v>0.21199999999999999</v>
      </c>
      <c r="G1330" s="196">
        <v>14.058999999999999</v>
      </c>
      <c r="H1330" s="196">
        <v>341.93</v>
      </c>
      <c r="I1330" s="196">
        <v>285.22000000000003</v>
      </c>
      <c r="J1330" s="196">
        <v>282.75</v>
      </c>
      <c r="K1330" s="196"/>
      <c r="L1330" s="200">
        <v>1330</v>
      </c>
      <c r="M1330" s="200">
        <v>2</v>
      </c>
      <c r="N1330" s="200">
        <v>7</v>
      </c>
    </row>
    <row r="1331" spans="1:14" x14ac:dyDescent="0.25">
      <c r="A1331" s="198" t="s">
        <v>2240</v>
      </c>
      <c r="B1331" s="198" t="s">
        <v>8992</v>
      </c>
      <c r="C1331" s="198">
        <v>0</v>
      </c>
      <c r="D1331" s="196">
        <v>195</v>
      </c>
      <c r="E1331" s="196">
        <v>48.183</v>
      </c>
      <c r="F1331" s="196">
        <v>0.22900000000000001</v>
      </c>
      <c r="G1331" s="196">
        <v>11.667999999999999</v>
      </c>
      <c r="H1331" s="196">
        <v>69.900000000000006</v>
      </c>
      <c r="I1331" s="196">
        <v>50.17</v>
      </c>
      <c r="J1331" s="196">
        <v>7.6</v>
      </c>
      <c r="K1331" s="196"/>
      <c r="L1331" s="200">
        <v>1331</v>
      </c>
      <c r="M1331" s="200">
        <v>2</v>
      </c>
      <c r="N1331" s="200">
        <v>7</v>
      </c>
    </row>
    <row r="1332" spans="1:14" x14ac:dyDescent="0.25">
      <c r="A1332" s="198" t="s">
        <v>2240</v>
      </c>
      <c r="B1332" s="198" t="s">
        <v>8993</v>
      </c>
      <c r="C1332" s="198">
        <v>0</v>
      </c>
      <c r="D1332" s="196">
        <v>102</v>
      </c>
      <c r="E1332" s="196">
        <v>48.198</v>
      </c>
      <c r="F1332" s="196">
        <v>0.23699999999999999</v>
      </c>
      <c r="G1332" s="196">
        <v>11.653</v>
      </c>
      <c r="H1332" s="196">
        <v>124.277</v>
      </c>
      <c r="I1332" s="196">
        <v>161.99600000000001</v>
      </c>
      <c r="J1332" s="196">
        <v>326.74</v>
      </c>
      <c r="K1332" s="196"/>
      <c r="L1332" s="200">
        <v>1332</v>
      </c>
      <c r="M1332" s="200">
        <v>2</v>
      </c>
      <c r="N1332" s="200">
        <v>7</v>
      </c>
    </row>
    <row r="1333" spans="1:14" x14ac:dyDescent="0.25">
      <c r="A1333" s="198" t="s">
        <v>2240</v>
      </c>
      <c r="B1333" s="198" t="s">
        <v>8994</v>
      </c>
      <c r="C1333" s="198">
        <v>1</v>
      </c>
      <c r="D1333" s="196">
        <v>76</v>
      </c>
      <c r="E1333" s="196">
        <v>48.22</v>
      </c>
      <c r="F1333" s="196">
        <v>0.25600000000000001</v>
      </c>
      <c r="G1333" s="196">
        <v>3.38</v>
      </c>
      <c r="H1333" s="196">
        <v>53.62</v>
      </c>
      <c r="I1333" s="196">
        <v>169.12</v>
      </c>
      <c r="J1333" s="196">
        <v>6.63</v>
      </c>
      <c r="K1333" s="196"/>
      <c r="L1333" s="200">
        <v>1333</v>
      </c>
      <c r="M1333" s="200">
        <v>2</v>
      </c>
      <c r="N1333" s="200">
        <v>7</v>
      </c>
    </row>
    <row r="1334" spans="1:14" x14ac:dyDescent="0.25">
      <c r="A1334" s="198" t="s">
        <v>32</v>
      </c>
      <c r="B1334" s="198" t="s">
        <v>6069</v>
      </c>
      <c r="C1334" s="198"/>
      <c r="D1334" s="196">
        <v>56</v>
      </c>
      <c r="E1334" s="196"/>
      <c r="F1334" s="196"/>
      <c r="G1334" s="196"/>
      <c r="H1334" s="196"/>
      <c r="I1334" s="196"/>
      <c r="J1334" s="196"/>
      <c r="K1334" s="196"/>
      <c r="L1334" s="200">
        <v>1334</v>
      </c>
      <c r="M1334" s="200">
        <v>3</v>
      </c>
      <c r="N1334" s="200">
        <v>28</v>
      </c>
    </row>
    <row r="1335" spans="1:14" x14ac:dyDescent="0.25">
      <c r="A1335" s="198" t="s">
        <v>2240</v>
      </c>
      <c r="B1335" s="198" t="s">
        <v>8995</v>
      </c>
      <c r="C1335" s="198">
        <v>0</v>
      </c>
      <c r="D1335" s="196">
        <v>95</v>
      </c>
      <c r="E1335" s="196">
        <v>48.27</v>
      </c>
      <c r="F1335" s="196">
        <v>0.27</v>
      </c>
      <c r="G1335" s="196">
        <v>3.87</v>
      </c>
      <c r="H1335" s="196">
        <v>329.13</v>
      </c>
      <c r="I1335" s="196">
        <v>81.8</v>
      </c>
      <c r="J1335" s="196">
        <v>14.14</v>
      </c>
      <c r="K1335" s="196"/>
      <c r="L1335" s="200">
        <v>1335</v>
      </c>
      <c r="M1335" s="200">
        <v>2</v>
      </c>
      <c r="N1335" s="200">
        <v>7</v>
      </c>
    </row>
    <row r="1336" spans="1:14" x14ac:dyDescent="0.25">
      <c r="A1336" s="198" t="s">
        <v>2240</v>
      </c>
      <c r="B1336" s="198" t="s">
        <v>8996</v>
      </c>
      <c r="C1336" s="198">
        <v>0</v>
      </c>
      <c r="D1336" s="196">
        <v>123</v>
      </c>
      <c r="E1336" s="196">
        <v>48.32</v>
      </c>
      <c r="F1336" s="196">
        <v>0.191</v>
      </c>
      <c r="G1336" s="196">
        <v>11.693</v>
      </c>
      <c r="H1336" s="196">
        <v>32.299999999999997</v>
      </c>
      <c r="I1336" s="196">
        <v>119.41</v>
      </c>
      <c r="J1336" s="196">
        <v>240.7</v>
      </c>
      <c r="K1336" s="196"/>
      <c r="L1336" s="200">
        <v>1336</v>
      </c>
      <c r="M1336" s="200">
        <v>2</v>
      </c>
      <c r="N1336" s="200">
        <v>7</v>
      </c>
    </row>
    <row r="1337" spans="1:14" x14ac:dyDescent="0.25">
      <c r="A1337" s="198" t="s">
        <v>1966</v>
      </c>
      <c r="B1337" s="198" t="s">
        <v>8997</v>
      </c>
      <c r="C1337" s="198">
        <v>0</v>
      </c>
      <c r="D1337" s="196">
        <v>70</v>
      </c>
      <c r="E1337" s="196">
        <v>48.585999999999999</v>
      </c>
      <c r="F1337" s="196">
        <v>0.46899999999999997</v>
      </c>
      <c r="G1337" s="196">
        <v>7.016</v>
      </c>
      <c r="H1337" s="196">
        <v>343.60899999999998</v>
      </c>
      <c r="I1337" s="196">
        <v>14.377000000000001</v>
      </c>
      <c r="J1337" s="196">
        <v>15.525</v>
      </c>
      <c r="K1337" s="196"/>
      <c r="L1337" s="200">
        <v>1337</v>
      </c>
      <c r="M1337" s="200">
        <v>2</v>
      </c>
      <c r="N1337" s="200">
        <v>6</v>
      </c>
    </row>
    <row r="1338" spans="1:14" x14ac:dyDescent="0.25">
      <c r="A1338" s="198" t="s">
        <v>2763</v>
      </c>
      <c r="B1338" s="198" t="s">
        <v>8998</v>
      </c>
      <c r="C1338" s="198">
        <v>0</v>
      </c>
      <c r="D1338" s="196">
        <v>99</v>
      </c>
      <c r="E1338" s="196">
        <v>48.616</v>
      </c>
      <c r="F1338" s="196">
        <v>0.26</v>
      </c>
      <c r="G1338" s="196">
        <v>26.327000000000002</v>
      </c>
      <c r="H1338" s="196">
        <v>289.86</v>
      </c>
      <c r="I1338" s="196">
        <v>75.72</v>
      </c>
      <c r="J1338" s="196">
        <v>17.02</v>
      </c>
      <c r="K1338" s="196"/>
      <c r="L1338" s="200">
        <v>1338</v>
      </c>
      <c r="M1338" s="200">
        <v>2</v>
      </c>
      <c r="N1338" s="200">
        <v>8</v>
      </c>
    </row>
    <row r="1339" spans="1:14" x14ac:dyDescent="0.25">
      <c r="A1339" s="198" t="s">
        <v>2240</v>
      </c>
      <c r="B1339" s="198" t="s">
        <v>8999</v>
      </c>
      <c r="C1339" s="198">
        <v>0</v>
      </c>
      <c r="D1339" s="196">
        <v>173</v>
      </c>
      <c r="E1339" s="196">
        <v>48.725000000000001</v>
      </c>
      <c r="F1339" s="196">
        <v>0.14399999999999999</v>
      </c>
      <c r="G1339" s="196">
        <v>11.069000000000001</v>
      </c>
      <c r="H1339" s="196">
        <v>356.62</v>
      </c>
      <c r="I1339" s="196">
        <v>108.84</v>
      </c>
      <c r="J1339" s="196">
        <v>19.454999999999998</v>
      </c>
      <c r="K1339" s="196"/>
      <c r="L1339" s="200">
        <v>1339</v>
      </c>
      <c r="M1339" s="200">
        <v>2</v>
      </c>
      <c r="N1339" s="200">
        <v>7</v>
      </c>
    </row>
    <row r="1340" spans="1:14" x14ac:dyDescent="0.25">
      <c r="A1340" s="198" t="s">
        <v>2240</v>
      </c>
      <c r="B1340" s="198" t="s">
        <v>9000</v>
      </c>
      <c r="C1340" s="198">
        <v>0</v>
      </c>
      <c r="D1340" s="196">
        <v>111</v>
      </c>
      <c r="E1340" s="196">
        <v>48.8</v>
      </c>
      <c r="F1340" s="196">
        <v>0.16800000000000001</v>
      </c>
      <c r="G1340" s="196">
        <v>2.02</v>
      </c>
      <c r="H1340" s="196">
        <v>156.9</v>
      </c>
      <c r="I1340" s="196">
        <v>203.35</v>
      </c>
      <c r="J1340" s="196">
        <v>231</v>
      </c>
      <c r="K1340" s="196"/>
      <c r="L1340" s="200">
        <v>1340</v>
      </c>
      <c r="M1340" s="200">
        <v>2</v>
      </c>
      <c r="N1340" s="200">
        <v>7</v>
      </c>
    </row>
    <row r="1341" spans="1:14" x14ac:dyDescent="0.25">
      <c r="A1341" s="198" t="s">
        <v>2763</v>
      </c>
      <c r="B1341" s="198" t="s">
        <v>9001</v>
      </c>
      <c r="C1341" s="198">
        <v>0</v>
      </c>
      <c r="D1341" s="196">
        <v>132</v>
      </c>
      <c r="E1341" s="196">
        <v>48.81</v>
      </c>
      <c r="F1341" s="196">
        <v>0.30299999999999999</v>
      </c>
      <c r="G1341" s="196">
        <v>24.79</v>
      </c>
      <c r="H1341" s="196">
        <v>59.2</v>
      </c>
      <c r="I1341" s="196">
        <v>205.7</v>
      </c>
      <c r="J1341" s="196">
        <v>344</v>
      </c>
      <c r="K1341" s="196"/>
      <c r="L1341" s="200">
        <v>1341</v>
      </c>
      <c r="M1341" s="200">
        <v>2</v>
      </c>
      <c r="N1341" s="200">
        <v>8</v>
      </c>
    </row>
    <row r="1342" spans="1:14" x14ac:dyDescent="0.25">
      <c r="A1342" s="198" t="s">
        <v>2240</v>
      </c>
      <c r="B1342" s="198" t="s">
        <v>9002</v>
      </c>
      <c r="C1342" s="198">
        <v>0</v>
      </c>
      <c r="D1342" s="196">
        <v>152</v>
      </c>
      <c r="E1342" s="196">
        <v>48.87</v>
      </c>
      <c r="F1342" s="196">
        <v>0.249</v>
      </c>
      <c r="G1342" s="196">
        <v>30.8</v>
      </c>
      <c r="H1342" s="196">
        <v>197.9</v>
      </c>
      <c r="I1342" s="196">
        <v>23.69</v>
      </c>
      <c r="J1342" s="196">
        <v>277.2</v>
      </c>
      <c r="K1342" s="196"/>
      <c r="L1342" s="200">
        <v>1342</v>
      </c>
      <c r="M1342" s="200">
        <v>2</v>
      </c>
      <c r="N1342" s="200">
        <v>7</v>
      </c>
    </row>
    <row r="1343" spans="1:14" x14ac:dyDescent="0.25">
      <c r="A1343" s="198" t="s">
        <v>1966</v>
      </c>
      <c r="B1343" s="198" t="s">
        <v>9003</v>
      </c>
      <c r="C1343" s="198">
        <v>0</v>
      </c>
      <c r="D1343" s="196">
        <v>121</v>
      </c>
      <c r="E1343" s="196">
        <v>49.2</v>
      </c>
      <c r="F1343" s="196">
        <v>0.54</v>
      </c>
      <c r="G1343" s="196">
        <v>34.840000000000003</v>
      </c>
      <c r="H1343" s="196">
        <v>31.9</v>
      </c>
      <c r="I1343" s="196">
        <v>71.569999999999993</v>
      </c>
      <c r="J1343" s="196">
        <v>80</v>
      </c>
      <c r="K1343" s="196"/>
      <c r="L1343" s="200">
        <v>1343</v>
      </c>
      <c r="M1343" s="200">
        <v>2</v>
      </c>
      <c r="N1343" s="200">
        <v>6</v>
      </c>
    </row>
    <row r="1344" spans="1:14" x14ac:dyDescent="0.25">
      <c r="A1344" s="198" t="s">
        <v>2763</v>
      </c>
      <c r="B1344" s="198" t="s">
        <v>9004</v>
      </c>
      <c r="C1344" s="198">
        <v>0</v>
      </c>
      <c r="D1344" s="196">
        <v>99</v>
      </c>
      <c r="E1344" s="196">
        <v>49.32</v>
      </c>
      <c r="F1344" s="196">
        <v>0.34200000000000003</v>
      </c>
      <c r="G1344" s="196">
        <v>14.32</v>
      </c>
      <c r="H1344" s="196">
        <v>40.06</v>
      </c>
      <c r="I1344" s="196">
        <v>106.97</v>
      </c>
      <c r="J1344" s="196">
        <v>299.77999999999997</v>
      </c>
      <c r="K1344" s="196"/>
      <c r="L1344" s="200">
        <v>1344</v>
      </c>
      <c r="M1344" s="200">
        <v>2</v>
      </c>
      <c r="N1344" s="200">
        <v>8</v>
      </c>
    </row>
    <row r="1345" spans="1:14" x14ac:dyDescent="0.25">
      <c r="A1345" s="198" t="s">
        <v>2240</v>
      </c>
      <c r="B1345" s="198" t="s">
        <v>9005</v>
      </c>
      <c r="C1345" s="198">
        <v>0</v>
      </c>
      <c r="D1345" s="196">
        <v>156</v>
      </c>
      <c r="E1345" s="196">
        <v>49.49</v>
      </c>
      <c r="F1345" s="196">
        <v>0.12</v>
      </c>
      <c r="G1345" s="196">
        <v>21.66</v>
      </c>
      <c r="H1345" s="196">
        <v>52.095999999999997</v>
      </c>
      <c r="I1345" s="196">
        <v>258.149</v>
      </c>
      <c r="J1345" s="196">
        <v>9.4700000000000006</v>
      </c>
      <c r="K1345" s="196"/>
      <c r="L1345" s="200">
        <v>1345</v>
      </c>
      <c r="M1345" s="200">
        <v>2</v>
      </c>
      <c r="N1345" s="200">
        <v>7</v>
      </c>
    </row>
    <row r="1346" spans="1:14" x14ac:dyDescent="0.25">
      <c r="A1346" s="198" t="s">
        <v>2763</v>
      </c>
      <c r="B1346" s="198" t="s">
        <v>9006</v>
      </c>
      <c r="C1346" s="198">
        <v>0</v>
      </c>
      <c r="D1346" s="196">
        <v>318</v>
      </c>
      <c r="E1346" s="196">
        <v>49.692</v>
      </c>
      <c r="F1346" s="196">
        <v>0.246</v>
      </c>
      <c r="G1346" s="196">
        <v>30.638000000000002</v>
      </c>
      <c r="H1346" s="196">
        <v>193.48</v>
      </c>
      <c r="I1346" s="196">
        <v>25.32</v>
      </c>
      <c r="J1346" s="196">
        <v>97.52</v>
      </c>
      <c r="K1346" s="196"/>
      <c r="L1346" s="200">
        <v>1346</v>
      </c>
      <c r="M1346" s="200">
        <v>2</v>
      </c>
      <c r="N1346" s="200">
        <v>8</v>
      </c>
    </row>
    <row r="1347" spans="1:14" x14ac:dyDescent="0.25">
      <c r="A1347" s="198" t="s">
        <v>2763</v>
      </c>
      <c r="B1347" s="198" t="s">
        <v>9007</v>
      </c>
      <c r="C1347" s="198">
        <v>0</v>
      </c>
      <c r="D1347" s="196">
        <v>152</v>
      </c>
      <c r="E1347" s="196">
        <v>49.79</v>
      </c>
      <c r="F1347" s="196">
        <v>0.22600000000000001</v>
      </c>
      <c r="G1347" s="196">
        <v>2.27</v>
      </c>
      <c r="H1347" s="196">
        <v>236.5</v>
      </c>
      <c r="I1347" s="196">
        <v>48.87</v>
      </c>
      <c r="J1347" s="196">
        <v>28.81</v>
      </c>
      <c r="K1347" s="196"/>
      <c r="L1347" s="200">
        <v>1347</v>
      </c>
      <c r="M1347" s="200">
        <v>2</v>
      </c>
      <c r="N1347" s="200">
        <v>8</v>
      </c>
    </row>
    <row r="1348" spans="1:14" x14ac:dyDescent="0.25">
      <c r="A1348" s="198" t="s">
        <v>2763</v>
      </c>
      <c r="B1348" s="198" t="s">
        <v>9008</v>
      </c>
      <c r="C1348" s="198">
        <v>0</v>
      </c>
      <c r="D1348" s="196">
        <v>232</v>
      </c>
      <c r="E1348" s="196">
        <v>49.808999999999997</v>
      </c>
      <c r="F1348" s="196">
        <v>0.25600000000000001</v>
      </c>
      <c r="G1348" s="196">
        <v>11.757</v>
      </c>
      <c r="H1348" s="196">
        <v>175.26</v>
      </c>
      <c r="I1348" s="196">
        <v>341.68</v>
      </c>
      <c r="J1348" s="196">
        <v>28.257000000000001</v>
      </c>
      <c r="K1348" s="196"/>
      <c r="L1348" s="200">
        <v>1348</v>
      </c>
      <c r="M1348" s="200">
        <v>2</v>
      </c>
      <c r="N1348" s="200">
        <v>8</v>
      </c>
    </row>
    <row r="1349" spans="1:14" x14ac:dyDescent="0.25">
      <c r="A1349" s="198" t="s">
        <v>2763</v>
      </c>
      <c r="B1349" s="198" t="s">
        <v>9009</v>
      </c>
      <c r="C1349" s="198">
        <v>0</v>
      </c>
      <c r="D1349" s="196">
        <v>127</v>
      </c>
      <c r="E1349" s="196">
        <v>49.84</v>
      </c>
      <c r="F1349" s="196">
        <v>0.308</v>
      </c>
      <c r="G1349" s="196">
        <v>16.5</v>
      </c>
      <c r="H1349" s="196">
        <v>351.55</v>
      </c>
      <c r="I1349" s="196">
        <v>234.37</v>
      </c>
      <c r="J1349" s="196">
        <v>328.45</v>
      </c>
      <c r="K1349" s="196"/>
      <c r="L1349" s="200">
        <v>1349</v>
      </c>
      <c r="M1349" s="200">
        <v>2</v>
      </c>
      <c r="N1349" s="200">
        <v>8</v>
      </c>
    </row>
    <row r="1350" spans="1:14" x14ac:dyDescent="0.25">
      <c r="A1350" s="198" t="s">
        <v>1966</v>
      </c>
      <c r="B1350" s="198" t="s">
        <v>9010</v>
      </c>
      <c r="C1350" s="198">
        <v>0</v>
      </c>
      <c r="D1350" s="196">
        <v>59</v>
      </c>
      <c r="E1350" s="196">
        <v>49.948</v>
      </c>
      <c r="F1350" s="196">
        <v>0.54700000000000004</v>
      </c>
      <c r="G1350" s="196">
        <v>5.9489999999999998</v>
      </c>
      <c r="H1350" s="196">
        <v>235.75</v>
      </c>
      <c r="I1350" s="196">
        <v>294.04399999999998</v>
      </c>
      <c r="J1350" s="196">
        <v>9.3490000000000002</v>
      </c>
      <c r="K1350" s="196"/>
      <c r="L1350" s="200">
        <v>1350</v>
      </c>
      <c r="M1350" s="200">
        <v>2</v>
      </c>
      <c r="N1350" s="200">
        <v>6</v>
      </c>
    </row>
    <row r="1351" spans="1:14" x14ac:dyDescent="0.25">
      <c r="A1351" s="198" t="s">
        <v>2763</v>
      </c>
      <c r="B1351" s="198" t="s">
        <v>9011</v>
      </c>
      <c r="C1351" s="198">
        <v>0</v>
      </c>
      <c r="D1351" s="196">
        <v>221</v>
      </c>
      <c r="E1351" s="196">
        <v>49.956000000000003</v>
      </c>
      <c r="F1351" s="196">
        <v>0.246</v>
      </c>
      <c r="G1351" s="196">
        <v>6.726</v>
      </c>
      <c r="H1351" s="196">
        <v>26.381</v>
      </c>
      <c r="I1351" s="196">
        <v>158.07</v>
      </c>
      <c r="J1351" s="196">
        <v>141.21</v>
      </c>
      <c r="K1351" s="196"/>
      <c r="L1351" s="200">
        <v>1351</v>
      </c>
      <c r="M1351" s="200">
        <v>2</v>
      </c>
      <c r="N1351" s="200">
        <v>8</v>
      </c>
    </row>
    <row r="1352" spans="1:14" x14ac:dyDescent="0.25">
      <c r="A1352" s="198" t="s">
        <v>2763</v>
      </c>
      <c r="B1352" s="198" t="s">
        <v>9012</v>
      </c>
      <c r="C1352" s="198">
        <v>0</v>
      </c>
      <c r="D1352" s="196">
        <v>111</v>
      </c>
      <c r="E1352" s="196">
        <v>50.137</v>
      </c>
      <c r="F1352" s="196">
        <v>0.26200000000000001</v>
      </c>
      <c r="G1352" s="196">
        <v>19.997</v>
      </c>
      <c r="H1352" s="196">
        <v>29.356000000000002</v>
      </c>
      <c r="I1352" s="196">
        <v>75.334999999999994</v>
      </c>
      <c r="J1352" s="196">
        <v>325.11500000000001</v>
      </c>
      <c r="K1352" s="196"/>
      <c r="L1352" s="200">
        <v>1352</v>
      </c>
      <c r="M1352" s="200">
        <v>2</v>
      </c>
      <c r="N1352" s="200">
        <v>8</v>
      </c>
    </row>
    <row r="1353" spans="1:14" x14ac:dyDescent="0.25">
      <c r="A1353" s="198" t="s">
        <v>2763</v>
      </c>
      <c r="B1353" s="198" t="s">
        <v>9013</v>
      </c>
      <c r="C1353" s="198">
        <v>0</v>
      </c>
      <c r="D1353" s="196">
        <v>111</v>
      </c>
      <c r="E1353" s="196">
        <v>50.161999999999999</v>
      </c>
      <c r="F1353" s="196">
        <v>0.27500000000000002</v>
      </c>
      <c r="G1353" s="196">
        <v>17.814</v>
      </c>
      <c r="H1353" s="196">
        <v>119.349</v>
      </c>
      <c r="I1353" s="196">
        <v>148.393</v>
      </c>
      <c r="J1353" s="196">
        <v>355.666</v>
      </c>
      <c r="K1353" s="196"/>
      <c r="L1353" s="200">
        <v>1353</v>
      </c>
      <c r="M1353" s="200">
        <v>2</v>
      </c>
      <c r="N1353" s="200">
        <v>8</v>
      </c>
    </row>
    <row r="1354" spans="1:14" x14ac:dyDescent="0.25">
      <c r="A1354" s="198" t="s">
        <v>2763</v>
      </c>
      <c r="B1354" s="198" t="s">
        <v>9014</v>
      </c>
      <c r="C1354" s="198">
        <v>0</v>
      </c>
      <c r="D1354" s="196">
        <v>172</v>
      </c>
      <c r="E1354" s="196">
        <v>50.31</v>
      </c>
      <c r="F1354" s="196">
        <v>0.221</v>
      </c>
      <c r="G1354" s="196">
        <v>10.67</v>
      </c>
      <c r="H1354" s="196">
        <v>208.9</v>
      </c>
      <c r="I1354" s="196">
        <v>244.23</v>
      </c>
      <c r="J1354" s="196">
        <v>342.8</v>
      </c>
      <c r="K1354" s="196"/>
      <c r="L1354" s="200">
        <v>1354</v>
      </c>
      <c r="M1354" s="200">
        <v>2</v>
      </c>
      <c r="N1354" s="200">
        <v>8</v>
      </c>
    </row>
    <row r="1355" spans="1:14" x14ac:dyDescent="0.25">
      <c r="A1355" s="198" t="s">
        <v>2763</v>
      </c>
      <c r="B1355" s="198" t="s">
        <v>9015</v>
      </c>
      <c r="C1355" s="198">
        <v>0</v>
      </c>
      <c r="D1355" s="196">
        <v>106</v>
      </c>
      <c r="E1355" s="196">
        <v>50.417000000000002</v>
      </c>
      <c r="F1355" s="196">
        <v>0.27600000000000002</v>
      </c>
      <c r="G1355" s="196">
        <v>17.93</v>
      </c>
      <c r="H1355" s="196">
        <v>49.94</v>
      </c>
      <c r="I1355" s="196">
        <v>209.76</v>
      </c>
      <c r="J1355" s="196">
        <v>352.22</v>
      </c>
      <c r="K1355" s="196"/>
      <c r="L1355" s="200">
        <v>1355</v>
      </c>
      <c r="M1355" s="200">
        <v>2</v>
      </c>
      <c r="N1355" s="200">
        <v>8</v>
      </c>
    </row>
    <row r="1356" spans="1:14" x14ac:dyDescent="0.25">
      <c r="A1356" s="198" t="s">
        <v>2763</v>
      </c>
      <c r="B1356" s="198" t="s">
        <v>9016</v>
      </c>
      <c r="C1356" s="198">
        <v>0</v>
      </c>
      <c r="D1356" s="196">
        <v>131</v>
      </c>
      <c r="E1356" s="196">
        <v>50.417999999999999</v>
      </c>
      <c r="F1356" s="196">
        <v>0.16300000000000001</v>
      </c>
      <c r="G1356" s="196">
        <v>22.56</v>
      </c>
      <c r="H1356" s="196">
        <v>264.13</v>
      </c>
      <c r="I1356" s="196">
        <v>223.08</v>
      </c>
      <c r="J1356" s="196">
        <v>334.43</v>
      </c>
      <c r="K1356" s="196"/>
      <c r="L1356" s="200">
        <v>1356</v>
      </c>
      <c r="M1356" s="200">
        <v>2</v>
      </c>
      <c r="N1356" s="200">
        <v>8</v>
      </c>
    </row>
    <row r="1357" spans="1:14" x14ac:dyDescent="0.25">
      <c r="A1357" s="198" t="s">
        <v>2763</v>
      </c>
      <c r="B1357" s="198" t="s">
        <v>9017</v>
      </c>
      <c r="C1357" s="198">
        <v>0</v>
      </c>
      <c r="D1357" s="196">
        <v>99</v>
      </c>
      <c r="E1357" s="196">
        <v>50.44</v>
      </c>
      <c r="F1357" s="196">
        <v>0.23899999999999999</v>
      </c>
      <c r="G1357" s="196">
        <v>1.05</v>
      </c>
      <c r="H1357" s="196">
        <v>164</v>
      </c>
      <c r="I1357" s="196">
        <v>117.22</v>
      </c>
      <c r="J1357" s="196">
        <v>335.1</v>
      </c>
      <c r="K1357" s="196"/>
      <c r="L1357" s="200">
        <v>1357</v>
      </c>
      <c r="M1357" s="200">
        <v>2</v>
      </c>
      <c r="N1357" s="200">
        <v>8</v>
      </c>
    </row>
    <row r="1358" spans="1:14" x14ac:dyDescent="0.25">
      <c r="A1358" s="198" t="s">
        <v>2763</v>
      </c>
      <c r="B1358" s="198" t="s">
        <v>9018</v>
      </c>
      <c r="C1358" s="198">
        <v>0</v>
      </c>
      <c r="D1358" s="196">
        <v>172</v>
      </c>
      <c r="E1358" s="196">
        <v>50.7</v>
      </c>
      <c r="F1358" s="196">
        <v>0.27900000000000003</v>
      </c>
      <c r="G1358" s="196">
        <v>27.8</v>
      </c>
      <c r="H1358" s="196">
        <v>259</v>
      </c>
      <c r="I1358" s="196">
        <v>158.1</v>
      </c>
      <c r="J1358" s="196">
        <v>359</v>
      </c>
      <c r="K1358" s="196"/>
      <c r="L1358" s="200">
        <v>1358</v>
      </c>
      <c r="M1358" s="200">
        <v>2</v>
      </c>
      <c r="N1358" s="200">
        <v>8</v>
      </c>
    </row>
    <row r="1359" spans="1:14" x14ac:dyDescent="0.25">
      <c r="A1359" s="198" t="s">
        <v>2763</v>
      </c>
      <c r="B1359" s="198" t="s">
        <v>9019</v>
      </c>
      <c r="C1359" s="198">
        <v>0</v>
      </c>
      <c r="D1359" s="196">
        <v>138</v>
      </c>
      <c r="E1359" s="196">
        <v>50.7</v>
      </c>
      <c r="F1359" s="196">
        <v>0.28299999999999997</v>
      </c>
      <c r="G1359" s="196">
        <v>23.59</v>
      </c>
      <c r="H1359" s="196">
        <v>290</v>
      </c>
      <c r="I1359" s="196">
        <v>154.69</v>
      </c>
      <c r="J1359" s="196">
        <v>239</v>
      </c>
      <c r="K1359" s="196"/>
      <c r="L1359" s="200">
        <v>1359</v>
      </c>
      <c r="M1359" s="200">
        <v>2</v>
      </c>
      <c r="N1359" s="200">
        <v>8</v>
      </c>
    </row>
    <row r="1360" spans="1:14" x14ac:dyDescent="0.25">
      <c r="A1360" s="198" t="s">
        <v>2763</v>
      </c>
      <c r="B1360" s="198" t="s">
        <v>9020</v>
      </c>
      <c r="C1360" s="198">
        <v>0</v>
      </c>
      <c r="D1360" s="196">
        <v>114</v>
      </c>
      <c r="E1360" s="196">
        <v>50.718000000000004</v>
      </c>
      <c r="F1360" s="196">
        <v>0.247</v>
      </c>
      <c r="G1360" s="196">
        <v>20.010000000000002</v>
      </c>
      <c r="H1360" s="196">
        <v>310.94299999999998</v>
      </c>
      <c r="I1360" s="196">
        <v>169.47</v>
      </c>
      <c r="J1360" s="196">
        <v>35.770000000000003</v>
      </c>
      <c r="K1360" s="196"/>
      <c r="L1360" s="200">
        <v>1360</v>
      </c>
      <c r="M1360" s="200">
        <v>2</v>
      </c>
      <c r="N1360" s="200">
        <v>8</v>
      </c>
    </row>
    <row r="1361" spans="1:14" x14ac:dyDescent="0.25">
      <c r="A1361" s="198" t="s">
        <v>2763</v>
      </c>
      <c r="B1361" s="198" t="s">
        <v>9021</v>
      </c>
      <c r="C1361" s="198">
        <v>0</v>
      </c>
      <c r="D1361" s="196">
        <v>273</v>
      </c>
      <c r="E1361" s="196">
        <v>50.838000000000001</v>
      </c>
      <c r="F1361" s="196">
        <v>0.21099999999999999</v>
      </c>
      <c r="G1361" s="196">
        <v>14.542</v>
      </c>
      <c r="H1361" s="196">
        <v>135.1</v>
      </c>
      <c r="I1361" s="196">
        <v>41.033000000000001</v>
      </c>
      <c r="J1361" s="196">
        <v>271.5</v>
      </c>
      <c r="K1361" s="196"/>
      <c r="L1361" s="200">
        <v>1361</v>
      </c>
      <c r="M1361" s="200">
        <v>2</v>
      </c>
      <c r="N1361" s="200">
        <v>8</v>
      </c>
    </row>
    <row r="1362" spans="1:14" x14ac:dyDescent="0.25">
      <c r="A1362" s="198" t="s">
        <v>2763</v>
      </c>
      <c r="B1362" s="198" t="s">
        <v>9022</v>
      </c>
      <c r="C1362" s="198">
        <v>0</v>
      </c>
      <c r="D1362" s="196">
        <v>111</v>
      </c>
      <c r="E1362" s="196">
        <v>50.920999999999999</v>
      </c>
      <c r="F1362" s="196">
        <v>0.32400000000000001</v>
      </c>
      <c r="G1362" s="196">
        <v>15.923</v>
      </c>
      <c r="H1362" s="196">
        <v>19.526</v>
      </c>
      <c r="I1362" s="196">
        <v>87.543999999999997</v>
      </c>
      <c r="J1362" s="196">
        <v>230.88300000000001</v>
      </c>
      <c r="K1362" s="196"/>
      <c r="L1362" s="200">
        <v>1362</v>
      </c>
      <c r="M1362" s="200">
        <v>2</v>
      </c>
      <c r="N1362" s="200">
        <v>8</v>
      </c>
    </row>
    <row r="1363" spans="1:14" x14ac:dyDescent="0.25">
      <c r="A1363" s="198" t="s">
        <v>2763</v>
      </c>
      <c r="B1363" s="198" t="s">
        <v>9023</v>
      </c>
      <c r="C1363" s="198">
        <v>0</v>
      </c>
      <c r="D1363" s="196">
        <v>133</v>
      </c>
      <c r="E1363" s="196">
        <v>51.180999999999997</v>
      </c>
      <c r="F1363" s="196">
        <v>0.25700000000000001</v>
      </c>
      <c r="G1363" s="196">
        <v>24.274000000000001</v>
      </c>
      <c r="H1363" s="196">
        <v>134.43700000000001</v>
      </c>
      <c r="I1363" s="196">
        <v>295.48</v>
      </c>
      <c r="J1363" s="196">
        <v>59.905000000000001</v>
      </c>
      <c r="K1363" s="196"/>
      <c r="L1363" s="200">
        <v>1363</v>
      </c>
      <c r="M1363" s="200">
        <v>2</v>
      </c>
      <c r="N1363" s="200">
        <v>8</v>
      </c>
    </row>
    <row r="1364" spans="1:14" x14ac:dyDescent="0.25">
      <c r="A1364" s="198" t="s">
        <v>1966</v>
      </c>
      <c r="B1364" s="198" t="s">
        <v>9024</v>
      </c>
      <c r="C1364" s="198">
        <v>0</v>
      </c>
      <c r="D1364" s="196">
        <v>140</v>
      </c>
      <c r="E1364" s="196">
        <v>51.3</v>
      </c>
      <c r="F1364" s="196">
        <v>0.46800000000000003</v>
      </c>
      <c r="G1364" s="196">
        <v>15.5</v>
      </c>
      <c r="H1364" s="196">
        <v>215</v>
      </c>
      <c r="I1364" s="196">
        <v>77.2</v>
      </c>
      <c r="J1364" s="196">
        <v>182</v>
      </c>
      <c r="K1364" s="196"/>
      <c r="L1364" s="200">
        <v>1364</v>
      </c>
      <c r="M1364" s="200">
        <v>2</v>
      </c>
      <c r="N1364" s="200">
        <v>6</v>
      </c>
    </row>
    <row r="1365" spans="1:14" x14ac:dyDescent="0.25">
      <c r="A1365" s="198" t="s">
        <v>2763</v>
      </c>
      <c r="B1365" s="198" t="s">
        <v>9025</v>
      </c>
      <c r="C1365" s="198">
        <v>0</v>
      </c>
      <c r="D1365" s="196">
        <v>105</v>
      </c>
      <c r="E1365" s="196">
        <v>51.313000000000002</v>
      </c>
      <c r="F1365" s="196">
        <v>0.218</v>
      </c>
      <c r="G1365" s="196">
        <v>46.59</v>
      </c>
      <c r="H1365" s="196">
        <v>155.69999999999999</v>
      </c>
      <c r="I1365" s="196">
        <v>110.83</v>
      </c>
      <c r="J1365" s="196">
        <v>355.02</v>
      </c>
      <c r="K1365" s="196"/>
      <c r="L1365" s="200">
        <v>1365</v>
      </c>
      <c r="M1365" s="200">
        <v>2</v>
      </c>
      <c r="N1365" s="200">
        <v>8</v>
      </c>
    </row>
    <row r="1366" spans="1:14" x14ac:dyDescent="0.25">
      <c r="A1366" s="198" t="s">
        <v>2763</v>
      </c>
      <c r="B1366" s="198" t="s">
        <v>9026</v>
      </c>
      <c r="C1366" s="198">
        <v>0</v>
      </c>
      <c r="D1366" s="196">
        <v>99</v>
      </c>
      <c r="E1366" s="196">
        <v>51.37</v>
      </c>
      <c r="F1366" s="196">
        <v>0.22900000000000001</v>
      </c>
      <c r="G1366" s="196">
        <v>14.284000000000001</v>
      </c>
      <c r="H1366" s="196">
        <v>127.15</v>
      </c>
      <c r="I1366" s="196">
        <v>261.07</v>
      </c>
      <c r="J1366" s="196">
        <v>328.87</v>
      </c>
      <c r="K1366" s="196"/>
      <c r="L1366" s="200">
        <v>1366</v>
      </c>
      <c r="M1366" s="200">
        <v>2</v>
      </c>
      <c r="N1366" s="200">
        <v>8</v>
      </c>
    </row>
    <row r="1367" spans="1:14" x14ac:dyDescent="0.25">
      <c r="A1367" s="198" t="s">
        <v>2763</v>
      </c>
      <c r="B1367" s="198" t="s">
        <v>9027</v>
      </c>
      <c r="C1367" s="198">
        <v>0</v>
      </c>
      <c r="D1367" s="196">
        <v>123</v>
      </c>
      <c r="E1367" s="196">
        <v>51.439</v>
      </c>
      <c r="F1367" s="196">
        <v>0.23300000000000001</v>
      </c>
      <c r="G1367" s="196">
        <v>17.079999999999998</v>
      </c>
      <c r="H1367" s="196">
        <v>107.58</v>
      </c>
      <c r="I1367" s="196">
        <v>141.06</v>
      </c>
      <c r="J1367" s="196">
        <v>65.674000000000007</v>
      </c>
      <c r="K1367" s="196"/>
      <c r="L1367" s="200">
        <v>1367</v>
      </c>
      <c r="M1367" s="200">
        <v>2</v>
      </c>
      <c r="N1367" s="200">
        <v>8</v>
      </c>
    </row>
    <row r="1368" spans="1:14" x14ac:dyDescent="0.25">
      <c r="A1368" s="198" t="s">
        <v>2763</v>
      </c>
      <c r="B1368" s="198" t="s">
        <v>9028</v>
      </c>
      <c r="C1368" s="198">
        <v>0</v>
      </c>
      <c r="D1368" s="196">
        <v>117</v>
      </c>
      <c r="E1368" s="196">
        <v>51.58</v>
      </c>
      <c r="F1368" s="196">
        <v>0.34300000000000003</v>
      </c>
      <c r="G1368" s="196">
        <v>1.55</v>
      </c>
      <c r="H1368" s="196">
        <v>63.8</v>
      </c>
      <c r="I1368" s="196">
        <v>96</v>
      </c>
      <c r="J1368" s="196">
        <v>59.5</v>
      </c>
      <c r="K1368" s="196"/>
      <c r="L1368" s="200">
        <v>1368</v>
      </c>
      <c r="M1368" s="200">
        <v>2</v>
      </c>
      <c r="N1368" s="200">
        <v>8</v>
      </c>
    </row>
    <row r="1369" spans="1:14" x14ac:dyDescent="0.25">
      <c r="A1369" s="198" t="s">
        <v>1966</v>
      </c>
      <c r="B1369" s="198" t="s">
        <v>9029</v>
      </c>
      <c r="C1369" s="198">
        <v>0</v>
      </c>
      <c r="D1369" s="196">
        <v>51</v>
      </c>
      <c r="E1369" s="196">
        <v>51.718000000000004</v>
      </c>
      <c r="F1369" s="196">
        <v>0.50900000000000001</v>
      </c>
      <c r="G1369" s="196">
        <v>0.71</v>
      </c>
      <c r="H1369" s="196">
        <v>176.876</v>
      </c>
      <c r="I1369" s="196">
        <v>351.41300000000001</v>
      </c>
      <c r="J1369" s="196">
        <v>13.923</v>
      </c>
      <c r="K1369" s="196"/>
      <c r="L1369" s="200">
        <v>1369</v>
      </c>
      <c r="M1369" s="200">
        <v>2</v>
      </c>
      <c r="N1369" s="200">
        <v>6</v>
      </c>
    </row>
    <row r="1370" spans="1:14" x14ac:dyDescent="0.25">
      <c r="A1370" s="198" t="s">
        <v>1966</v>
      </c>
      <c r="B1370" s="198" t="s">
        <v>9030</v>
      </c>
      <c r="C1370" s="198">
        <v>0</v>
      </c>
      <c r="D1370" s="196">
        <v>97</v>
      </c>
      <c r="E1370" s="196">
        <v>51.758000000000003</v>
      </c>
      <c r="F1370" s="196">
        <v>0.49199999999999999</v>
      </c>
      <c r="G1370" s="196">
        <v>6.9020000000000001</v>
      </c>
      <c r="H1370" s="196">
        <v>253.79</v>
      </c>
      <c r="I1370" s="196">
        <v>160.27099999999999</v>
      </c>
      <c r="J1370" s="196">
        <v>346.00200000000001</v>
      </c>
      <c r="K1370" s="196"/>
      <c r="L1370" s="200">
        <v>1370</v>
      </c>
      <c r="M1370" s="200">
        <v>2</v>
      </c>
      <c r="N1370" s="200">
        <v>6</v>
      </c>
    </row>
    <row r="1371" spans="1:14" x14ac:dyDescent="0.25">
      <c r="A1371" s="198" t="s">
        <v>2763</v>
      </c>
      <c r="B1371" s="198" t="s">
        <v>9031</v>
      </c>
      <c r="C1371" s="198">
        <v>0</v>
      </c>
      <c r="D1371" s="196">
        <v>234</v>
      </c>
      <c r="E1371" s="196">
        <v>51.814999999999998</v>
      </c>
      <c r="F1371" s="196">
        <v>0.28599999999999998</v>
      </c>
      <c r="G1371" s="196">
        <v>0.753</v>
      </c>
      <c r="H1371" s="196">
        <v>344.5</v>
      </c>
      <c r="I1371" s="196">
        <v>301.39</v>
      </c>
      <c r="J1371" s="196">
        <v>80.813999999999993</v>
      </c>
      <c r="K1371" s="196"/>
      <c r="L1371" s="200">
        <v>1371</v>
      </c>
      <c r="M1371" s="200">
        <v>2</v>
      </c>
      <c r="N1371" s="200">
        <v>8</v>
      </c>
    </row>
    <row r="1372" spans="1:14" x14ac:dyDescent="0.25">
      <c r="A1372" s="198" t="s">
        <v>2763</v>
      </c>
      <c r="B1372" s="198" t="s">
        <v>9032</v>
      </c>
      <c r="C1372" s="198">
        <v>0</v>
      </c>
      <c r="D1372" s="196">
        <v>111</v>
      </c>
      <c r="E1372" s="196">
        <v>52.08</v>
      </c>
      <c r="F1372" s="196">
        <v>0.29299999999999998</v>
      </c>
      <c r="G1372" s="196">
        <v>20.55</v>
      </c>
      <c r="H1372" s="196">
        <v>21</v>
      </c>
      <c r="I1372" s="196">
        <v>204.04</v>
      </c>
      <c r="J1372" s="196">
        <v>339</v>
      </c>
      <c r="K1372" s="196"/>
      <c r="L1372" s="200">
        <v>1372</v>
      </c>
      <c r="M1372" s="200">
        <v>2</v>
      </c>
      <c r="N1372" s="200">
        <v>8</v>
      </c>
    </row>
    <row r="1373" spans="1:14" x14ac:dyDescent="0.25">
      <c r="A1373" s="198" t="s">
        <v>2763</v>
      </c>
      <c r="B1373" s="198" t="s">
        <v>9033</v>
      </c>
      <c r="C1373" s="198">
        <v>0</v>
      </c>
      <c r="D1373" s="196">
        <v>104</v>
      </c>
      <c r="E1373" s="196">
        <v>52.103999999999999</v>
      </c>
      <c r="F1373" s="196">
        <v>0.36299999999999999</v>
      </c>
      <c r="G1373" s="196">
        <v>34.409999999999997</v>
      </c>
      <c r="H1373" s="196">
        <v>193.98</v>
      </c>
      <c r="I1373" s="196">
        <v>88.43</v>
      </c>
      <c r="J1373" s="196">
        <v>51.19</v>
      </c>
      <c r="K1373" s="196"/>
      <c r="L1373" s="200">
        <v>1373</v>
      </c>
      <c r="M1373" s="200">
        <v>2</v>
      </c>
      <c r="N1373" s="200">
        <v>8</v>
      </c>
    </row>
    <row r="1374" spans="1:14" x14ac:dyDescent="0.25">
      <c r="A1374" s="198" t="s">
        <v>1966</v>
      </c>
      <c r="B1374" s="198" t="s">
        <v>9034</v>
      </c>
      <c r="C1374" s="198">
        <v>0</v>
      </c>
      <c r="D1374" s="196">
        <v>56</v>
      </c>
      <c r="E1374" s="196">
        <v>52.277999999999999</v>
      </c>
      <c r="F1374" s="196">
        <v>0.58799999999999997</v>
      </c>
      <c r="G1374" s="196">
        <v>14.507999999999999</v>
      </c>
      <c r="H1374" s="196">
        <v>195.59399999999999</v>
      </c>
      <c r="I1374" s="196">
        <v>99.739000000000004</v>
      </c>
      <c r="J1374" s="196">
        <v>13.109</v>
      </c>
      <c r="K1374" s="196"/>
      <c r="L1374" s="200">
        <v>1374</v>
      </c>
      <c r="M1374" s="200">
        <v>2</v>
      </c>
      <c r="N1374" s="200">
        <v>6</v>
      </c>
    </row>
    <row r="1375" spans="1:14" x14ac:dyDescent="0.25">
      <c r="A1375" s="198" t="s">
        <v>2763</v>
      </c>
      <c r="B1375" s="198" t="s">
        <v>9035</v>
      </c>
      <c r="C1375" s="198">
        <v>0</v>
      </c>
      <c r="D1375" s="196">
        <v>133</v>
      </c>
      <c r="E1375" s="196">
        <v>52.319000000000003</v>
      </c>
      <c r="F1375" s="196">
        <v>0.27100000000000002</v>
      </c>
      <c r="G1375" s="196">
        <v>28.51</v>
      </c>
      <c r="H1375" s="196">
        <v>22.015000000000001</v>
      </c>
      <c r="I1375" s="196">
        <v>145.86000000000001</v>
      </c>
      <c r="J1375" s="196">
        <v>356.73</v>
      </c>
      <c r="K1375" s="196"/>
      <c r="L1375" s="200">
        <v>1375</v>
      </c>
      <c r="M1375" s="200">
        <v>2</v>
      </c>
      <c r="N1375" s="200">
        <v>8</v>
      </c>
    </row>
    <row r="1376" spans="1:14" x14ac:dyDescent="0.25">
      <c r="A1376" s="198" t="s">
        <v>2763</v>
      </c>
      <c r="B1376" s="198" t="s">
        <v>9036</v>
      </c>
      <c r="C1376" s="198">
        <v>0</v>
      </c>
      <c r="D1376" s="196">
        <v>313</v>
      </c>
      <c r="E1376" s="196">
        <v>52.398000000000003</v>
      </c>
      <c r="F1376" s="196">
        <v>0.22900000000000001</v>
      </c>
      <c r="G1376" s="196">
        <v>10.281000000000001</v>
      </c>
      <c r="H1376" s="196">
        <v>330.11</v>
      </c>
      <c r="I1376" s="196">
        <v>27.611999999999998</v>
      </c>
      <c r="J1376" s="196">
        <v>269.18</v>
      </c>
      <c r="K1376" s="196"/>
      <c r="L1376" s="200">
        <v>1376</v>
      </c>
      <c r="M1376" s="200">
        <v>2</v>
      </c>
      <c r="N1376" s="200">
        <v>8</v>
      </c>
    </row>
    <row r="1377" spans="1:14" x14ac:dyDescent="0.25">
      <c r="A1377" s="198" t="s">
        <v>2763</v>
      </c>
      <c r="B1377" s="198" t="s">
        <v>9037</v>
      </c>
      <c r="C1377" s="198">
        <v>0</v>
      </c>
      <c r="D1377" s="196">
        <v>88</v>
      </c>
      <c r="E1377" s="196">
        <v>52.4</v>
      </c>
      <c r="F1377" s="196">
        <v>0.29299999999999998</v>
      </c>
      <c r="G1377" s="196">
        <v>12.3</v>
      </c>
      <c r="H1377" s="196">
        <v>230.04</v>
      </c>
      <c r="I1377" s="196">
        <v>207.58</v>
      </c>
      <c r="J1377" s="196">
        <v>85.02</v>
      </c>
      <c r="K1377" s="196"/>
      <c r="L1377" s="200">
        <v>1377</v>
      </c>
      <c r="M1377" s="200">
        <v>2</v>
      </c>
      <c r="N1377" s="200">
        <v>8</v>
      </c>
    </row>
    <row r="1378" spans="1:14" x14ac:dyDescent="0.25">
      <c r="A1378" s="198" t="s">
        <v>2763</v>
      </c>
      <c r="B1378" s="198" t="s">
        <v>9038</v>
      </c>
      <c r="C1378" s="198">
        <v>0</v>
      </c>
      <c r="D1378" s="196">
        <v>114</v>
      </c>
      <c r="E1378" s="196">
        <v>52.41</v>
      </c>
      <c r="F1378" s="196">
        <v>0.35299999999999998</v>
      </c>
      <c r="G1378" s="196">
        <v>11.7</v>
      </c>
      <c r="H1378" s="196">
        <v>131</v>
      </c>
      <c r="I1378" s="196">
        <v>57.94</v>
      </c>
      <c r="J1378" s="196">
        <v>9.34</v>
      </c>
      <c r="K1378" s="196"/>
      <c r="L1378" s="200">
        <v>1378</v>
      </c>
      <c r="M1378" s="200">
        <v>2</v>
      </c>
      <c r="N1378" s="200">
        <v>8</v>
      </c>
    </row>
    <row r="1379" spans="1:14" x14ac:dyDescent="0.25">
      <c r="A1379" s="198" t="s">
        <v>2763</v>
      </c>
      <c r="B1379" s="198" t="s">
        <v>9039</v>
      </c>
      <c r="C1379" s="198">
        <v>0</v>
      </c>
      <c r="D1379" s="196">
        <v>91</v>
      </c>
      <c r="E1379" s="196">
        <v>52.534999999999997</v>
      </c>
      <c r="F1379" s="196">
        <v>0.29599999999999999</v>
      </c>
      <c r="G1379" s="196">
        <v>27.33</v>
      </c>
      <c r="H1379" s="196">
        <v>247.61</v>
      </c>
      <c r="I1379" s="196">
        <v>176.42599999999999</v>
      </c>
      <c r="J1379" s="196">
        <v>347.39</v>
      </c>
      <c r="K1379" s="196"/>
      <c r="L1379" s="200">
        <v>1379</v>
      </c>
      <c r="M1379" s="200">
        <v>2</v>
      </c>
      <c r="N1379" s="200">
        <v>8</v>
      </c>
    </row>
    <row r="1380" spans="1:14" x14ac:dyDescent="0.25">
      <c r="A1380" s="198" t="s">
        <v>2763</v>
      </c>
      <c r="B1380" s="198" t="s">
        <v>9040</v>
      </c>
      <c r="C1380" s="198">
        <v>0</v>
      </c>
      <c r="D1380" s="196">
        <v>181</v>
      </c>
      <c r="E1380" s="196">
        <v>52.54</v>
      </c>
      <c r="F1380" s="196">
        <v>0.313</v>
      </c>
      <c r="G1380" s="196">
        <v>28.6</v>
      </c>
      <c r="H1380" s="196">
        <v>12.2</v>
      </c>
      <c r="I1380" s="196">
        <v>207</v>
      </c>
      <c r="J1380" s="196">
        <v>13.2</v>
      </c>
      <c r="K1380" s="196"/>
      <c r="L1380" s="200">
        <v>1380</v>
      </c>
      <c r="M1380" s="200">
        <v>2</v>
      </c>
      <c r="N1380" s="200">
        <v>8</v>
      </c>
    </row>
    <row r="1381" spans="1:14" x14ac:dyDescent="0.25">
      <c r="A1381" s="198" t="s">
        <v>2763</v>
      </c>
      <c r="B1381" s="198" t="s">
        <v>9041</v>
      </c>
      <c r="C1381" s="198">
        <v>1</v>
      </c>
      <c r="D1381" s="196">
        <v>88</v>
      </c>
      <c r="E1381" s="196">
        <v>52.578000000000003</v>
      </c>
      <c r="F1381" s="196">
        <v>0.24</v>
      </c>
      <c r="G1381" s="196">
        <v>0.25</v>
      </c>
      <c r="H1381" s="196">
        <v>84.397000000000006</v>
      </c>
      <c r="I1381" s="196">
        <v>260.00700000000001</v>
      </c>
      <c r="J1381" s="196">
        <v>46.972000000000001</v>
      </c>
      <c r="K1381" s="196"/>
      <c r="L1381" s="200">
        <v>1381</v>
      </c>
      <c r="M1381" s="200">
        <v>2</v>
      </c>
      <c r="N1381" s="200">
        <v>8</v>
      </c>
    </row>
    <row r="1382" spans="1:14" x14ac:dyDescent="0.25">
      <c r="A1382" s="198" t="s">
        <v>32</v>
      </c>
      <c r="B1382" s="198" t="s">
        <v>2803</v>
      </c>
      <c r="C1382" s="198"/>
      <c r="D1382" s="196">
        <v>40</v>
      </c>
      <c r="E1382" s="196"/>
      <c r="F1382" s="196"/>
      <c r="G1382" s="196"/>
      <c r="H1382" s="196"/>
      <c r="I1382" s="196"/>
      <c r="J1382" s="196"/>
      <c r="K1382" s="196"/>
      <c r="L1382" s="200">
        <v>1382</v>
      </c>
      <c r="M1382" s="200">
        <v>3</v>
      </c>
      <c r="N1382" s="200">
        <v>29</v>
      </c>
    </row>
    <row r="1383" spans="1:14" x14ac:dyDescent="0.25">
      <c r="A1383" s="198" t="s">
        <v>2763</v>
      </c>
      <c r="B1383" s="198" t="s">
        <v>9042</v>
      </c>
      <c r="C1383" s="198">
        <v>0</v>
      </c>
      <c r="D1383" s="196">
        <v>95</v>
      </c>
      <c r="E1383" s="196">
        <v>52.78</v>
      </c>
      <c r="F1383" s="196">
        <v>0.318</v>
      </c>
      <c r="G1383" s="196">
        <v>4.8150000000000004</v>
      </c>
      <c r="H1383" s="196">
        <v>173.9</v>
      </c>
      <c r="I1383" s="196">
        <v>165.2</v>
      </c>
      <c r="J1383" s="196">
        <v>13.67</v>
      </c>
      <c r="K1383" s="196"/>
      <c r="L1383" s="200">
        <v>1383</v>
      </c>
      <c r="M1383" s="200">
        <v>2</v>
      </c>
      <c r="N1383" s="200">
        <v>8</v>
      </c>
    </row>
    <row r="1384" spans="1:14" x14ac:dyDescent="0.25">
      <c r="A1384" s="198" t="s">
        <v>2763</v>
      </c>
      <c r="B1384" s="198" t="s">
        <v>9043</v>
      </c>
      <c r="C1384" s="198">
        <v>0</v>
      </c>
      <c r="D1384" s="196">
        <v>106</v>
      </c>
      <c r="E1384" s="196">
        <v>52.9</v>
      </c>
      <c r="F1384" s="196">
        <v>0.26</v>
      </c>
      <c r="G1384" s="196">
        <v>17.18</v>
      </c>
      <c r="H1384" s="196">
        <v>324.3</v>
      </c>
      <c r="I1384" s="196">
        <v>193.38</v>
      </c>
      <c r="J1384" s="196">
        <v>39.72</v>
      </c>
      <c r="K1384" s="196"/>
      <c r="L1384" s="200">
        <v>1384</v>
      </c>
      <c r="M1384" s="200">
        <v>2</v>
      </c>
      <c r="N1384" s="200">
        <v>8</v>
      </c>
    </row>
    <row r="1385" spans="1:14" x14ac:dyDescent="0.25">
      <c r="A1385" s="198" t="s">
        <v>1966</v>
      </c>
      <c r="B1385" s="198" t="s">
        <v>9044</v>
      </c>
      <c r="C1385" s="198">
        <v>0</v>
      </c>
      <c r="D1385" s="196">
        <v>53</v>
      </c>
      <c r="E1385" s="196">
        <v>52.901000000000003</v>
      </c>
      <c r="F1385" s="196">
        <v>0.64500000000000002</v>
      </c>
      <c r="G1385" s="196">
        <v>70.331000000000003</v>
      </c>
      <c r="H1385" s="196">
        <v>293</v>
      </c>
      <c r="I1385" s="196">
        <v>92.064999999999998</v>
      </c>
      <c r="J1385" s="196">
        <v>10.821</v>
      </c>
      <c r="K1385" s="196"/>
      <c r="L1385" s="200">
        <v>1385</v>
      </c>
      <c r="M1385" s="200">
        <v>2</v>
      </c>
      <c r="N1385" s="200">
        <v>6</v>
      </c>
    </row>
    <row r="1386" spans="1:14" x14ac:dyDescent="0.25">
      <c r="A1386" s="198" t="s">
        <v>2763</v>
      </c>
      <c r="B1386" s="198" t="s">
        <v>9045</v>
      </c>
      <c r="C1386" s="198">
        <v>0</v>
      </c>
      <c r="D1386" s="196">
        <v>208</v>
      </c>
      <c r="E1386" s="196">
        <v>53.052999999999997</v>
      </c>
      <c r="F1386" s="196">
        <v>0.22900000000000001</v>
      </c>
      <c r="G1386" s="196">
        <v>34.770000000000003</v>
      </c>
      <c r="H1386" s="196">
        <v>270.7</v>
      </c>
      <c r="I1386" s="196">
        <v>299.24</v>
      </c>
      <c r="J1386" s="196">
        <v>54.3</v>
      </c>
      <c r="K1386" s="196"/>
      <c r="L1386" s="200">
        <v>1386</v>
      </c>
      <c r="M1386" s="200">
        <v>2</v>
      </c>
      <c r="N1386" s="200">
        <v>8</v>
      </c>
    </row>
    <row r="1387" spans="1:14" x14ac:dyDescent="0.25">
      <c r="A1387" s="198" t="s">
        <v>2763</v>
      </c>
      <c r="B1387" s="198" t="s">
        <v>9046</v>
      </c>
      <c r="C1387" s="198">
        <v>0</v>
      </c>
      <c r="D1387" s="196">
        <v>110</v>
      </c>
      <c r="E1387" s="196">
        <v>53.25</v>
      </c>
      <c r="F1387" s="196">
        <v>0.34799999999999998</v>
      </c>
      <c r="G1387" s="196">
        <v>38.82</v>
      </c>
      <c r="H1387" s="196">
        <v>47.74</v>
      </c>
      <c r="I1387" s="196">
        <v>103.59</v>
      </c>
      <c r="J1387" s="196">
        <v>2.76</v>
      </c>
      <c r="K1387" s="196"/>
      <c r="L1387" s="200">
        <v>1387</v>
      </c>
      <c r="M1387" s="200">
        <v>2</v>
      </c>
      <c r="N1387" s="200">
        <v>8</v>
      </c>
    </row>
    <row r="1388" spans="1:14" x14ac:dyDescent="0.25">
      <c r="A1388" s="198" t="s">
        <v>32</v>
      </c>
      <c r="B1388" s="198" t="s">
        <v>4877</v>
      </c>
      <c r="C1388" s="198"/>
      <c r="D1388" s="196">
        <v>92</v>
      </c>
      <c r="E1388" s="196"/>
      <c r="F1388" s="196"/>
      <c r="G1388" s="196"/>
      <c r="H1388" s="196"/>
      <c r="I1388" s="196"/>
      <c r="J1388" s="196"/>
      <c r="K1388" s="196"/>
      <c r="L1388" s="200">
        <v>1388</v>
      </c>
      <c r="M1388" s="200">
        <v>3</v>
      </c>
      <c r="N1388" s="200">
        <v>29</v>
      </c>
    </row>
    <row r="1389" spans="1:14" x14ac:dyDescent="0.25">
      <c r="A1389" s="198" t="s">
        <v>2763</v>
      </c>
      <c r="B1389" s="198" t="s">
        <v>9047</v>
      </c>
      <c r="C1389" s="198">
        <v>0</v>
      </c>
      <c r="D1389" s="196">
        <v>138</v>
      </c>
      <c r="E1389" s="196">
        <v>53.325000000000003</v>
      </c>
      <c r="F1389" s="196">
        <v>0.38600000000000001</v>
      </c>
      <c r="G1389" s="196">
        <v>29.911999999999999</v>
      </c>
      <c r="H1389" s="196">
        <v>8.7100000000000009</v>
      </c>
      <c r="I1389" s="196">
        <v>41.62</v>
      </c>
      <c r="J1389" s="196">
        <v>308.39999999999998</v>
      </c>
      <c r="K1389" s="196"/>
      <c r="L1389" s="200">
        <v>1389</v>
      </c>
      <c r="M1389" s="200">
        <v>2</v>
      </c>
      <c r="N1389" s="200">
        <v>8</v>
      </c>
    </row>
    <row r="1390" spans="1:14" x14ac:dyDescent="0.25">
      <c r="A1390" s="198" t="s">
        <v>2763</v>
      </c>
      <c r="B1390" s="198" t="s">
        <v>9048</v>
      </c>
      <c r="C1390" s="198">
        <v>0</v>
      </c>
      <c r="D1390" s="196">
        <v>103</v>
      </c>
      <c r="E1390" s="196">
        <v>53.325000000000003</v>
      </c>
      <c r="F1390" s="196">
        <v>0.36899999999999999</v>
      </c>
      <c r="G1390" s="196">
        <v>11.72</v>
      </c>
      <c r="H1390" s="196">
        <v>131.16</v>
      </c>
      <c r="I1390" s="196">
        <v>57.94</v>
      </c>
      <c r="J1390" s="196">
        <v>17.16</v>
      </c>
      <c r="K1390" s="196"/>
      <c r="L1390" s="200">
        <v>1390</v>
      </c>
      <c r="M1390" s="200">
        <v>2</v>
      </c>
      <c r="N1390" s="200">
        <v>8</v>
      </c>
    </row>
    <row r="1391" spans="1:14" x14ac:dyDescent="0.25">
      <c r="A1391" s="198" t="s">
        <v>2763</v>
      </c>
      <c r="B1391" s="198" t="s">
        <v>9049</v>
      </c>
      <c r="C1391" s="198">
        <v>0</v>
      </c>
      <c r="D1391" s="196">
        <v>87</v>
      </c>
      <c r="E1391" s="196">
        <v>53.390999999999998</v>
      </c>
      <c r="F1391" s="196">
        <v>0.32800000000000001</v>
      </c>
      <c r="G1391" s="196">
        <v>0.51700000000000002</v>
      </c>
      <c r="H1391" s="196">
        <v>133.36000000000001</v>
      </c>
      <c r="I1391" s="196">
        <v>359.55</v>
      </c>
      <c r="J1391" s="196">
        <v>359.98</v>
      </c>
      <c r="K1391" s="196"/>
      <c r="L1391" s="200">
        <v>1391</v>
      </c>
      <c r="M1391" s="200">
        <v>2</v>
      </c>
      <c r="N1391" s="200">
        <v>8</v>
      </c>
    </row>
    <row r="1392" spans="1:14" x14ac:dyDescent="0.25">
      <c r="A1392" s="198" t="s">
        <v>2763</v>
      </c>
      <c r="B1392" s="198" t="s">
        <v>9050</v>
      </c>
      <c r="C1392" s="198">
        <v>0</v>
      </c>
      <c r="D1392" s="196">
        <v>111</v>
      </c>
      <c r="E1392" s="196">
        <v>53.655000000000001</v>
      </c>
      <c r="F1392" s="196">
        <v>0.32500000000000001</v>
      </c>
      <c r="G1392" s="196">
        <v>27.89</v>
      </c>
      <c r="H1392" s="196">
        <v>241.28</v>
      </c>
      <c r="I1392" s="196">
        <v>7.33</v>
      </c>
      <c r="J1392" s="196">
        <v>336.05</v>
      </c>
      <c r="K1392" s="196"/>
      <c r="L1392" s="200">
        <v>1392</v>
      </c>
      <c r="M1392" s="200">
        <v>2</v>
      </c>
      <c r="N1392" s="200">
        <v>8</v>
      </c>
    </row>
    <row r="1393" spans="1:14" x14ac:dyDescent="0.25">
      <c r="A1393" s="198" t="s">
        <v>2763</v>
      </c>
      <c r="B1393" s="198" t="s">
        <v>9051</v>
      </c>
      <c r="C1393" s="198">
        <v>0</v>
      </c>
      <c r="D1393" s="196">
        <v>147</v>
      </c>
      <c r="E1393" s="196">
        <v>53.68</v>
      </c>
      <c r="F1393" s="196">
        <v>0.33100000000000002</v>
      </c>
      <c r="G1393" s="196">
        <v>11.5</v>
      </c>
      <c r="H1393" s="196">
        <v>34.61</v>
      </c>
      <c r="I1393" s="196">
        <v>157.97999999999999</v>
      </c>
      <c r="J1393" s="196">
        <v>34.32</v>
      </c>
      <c r="K1393" s="196"/>
      <c r="L1393" s="200">
        <v>1393</v>
      </c>
      <c r="M1393" s="200">
        <v>2</v>
      </c>
      <c r="N1393" s="200">
        <v>8</v>
      </c>
    </row>
    <row r="1394" spans="1:14" x14ac:dyDescent="0.25">
      <c r="A1394" s="198" t="s">
        <v>2763</v>
      </c>
      <c r="B1394" s="198" t="s">
        <v>9052</v>
      </c>
      <c r="C1394" s="198">
        <v>0</v>
      </c>
      <c r="D1394" s="196">
        <v>133</v>
      </c>
      <c r="E1394" s="196">
        <v>53.895000000000003</v>
      </c>
      <c r="F1394" s="196">
        <v>0.32700000000000001</v>
      </c>
      <c r="G1394" s="196">
        <v>32.261000000000003</v>
      </c>
      <c r="H1394" s="196">
        <v>65.834000000000003</v>
      </c>
      <c r="I1394" s="196">
        <v>146.447</v>
      </c>
      <c r="J1394" s="196">
        <v>187.505</v>
      </c>
      <c r="K1394" s="196"/>
      <c r="L1394" s="200">
        <v>1394</v>
      </c>
      <c r="M1394" s="200">
        <v>2</v>
      </c>
      <c r="N1394" s="200">
        <v>8</v>
      </c>
    </row>
    <row r="1395" spans="1:14" x14ac:dyDescent="0.25">
      <c r="A1395" s="198" t="s">
        <v>2763</v>
      </c>
      <c r="B1395" s="198" t="s">
        <v>9053</v>
      </c>
      <c r="C1395" s="198">
        <v>0</v>
      </c>
      <c r="D1395" s="196">
        <v>106</v>
      </c>
      <c r="E1395" s="196">
        <v>53.9</v>
      </c>
      <c r="F1395" s="196">
        <v>0.29099999999999998</v>
      </c>
      <c r="G1395" s="196">
        <v>4.49</v>
      </c>
      <c r="H1395" s="196">
        <v>20</v>
      </c>
      <c r="I1395" s="196">
        <v>22.3</v>
      </c>
      <c r="J1395" s="196">
        <v>147</v>
      </c>
      <c r="K1395" s="196"/>
      <c r="L1395" s="200">
        <v>1395</v>
      </c>
      <c r="M1395" s="200">
        <v>2</v>
      </c>
      <c r="N1395" s="200">
        <v>8</v>
      </c>
    </row>
    <row r="1396" spans="1:14" x14ac:dyDescent="0.25">
      <c r="A1396" s="198" t="s">
        <v>2763</v>
      </c>
      <c r="B1396" s="198" t="s">
        <v>9054</v>
      </c>
      <c r="C1396" s="198">
        <v>0</v>
      </c>
      <c r="D1396" s="196">
        <v>133</v>
      </c>
      <c r="E1396" s="196">
        <v>54.06</v>
      </c>
      <c r="F1396" s="196">
        <v>0.33900000000000002</v>
      </c>
      <c r="G1396" s="196">
        <v>18.440000000000001</v>
      </c>
      <c r="H1396" s="196">
        <v>147</v>
      </c>
      <c r="I1396" s="196">
        <v>127</v>
      </c>
      <c r="J1396" s="196">
        <v>26.8</v>
      </c>
      <c r="K1396" s="196"/>
      <c r="L1396" s="200">
        <v>1396</v>
      </c>
      <c r="M1396" s="200">
        <v>2</v>
      </c>
      <c r="N1396" s="200">
        <v>8</v>
      </c>
    </row>
    <row r="1397" spans="1:14" x14ac:dyDescent="0.25">
      <c r="A1397" s="198" t="s">
        <v>2763</v>
      </c>
      <c r="B1397" s="198" t="s">
        <v>9055</v>
      </c>
      <c r="C1397" s="198">
        <v>0</v>
      </c>
      <c r="D1397" s="196">
        <v>138</v>
      </c>
      <c r="E1397" s="196">
        <v>54.125</v>
      </c>
      <c r="F1397" s="196">
        <v>0.28599999999999998</v>
      </c>
      <c r="G1397" s="196">
        <v>23</v>
      </c>
      <c r="H1397" s="196">
        <v>327.8</v>
      </c>
      <c r="I1397" s="196">
        <v>332.1</v>
      </c>
      <c r="J1397" s="196">
        <v>271.8</v>
      </c>
      <c r="K1397" s="196"/>
      <c r="L1397" s="200">
        <v>1397</v>
      </c>
      <c r="M1397" s="200">
        <v>2</v>
      </c>
      <c r="N1397" s="200">
        <v>8</v>
      </c>
    </row>
    <row r="1398" spans="1:14" x14ac:dyDescent="0.25">
      <c r="A1398" s="198" t="s">
        <v>2763</v>
      </c>
      <c r="B1398" s="198" t="s">
        <v>9056</v>
      </c>
      <c r="C1398" s="198">
        <v>0</v>
      </c>
      <c r="D1398" s="196">
        <v>146</v>
      </c>
      <c r="E1398" s="196">
        <v>54.14</v>
      </c>
      <c r="F1398" s="196">
        <v>0.33600000000000002</v>
      </c>
      <c r="G1398" s="196">
        <v>32.610999999999997</v>
      </c>
      <c r="H1398" s="196">
        <v>112.24</v>
      </c>
      <c r="I1398" s="196">
        <v>323.52</v>
      </c>
      <c r="J1398" s="196">
        <v>42.7</v>
      </c>
      <c r="K1398" s="196"/>
      <c r="L1398" s="200">
        <v>1398</v>
      </c>
      <c r="M1398" s="200">
        <v>2</v>
      </c>
      <c r="N1398" s="200">
        <v>8</v>
      </c>
    </row>
    <row r="1399" spans="1:14" x14ac:dyDescent="0.25">
      <c r="A1399" s="198" t="s">
        <v>1966</v>
      </c>
      <c r="B1399" s="198" t="s">
        <v>9057</v>
      </c>
      <c r="C1399" s="198">
        <v>0</v>
      </c>
      <c r="D1399" s="196">
        <v>176</v>
      </c>
      <c r="E1399" s="196">
        <v>54.23</v>
      </c>
      <c r="F1399" s="196">
        <v>0.35899999999999999</v>
      </c>
      <c r="G1399" s="196">
        <v>18.908999999999999</v>
      </c>
      <c r="H1399" s="196">
        <v>100.14</v>
      </c>
      <c r="I1399" s="196">
        <v>243.26</v>
      </c>
      <c r="J1399" s="196">
        <v>160</v>
      </c>
      <c r="K1399" s="196"/>
      <c r="L1399" s="200">
        <v>1399</v>
      </c>
      <c r="M1399" s="200">
        <v>2</v>
      </c>
      <c r="N1399" s="200">
        <v>6</v>
      </c>
    </row>
    <row r="1400" spans="1:14" x14ac:dyDescent="0.25">
      <c r="A1400" s="198" t="s">
        <v>2763</v>
      </c>
      <c r="B1400" s="198" t="s">
        <v>9058</v>
      </c>
      <c r="C1400" s="198">
        <v>0</v>
      </c>
      <c r="D1400" s="196">
        <v>106</v>
      </c>
      <c r="E1400" s="196">
        <v>54.28</v>
      </c>
      <c r="F1400" s="196">
        <v>0.24199999999999999</v>
      </c>
      <c r="G1400" s="196">
        <v>26.09</v>
      </c>
      <c r="H1400" s="196">
        <v>56.02</v>
      </c>
      <c r="I1400" s="196">
        <v>134.63</v>
      </c>
      <c r="J1400" s="196">
        <v>335.45</v>
      </c>
      <c r="K1400" s="196"/>
      <c r="L1400" s="200">
        <v>1400</v>
      </c>
      <c r="M1400" s="200">
        <v>2</v>
      </c>
      <c r="N1400" s="200">
        <v>8</v>
      </c>
    </row>
    <row r="1401" spans="1:14" x14ac:dyDescent="0.25">
      <c r="A1401" s="198" t="s">
        <v>2763</v>
      </c>
      <c r="B1401" s="198" t="s">
        <v>9059</v>
      </c>
      <c r="C1401" s="198">
        <v>0</v>
      </c>
      <c r="D1401" s="196">
        <v>107</v>
      </c>
      <c r="E1401" s="196">
        <v>54.243000000000002</v>
      </c>
      <c r="F1401" s="196">
        <v>0.317</v>
      </c>
      <c r="G1401" s="196">
        <v>13.047000000000001</v>
      </c>
      <c r="H1401" s="196">
        <v>108.4</v>
      </c>
      <c r="I1401" s="196">
        <v>243.58</v>
      </c>
      <c r="J1401" s="196">
        <v>24.58</v>
      </c>
      <c r="K1401" s="196"/>
      <c r="L1401" s="200">
        <v>1401</v>
      </c>
      <c r="M1401" s="200">
        <v>2</v>
      </c>
      <c r="N1401" s="200">
        <v>8</v>
      </c>
    </row>
    <row r="1402" spans="1:14" x14ac:dyDescent="0.25">
      <c r="A1402" s="198" t="s">
        <v>2763</v>
      </c>
      <c r="B1402" s="198" t="s">
        <v>9060</v>
      </c>
      <c r="C1402" s="198">
        <v>0</v>
      </c>
      <c r="D1402" s="196">
        <v>92</v>
      </c>
      <c r="E1402" s="196">
        <v>54.296999999999997</v>
      </c>
      <c r="F1402" s="196">
        <v>0.36899999999999999</v>
      </c>
      <c r="G1402" s="196">
        <v>30.42</v>
      </c>
      <c r="H1402" s="196">
        <v>243.03</v>
      </c>
      <c r="I1402" s="196">
        <v>95.933999999999997</v>
      </c>
      <c r="J1402" s="196">
        <v>34.840000000000003</v>
      </c>
      <c r="K1402" s="196"/>
      <c r="L1402" s="200">
        <v>1402</v>
      </c>
      <c r="M1402" s="200">
        <v>2</v>
      </c>
      <c r="N1402" s="200">
        <v>8</v>
      </c>
    </row>
    <row r="1403" spans="1:14" x14ac:dyDescent="0.25">
      <c r="A1403" s="198" t="s">
        <v>2763</v>
      </c>
      <c r="B1403" s="198" t="s">
        <v>9061</v>
      </c>
      <c r="C1403" s="198">
        <v>0</v>
      </c>
      <c r="D1403" s="196">
        <v>161</v>
      </c>
      <c r="E1403" s="196">
        <v>54.3</v>
      </c>
      <c r="F1403" s="196">
        <v>0.33200000000000002</v>
      </c>
      <c r="G1403" s="196">
        <v>17.739999999999998</v>
      </c>
      <c r="H1403" s="196">
        <v>37.99</v>
      </c>
      <c r="I1403" s="196">
        <v>187.49</v>
      </c>
      <c r="J1403" s="196">
        <v>311.51</v>
      </c>
      <c r="K1403" s="196"/>
      <c r="L1403" s="200">
        <v>1403</v>
      </c>
      <c r="M1403" s="200">
        <v>2</v>
      </c>
      <c r="N1403" s="200">
        <v>8</v>
      </c>
    </row>
    <row r="1404" spans="1:14" x14ac:dyDescent="0.25">
      <c r="A1404" s="198" t="s">
        <v>2763</v>
      </c>
      <c r="B1404" s="198" t="s">
        <v>9062</v>
      </c>
      <c r="C1404" s="198">
        <v>0</v>
      </c>
      <c r="D1404" s="196">
        <v>145</v>
      </c>
      <c r="E1404" s="196">
        <v>54.32</v>
      </c>
      <c r="F1404" s="196">
        <v>0.27900000000000003</v>
      </c>
      <c r="G1404" s="196">
        <v>18.7</v>
      </c>
      <c r="H1404" s="196">
        <v>101.92</v>
      </c>
      <c r="I1404" s="196">
        <v>337.00700000000001</v>
      </c>
      <c r="J1404" s="196">
        <v>39.94</v>
      </c>
      <c r="K1404" s="196"/>
      <c r="L1404" s="200">
        <v>1404</v>
      </c>
      <c r="M1404" s="200">
        <v>2</v>
      </c>
      <c r="N1404" s="200">
        <v>8</v>
      </c>
    </row>
    <row r="1405" spans="1:14" x14ac:dyDescent="0.25">
      <c r="A1405" s="198" t="s">
        <v>2763</v>
      </c>
      <c r="B1405" s="198" t="s">
        <v>9063</v>
      </c>
      <c r="C1405" s="198">
        <v>0</v>
      </c>
      <c r="D1405" s="196">
        <v>121</v>
      </c>
      <c r="E1405" s="196">
        <v>54.38</v>
      </c>
      <c r="F1405" s="196">
        <v>0.35099999999999998</v>
      </c>
      <c r="G1405" s="196">
        <v>15.69</v>
      </c>
      <c r="H1405" s="196">
        <v>152.02000000000001</v>
      </c>
      <c r="I1405" s="196">
        <v>147.49</v>
      </c>
      <c r="J1405" s="196">
        <v>316.99</v>
      </c>
      <c r="K1405" s="196"/>
      <c r="L1405" s="200">
        <v>1405</v>
      </c>
      <c r="M1405" s="200">
        <v>2</v>
      </c>
      <c r="N1405" s="200">
        <v>8</v>
      </c>
    </row>
    <row r="1406" spans="1:14" x14ac:dyDescent="0.25">
      <c r="A1406" s="198" t="s">
        <v>2763</v>
      </c>
      <c r="B1406" s="198" t="s">
        <v>9064</v>
      </c>
      <c r="C1406" s="198">
        <v>0</v>
      </c>
      <c r="D1406" s="196">
        <v>133</v>
      </c>
      <c r="E1406" s="196">
        <v>54.7</v>
      </c>
      <c r="F1406" s="196">
        <v>0.33500000000000002</v>
      </c>
      <c r="G1406" s="196">
        <v>7.0229999999999997</v>
      </c>
      <c r="H1406" s="196">
        <v>0.26</v>
      </c>
      <c r="I1406" s="196">
        <v>245.99</v>
      </c>
      <c r="J1406" s="196">
        <v>113.7</v>
      </c>
      <c r="K1406" s="196"/>
      <c r="L1406" s="200">
        <v>1406</v>
      </c>
      <c r="M1406" s="200">
        <v>2</v>
      </c>
      <c r="N1406" s="200">
        <v>8</v>
      </c>
    </row>
    <row r="1407" spans="1:14" x14ac:dyDescent="0.25">
      <c r="A1407" s="198" t="s">
        <v>2763</v>
      </c>
      <c r="B1407" s="198" t="s">
        <v>9065</v>
      </c>
      <c r="C1407" s="198">
        <v>0</v>
      </c>
      <c r="D1407" s="196">
        <v>121</v>
      </c>
      <c r="E1407" s="196">
        <v>54.86</v>
      </c>
      <c r="F1407" s="196">
        <v>0.374</v>
      </c>
      <c r="G1407" s="196">
        <v>14.384</v>
      </c>
      <c r="H1407" s="196">
        <v>341.72</v>
      </c>
      <c r="I1407" s="196">
        <v>228.46</v>
      </c>
      <c r="J1407" s="196">
        <v>336.58</v>
      </c>
      <c r="K1407" s="196"/>
      <c r="L1407" s="200">
        <v>1407</v>
      </c>
      <c r="M1407" s="200">
        <v>2</v>
      </c>
      <c r="N1407" s="200">
        <v>8</v>
      </c>
    </row>
    <row r="1408" spans="1:14" x14ac:dyDescent="0.25">
      <c r="A1408" s="198" t="s">
        <v>2763</v>
      </c>
      <c r="B1408" s="198" t="s">
        <v>9066</v>
      </c>
      <c r="C1408" s="198">
        <v>0</v>
      </c>
      <c r="D1408" s="196">
        <v>83</v>
      </c>
      <c r="E1408" s="196">
        <v>54.9</v>
      </c>
      <c r="F1408" s="196">
        <v>0.42699999999999999</v>
      </c>
      <c r="G1408" s="196">
        <v>9.4700000000000006</v>
      </c>
      <c r="H1408" s="196">
        <v>309.2</v>
      </c>
      <c r="I1408" s="196">
        <v>20.82</v>
      </c>
      <c r="J1408" s="196">
        <v>44.04</v>
      </c>
      <c r="K1408" s="196"/>
      <c r="L1408" s="200">
        <v>1408</v>
      </c>
      <c r="M1408" s="200">
        <v>2</v>
      </c>
      <c r="N1408" s="200">
        <v>8</v>
      </c>
    </row>
    <row r="1409" spans="1:14" x14ac:dyDescent="0.25">
      <c r="A1409" s="198" t="s">
        <v>2763</v>
      </c>
      <c r="B1409" s="198" t="s">
        <v>9067</v>
      </c>
      <c r="C1409" s="198">
        <v>0</v>
      </c>
      <c r="D1409" s="196">
        <v>102</v>
      </c>
      <c r="E1409" s="196">
        <v>54.918999999999997</v>
      </c>
      <c r="F1409" s="196">
        <v>0.27300000000000002</v>
      </c>
      <c r="G1409" s="196">
        <v>17.349</v>
      </c>
      <c r="H1409" s="196">
        <v>334.85500000000002</v>
      </c>
      <c r="I1409" s="196">
        <v>115.413</v>
      </c>
      <c r="J1409" s="196">
        <v>271.99700000000001</v>
      </c>
      <c r="K1409" s="196"/>
      <c r="L1409" s="200">
        <v>1409</v>
      </c>
      <c r="M1409" s="200">
        <v>2</v>
      </c>
      <c r="N1409" s="200">
        <v>8</v>
      </c>
    </row>
    <row r="1410" spans="1:14" x14ac:dyDescent="0.25">
      <c r="A1410" s="198" t="s">
        <v>2763</v>
      </c>
      <c r="B1410" s="198" t="s">
        <v>9068</v>
      </c>
      <c r="C1410" s="198">
        <v>0</v>
      </c>
      <c r="D1410" s="196">
        <v>121</v>
      </c>
      <c r="E1410" s="196">
        <v>55</v>
      </c>
      <c r="F1410" s="196">
        <v>0.314</v>
      </c>
      <c r="G1410" s="196">
        <v>27.05</v>
      </c>
      <c r="H1410" s="196">
        <v>37</v>
      </c>
      <c r="I1410" s="196">
        <v>202.2</v>
      </c>
      <c r="J1410" s="196">
        <v>321</v>
      </c>
      <c r="K1410" s="196"/>
      <c r="L1410" s="200">
        <v>1410</v>
      </c>
      <c r="M1410" s="200">
        <v>2</v>
      </c>
      <c r="N1410" s="200">
        <v>8</v>
      </c>
    </row>
    <row r="1411" spans="1:14" x14ac:dyDescent="0.25">
      <c r="A1411" s="198" t="s">
        <v>2763</v>
      </c>
      <c r="B1411" s="198" t="s">
        <v>9069</v>
      </c>
      <c r="C1411" s="198">
        <v>0</v>
      </c>
      <c r="D1411" s="196">
        <v>114</v>
      </c>
      <c r="E1411" s="196">
        <v>55.02</v>
      </c>
      <c r="F1411" s="196">
        <v>0.35599999999999998</v>
      </c>
      <c r="G1411" s="196">
        <v>12.907</v>
      </c>
      <c r="H1411" s="196">
        <v>179.6</v>
      </c>
      <c r="I1411" s="196">
        <v>57.832999999999998</v>
      </c>
      <c r="J1411" s="196">
        <v>12.6</v>
      </c>
      <c r="K1411" s="196"/>
      <c r="L1411" s="200">
        <v>1411</v>
      </c>
      <c r="M1411" s="200">
        <v>2</v>
      </c>
      <c r="N1411" s="200">
        <v>8</v>
      </c>
    </row>
    <row r="1412" spans="1:14" x14ac:dyDescent="0.25">
      <c r="A1412" s="198" t="s">
        <v>2763</v>
      </c>
      <c r="B1412" s="198" t="s">
        <v>9070</v>
      </c>
      <c r="C1412" s="198">
        <v>0</v>
      </c>
      <c r="D1412" s="196">
        <v>136</v>
      </c>
      <c r="E1412" s="196">
        <v>55.1</v>
      </c>
      <c r="F1412" s="196">
        <v>0.28999999999999998</v>
      </c>
      <c r="G1412" s="196">
        <v>22.5</v>
      </c>
      <c r="H1412" s="196">
        <v>130.19999999999999</v>
      </c>
      <c r="I1412" s="196">
        <v>104.24</v>
      </c>
      <c r="J1412" s="196">
        <v>44</v>
      </c>
      <c r="K1412" s="196"/>
      <c r="L1412" s="200">
        <v>1412</v>
      </c>
      <c r="M1412" s="200">
        <v>2</v>
      </c>
      <c r="N1412" s="200">
        <v>8</v>
      </c>
    </row>
    <row r="1413" spans="1:14" x14ac:dyDescent="0.25">
      <c r="A1413" s="198" t="s">
        <v>2763</v>
      </c>
      <c r="B1413" s="198" t="s">
        <v>9071</v>
      </c>
      <c r="C1413" s="198">
        <v>0</v>
      </c>
      <c r="D1413" s="196">
        <v>129</v>
      </c>
      <c r="E1413" s="196">
        <v>55.13</v>
      </c>
      <c r="F1413" s="196">
        <v>0.34599999999999997</v>
      </c>
      <c r="G1413" s="196">
        <v>10.388</v>
      </c>
      <c r="H1413" s="196">
        <v>95.13</v>
      </c>
      <c r="I1413" s="196">
        <v>120.595</v>
      </c>
      <c r="J1413" s="196">
        <v>317.39999999999998</v>
      </c>
      <c r="K1413" s="196"/>
      <c r="L1413" s="200">
        <v>1413</v>
      </c>
      <c r="M1413" s="200">
        <v>2</v>
      </c>
      <c r="N1413" s="200">
        <v>8</v>
      </c>
    </row>
    <row r="1414" spans="1:14" x14ac:dyDescent="0.25">
      <c r="A1414" s="198" t="s">
        <v>2763</v>
      </c>
      <c r="B1414" s="198" t="s">
        <v>9072</v>
      </c>
      <c r="C1414" s="198">
        <v>0</v>
      </c>
      <c r="D1414" s="196">
        <v>110</v>
      </c>
      <c r="E1414" s="196">
        <v>55.13</v>
      </c>
      <c r="F1414" s="196">
        <v>0.41299999999999998</v>
      </c>
      <c r="G1414" s="196">
        <v>8.9009999999999998</v>
      </c>
      <c r="H1414" s="196">
        <v>25.1</v>
      </c>
      <c r="I1414" s="196">
        <v>257.49</v>
      </c>
      <c r="J1414" s="196">
        <v>288</v>
      </c>
      <c r="K1414" s="196"/>
      <c r="L1414" s="200">
        <v>1414</v>
      </c>
      <c r="M1414" s="200">
        <v>2</v>
      </c>
      <c r="N1414" s="200">
        <v>8</v>
      </c>
    </row>
    <row r="1415" spans="1:14" x14ac:dyDescent="0.25">
      <c r="A1415" s="198" t="s">
        <v>2763</v>
      </c>
      <c r="B1415" s="198" t="s">
        <v>9073</v>
      </c>
      <c r="C1415" s="198">
        <v>0</v>
      </c>
      <c r="D1415" s="196">
        <v>224</v>
      </c>
      <c r="E1415" s="196">
        <v>55.137</v>
      </c>
      <c r="F1415" s="196">
        <v>0.25</v>
      </c>
      <c r="G1415" s="196">
        <v>26.719000000000001</v>
      </c>
      <c r="H1415" s="196">
        <v>158.18</v>
      </c>
      <c r="I1415" s="196">
        <v>22.123999999999999</v>
      </c>
      <c r="J1415" s="196">
        <v>335.33</v>
      </c>
      <c r="K1415" s="196"/>
      <c r="L1415" s="200">
        <v>1415</v>
      </c>
      <c r="M1415" s="200">
        <v>2</v>
      </c>
      <c r="N1415" s="200">
        <v>8</v>
      </c>
    </row>
    <row r="1416" spans="1:14" x14ac:dyDescent="0.25">
      <c r="A1416" s="198" t="s">
        <v>2763</v>
      </c>
      <c r="B1416" s="198" t="s">
        <v>9074</v>
      </c>
      <c r="C1416" s="198">
        <v>0</v>
      </c>
      <c r="D1416" s="196">
        <v>111</v>
      </c>
      <c r="E1416" s="196">
        <v>55.244</v>
      </c>
      <c r="F1416" s="196">
        <v>0.26800000000000002</v>
      </c>
      <c r="G1416" s="196">
        <v>24.186</v>
      </c>
      <c r="H1416" s="196">
        <v>129.31800000000001</v>
      </c>
      <c r="I1416" s="196">
        <v>222.64599999999999</v>
      </c>
      <c r="J1416" s="196">
        <v>216.9</v>
      </c>
      <c r="K1416" s="196"/>
      <c r="L1416" s="200">
        <v>1416</v>
      </c>
      <c r="M1416" s="200">
        <v>2</v>
      </c>
      <c r="N1416" s="200">
        <v>8</v>
      </c>
    </row>
    <row r="1417" spans="1:14" x14ac:dyDescent="0.25">
      <c r="A1417" s="198" t="s">
        <v>2763</v>
      </c>
      <c r="B1417" s="198" t="s">
        <v>9075</v>
      </c>
      <c r="C1417" s="198">
        <v>0</v>
      </c>
      <c r="D1417" s="196">
        <v>279</v>
      </c>
      <c r="E1417" s="196">
        <v>55.274999999999999</v>
      </c>
      <c r="F1417" s="196">
        <v>0.29099999999999998</v>
      </c>
      <c r="G1417" s="196">
        <v>34.993000000000002</v>
      </c>
      <c r="H1417" s="196">
        <v>86.311999999999998</v>
      </c>
      <c r="I1417" s="196">
        <v>23.800999999999998</v>
      </c>
      <c r="J1417" s="196">
        <v>327.19</v>
      </c>
      <c r="K1417" s="196"/>
      <c r="L1417" s="200">
        <v>1417</v>
      </c>
      <c r="M1417" s="200">
        <v>2</v>
      </c>
      <c r="N1417" s="200">
        <v>8</v>
      </c>
    </row>
    <row r="1418" spans="1:14" x14ac:dyDescent="0.25">
      <c r="A1418" s="198" t="s">
        <v>2763</v>
      </c>
      <c r="B1418" s="198" t="s">
        <v>9076</v>
      </c>
      <c r="C1418" s="198">
        <v>0</v>
      </c>
      <c r="D1418" s="196">
        <v>239</v>
      </c>
      <c r="E1418" s="196">
        <v>55.286999999999999</v>
      </c>
      <c r="F1418" s="196">
        <v>0.185</v>
      </c>
      <c r="G1418" s="196">
        <v>40.597999999999999</v>
      </c>
      <c r="H1418" s="196">
        <v>32.314999999999998</v>
      </c>
      <c r="I1418" s="196">
        <v>91.305999999999997</v>
      </c>
      <c r="J1418" s="196">
        <v>41.383000000000003</v>
      </c>
      <c r="K1418" s="196"/>
      <c r="L1418" s="200">
        <v>1418</v>
      </c>
      <c r="M1418" s="200">
        <v>2</v>
      </c>
      <c r="N1418" s="200">
        <v>8</v>
      </c>
    </row>
    <row r="1419" spans="1:14" x14ac:dyDescent="0.25">
      <c r="A1419" s="198" t="s">
        <v>2763</v>
      </c>
      <c r="B1419" s="198" t="s">
        <v>9077</v>
      </c>
      <c r="C1419" s="198">
        <v>0</v>
      </c>
      <c r="D1419" s="196">
        <v>91</v>
      </c>
      <c r="E1419" s="196">
        <v>55.4</v>
      </c>
      <c r="F1419" s="196">
        <v>0.57099999999999995</v>
      </c>
      <c r="G1419" s="196">
        <v>19.681000000000001</v>
      </c>
      <c r="H1419" s="196">
        <v>200.05</v>
      </c>
      <c r="I1419" s="196">
        <v>303.39999999999998</v>
      </c>
      <c r="J1419" s="196">
        <v>1.748</v>
      </c>
      <c r="K1419" s="196"/>
      <c r="L1419" s="200">
        <v>1419</v>
      </c>
      <c r="M1419" s="200">
        <v>2</v>
      </c>
      <c r="N1419" s="200">
        <v>8</v>
      </c>
    </row>
    <row r="1420" spans="1:14" x14ac:dyDescent="0.25">
      <c r="A1420" s="198" t="s">
        <v>2763</v>
      </c>
      <c r="B1420" s="198" t="s">
        <v>9078</v>
      </c>
      <c r="C1420" s="198">
        <v>0</v>
      </c>
      <c r="D1420" s="196">
        <v>132</v>
      </c>
      <c r="E1420" s="196">
        <v>55.445999999999998</v>
      </c>
      <c r="F1420" s="196">
        <v>0.32800000000000001</v>
      </c>
      <c r="G1420" s="196">
        <v>46.81</v>
      </c>
      <c r="H1420" s="196">
        <v>97.53</v>
      </c>
      <c r="I1420" s="196">
        <v>24.835999999999999</v>
      </c>
      <c r="J1420" s="196">
        <v>18.061</v>
      </c>
      <c r="K1420" s="196"/>
      <c r="L1420" s="200">
        <v>1420</v>
      </c>
      <c r="M1420" s="200">
        <v>2</v>
      </c>
      <c r="N1420" s="200">
        <v>8</v>
      </c>
    </row>
    <row r="1421" spans="1:14" x14ac:dyDescent="0.25">
      <c r="A1421" s="198" t="s">
        <v>2763</v>
      </c>
      <c r="B1421" s="198" t="s">
        <v>9079</v>
      </c>
      <c r="C1421" s="198">
        <v>0</v>
      </c>
      <c r="D1421" s="196">
        <v>127</v>
      </c>
      <c r="E1421" s="196">
        <v>55.456000000000003</v>
      </c>
      <c r="F1421" s="196">
        <v>0.38400000000000001</v>
      </c>
      <c r="G1421" s="196">
        <v>4.7119999999999997</v>
      </c>
      <c r="H1421" s="196">
        <v>135.202</v>
      </c>
      <c r="I1421" s="196">
        <v>290.95299999999997</v>
      </c>
      <c r="J1421" s="196">
        <v>78.721000000000004</v>
      </c>
      <c r="K1421" s="196"/>
      <c r="L1421" s="200">
        <v>1421</v>
      </c>
      <c r="M1421" s="200">
        <v>2</v>
      </c>
      <c r="N1421" s="200">
        <v>8</v>
      </c>
    </row>
    <row r="1422" spans="1:14" x14ac:dyDescent="0.25">
      <c r="A1422" s="198" t="s">
        <v>2763</v>
      </c>
      <c r="B1422" s="198" t="s">
        <v>9080</v>
      </c>
      <c r="C1422" s="198">
        <v>0</v>
      </c>
      <c r="D1422" s="196">
        <v>100</v>
      </c>
      <c r="E1422" s="196">
        <v>55.465000000000003</v>
      </c>
      <c r="F1422" s="196">
        <v>0.40400000000000003</v>
      </c>
      <c r="G1422" s="196">
        <v>3.38</v>
      </c>
      <c r="H1422" s="196">
        <v>148.41999999999999</v>
      </c>
      <c r="I1422" s="196">
        <v>336.1</v>
      </c>
      <c r="J1422" s="196">
        <v>339.63</v>
      </c>
      <c r="K1422" s="196"/>
      <c r="L1422" s="200">
        <v>1422</v>
      </c>
      <c r="M1422" s="200">
        <v>2</v>
      </c>
      <c r="N1422" s="200">
        <v>8</v>
      </c>
    </row>
    <row r="1423" spans="1:14" x14ac:dyDescent="0.25">
      <c r="A1423" s="198" t="s">
        <v>1966</v>
      </c>
      <c r="B1423" s="198" t="s">
        <v>9081</v>
      </c>
      <c r="C1423" s="198">
        <v>0</v>
      </c>
      <c r="D1423" s="196">
        <v>105</v>
      </c>
      <c r="E1423" s="196">
        <v>55.48</v>
      </c>
      <c r="F1423" s="196">
        <v>0.41699999999999998</v>
      </c>
      <c r="G1423" s="196">
        <v>3.05</v>
      </c>
      <c r="H1423" s="196">
        <v>68.09</v>
      </c>
      <c r="I1423" s="196">
        <v>248.63</v>
      </c>
      <c r="J1423" s="196">
        <v>105.6</v>
      </c>
      <c r="K1423" s="196"/>
      <c r="L1423" s="200">
        <v>1423</v>
      </c>
      <c r="M1423" s="200">
        <v>2</v>
      </c>
      <c r="N1423" s="200">
        <v>6</v>
      </c>
    </row>
    <row r="1424" spans="1:14" x14ac:dyDescent="0.25">
      <c r="A1424" s="198" t="s">
        <v>2763</v>
      </c>
      <c r="B1424" s="198" t="s">
        <v>9082</v>
      </c>
      <c r="C1424" s="198">
        <v>0</v>
      </c>
      <c r="D1424" s="196">
        <v>152</v>
      </c>
      <c r="E1424" s="196">
        <v>55.5</v>
      </c>
      <c r="F1424" s="196">
        <v>0.41199999999999998</v>
      </c>
      <c r="G1424" s="196">
        <v>8.3070000000000004</v>
      </c>
      <c r="H1424" s="196">
        <v>164</v>
      </c>
      <c r="I1424" s="196">
        <v>188.6</v>
      </c>
      <c r="J1424" s="196">
        <v>243</v>
      </c>
      <c r="K1424" s="196"/>
      <c r="L1424" s="200">
        <v>1424</v>
      </c>
      <c r="M1424" s="200">
        <v>2</v>
      </c>
      <c r="N1424" s="200">
        <v>8</v>
      </c>
    </row>
    <row r="1425" spans="1:14" x14ac:dyDescent="0.25">
      <c r="A1425" s="198" t="s">
        <v>2763</v>
      </c>
      <c r="B1425" s="198" t="s">
        <v>9083</v>
      </c>
      <c r="C1425" s="198">
        <v>0</v>
      </c>
      <c r="D1425" s="196">
        <v>156</v>
      </c>
      <c r="E1425" s="196">
        <v>55.51</v>
      </c>
      <c r="F1425" s="196">
        <v>0.375</v>
      </c>
      <c r="G1425" s="196">
        <v>8.89</v>
      </c>
      <c r="H1425" s="196">
        <v>270.14999999999998</v>
      </c>
      <c r="I1425" s="196">
        <v>161.9</v>
      </c>
      <c r="J1425" s="196">
        <v>28.23</v>
      </c>
      <c r="K1425" s="196"/>
      <c r="L1425" s="200">
        <v>1425</v>
      </c>
      <c r="M1425" s="200">
        <v>2</v>
      </c>
      <c r="N1425" s="200">
        <v>8</v>
      </c>
    </row>
    <row r="1426" spans="1:14" x14ac:dyDescent="0.25">
      <c r="A1426" s="198" t="s">
        <v>2763</v>
      </c>
      <c r="B1426" s="198" t="s">
        <v>9084</v>
      </c>
      <c r="C1426" s="198">
        <v>0</v>
      </c>
      <c r="D1426" s="196">
        <v>141</v>
      </c>
      <c r="E1426" s="196">
        <v>55.569000000000003</v>
      </c>
      <c r="F1426" s="196">
        <v>0.41499999999999998</v>
      </c>
      <c r="G1426" s="196">
        <v>7.53</v>
      </c>
      <c r="H1426" s="196">
        <v>112.652</v>
      </c>
      <c r="I1426" s="196">
        <v>265.25700000000001</v>
      </c>
      <c r="J1426" s="196">
        <v>8.7629999999999999</v>
      </c>
      <c r="K1426" s="196"/>
      <c r="L1426" s="200">
        <v>1426</v>
      </c>
      <c r="M1426" s="200">
        <v>2</v>
      </c>
      <c r="N1426" s="200">
        <v>8</v>
      </c>
    </row>
    <row r="1427" spans="1:14" x14ac:dyDescent="0.25">
      <c r="A1427" s="198" t="s">
        <v>2763</v>
      </c>
      <c r="B1427" s="198" t="s">
        <v>9085</v>
      </c>
      <c r="C1427" s="198">
        <v>0</v>
      </c>
      <c r="D1427" s="196">
        <v>143</v>
      </c>
      <c r="E1427" s="196">
        <v>55.58</v>
      </c>
      <c r="F1427" s="196">
        <v>0.28100000000000003</v>
      </c>
      <c r="G1427" s="196">
        <v>17.850000000000001</v>
      </c>
      <c r="H1427" s="196">
        <v>218.8</v>
      </c>
      <c r="I1427" s="196">
        <v>152.69999999999999</v>
      </c>
      <c r="J1427" s="196">
        <v>24.9</v>
      </c>
      <c r="K1427" s="196"/>
      <c r="L1427" s="200">
        <v>1427</v>
      </c>
      <c r="M1427" s="200">
        <v>2</v>
      </c>
      <c r="N1427" s="200">
        <v>8</v>
      </c>
    </row>
    <row r="1428" spans="1:14" x14ac:dyDescent="0.25">
      <c r="A1428" s="198" t="s">
        <v>2763</v>
      </c>
      <c r="B1428" s="198" t="s">
        <v>9086</v>
      </c>
      <c r="C1428" s="198">
        <v>0</v>
      </c>
      <c r="D1428" s="196">
        <v>101</v>
      </c>
      <c r="E1428" s="196">
        <v>55.75</v>
      </c>
      <c r="F1428" s="196">
        <v>0.22900000000000001</v>
      </c>
      <c r="G1428" s="196">
        <v>12.65</v>
      </c>
      <c r="H1428" s="196">
        <v>129.69999999999999</v>
      </c>
      <c r="I1428" s="196">
        <v>10.37</v>
      </c>
      <c r="J1428" s="196">
        <v>276.07</v>
      </c>
      <c r="K1428" s="196"/>
      <c r="L1428" s="200">
        <v>1428</v>
      </c>
      <c r="M1428" s="200">
        <v>2</v>
      </c>
      <c r="N1428" s="200">
        <v>8</v>
      </c>
    </row>
    <row r="1429" spans="1:14" x14ac:dyDescent="0.25">
      <c r="A1429" s="198" t="s">
        <v>2763</v>
      </c>
      <c r="B1429" s="198" t="s">
        <v>9087</v>
      </c>
      <c r="C1429" s="198">
        <v>0</v>
      </c>
      <c r="D1429" s="196">
        <v>133</v>
      </c>
      <c r="E1429" s="196">
        <v>55.8</v>
      </c>
      <c r="F1429" s="196">
        <v>0.25900000000000001</v>
      </c>
      <c r="G1429" s="196">
        <v>32.229999999999997</v>
      </c>
      <c r="H1429" s="196">
        <v>39</v>
      </c>
      <c r="I1429" s="196">
        <v>53.14</v>
      </c>
      <c r="J1429" s="196">
        <v>113</v>
      </c>
      <c r="K1429" s="196"/>
      <c r="L1429" s="200">
        <v>1429</v>
      </c>
      <c r="M1429" s="200">
        <v>2</v>
      </c>
      <c r="N1429" s="200">
        <v>8</v>
      </c>
    </row>
    <row r="1430" spans="1:14" x14ac:dyDescent="0.25">
      <c r="A1430" s="198" t="s">
        <v>2763</v>
      </c>
      <c r="B1430" s="198" t="s">
        <v>9088</v>
      </c>
      <c r="C1430" s="198">
        <v>0</v>
      </c>
      <c r="D1430" s="196">
        <v>112</v>
      </c>
      <c r="E1430" s="196">
        <v>55.8</v>
      </c>
      <c r="F1430" s="196">
        <v>0.42799999999999999</v>
      </c>
      <c r="G1430" s="196">
        <v>10.72</v>
      </c>
      <c r="H1430" s="196">
        <v>141.94999999999999</v>
      </c>
      <c r="I1430" s="196">
        <v>66.319999999999993</v>
      </c>
      <c r="J1430" s="196">
        <v>359.26</v>
      </c>
      <c r="K1430" s="196"/>
      <c r="L1430" s="200">
        <v>1430</v>
      </c>
      <c r="M1430" s="200">
        <v>2</v>
      </c>
      <c r="N1430" s="200">
        <v>8</v>
      </c>
    </row>
    <row r="1431" spans="1:14" x14ac:dyDescent="0.25">
      <c r="A1431" s="198" t="s">
        <v>2763</v>
      </c>
      <c r="B1431" s="198" t="s">
        <v>9089</v>
      </c>
      <c r="C1431" s="198">
        <v>0</v>
      </c>
      <c r="D1431" s="196">
        <v>300</v>
      </c>
      <c r="E1431" s="196">
        <v>55.817999999999998</v>
      </c>
      <c r="F1431" s="196">
        <v>0.35699999999999998</v>
      </c>
      <c r="G1431" s="196">
        <v>9.9499999999999993</v>
      </c>
      <c r="H1431" s="196">
        <v>48.715000000000003</v>
      </c>
      <c r="I1431" s="196">
        <v>345.42200000000003</v>
      </c>
      <c r="J1431" s="196">
        <v>213.12299999999999</v>
      </c>
      <c r="K1431" s="196"/>
      <c r="L1431" s="200">
        <v>1431</v>
      </c>
      <c r="M1431" s="200">
        <v>2</v>
      </c>
      <c r="N1431" s="200">
        <v>8</v>
      </c>
    </row>
    <row r="1432" spans="1:14" x14ac:dyDescent="0.25">
      <c r="A1432" s="198" t="s">
        <v>2763</v>
      </c>
      <c r="B1432" s="198" t="s">
        <v>9090</v>
      </c>
      <c r="C1432" s="198">
        <v>1</v>
      </c>
      <c r="D1432" s="196">
        <v>73</v>
      </c>
      <c r="E1432" s="196">
        <v>55.887999999999998</v>
      </c>
      <c r="F1432" s="196">
        <v>0.40600000000000003</v>
      </c>
      <c r="G1432" s="196">
        <v>5.8609999999999998</v>
      </c>
      <c r="H1432" s="196">
        <v>144.16999999999999</v>
      </c>
      <c r="I1432" s="196">
        <v>3.879</v>
      </c>
      <c r="J1432" s="196">
        <v>30.201000000000001</v>
      </c>
      <c r="K1432" s="196">
        <v>1</v>
      </c>
      <c r="L1432" s="200">
        <v>1432</v>
      </c>
      <c r="M1432" s="200">
        <v>2</v>
      </c>
      <c r="N1432" s="200">
        <v>8</v>
      </c>
    </row>
    <row r="1433" spans="1:14" x14ac:dyDescent="0.25">
      <c r="A1433" s="198" t="s">
        <v>32</v>
      </c>
      <c r="B1433" s="198" t="s">
        <v>5922</v>
      </c>
      <c r="C1433" s="198"/>
      <c r="D1433" s="196">
        <v>56</v>
      </c>
      <c r="E1433" s="196"/>
      <c r="F1433" s="196"/>
      <c r="G1433" s="196"/>
      <c r="H1433" s="196"/>
      <c r="I1433" s="196"/>
      <c r="J1433" s="196"/>
      <c r="K1433" s="196"/>
      <c r="L1433" s="200">
        <v>1433</v>
      </c>
      <c r="M1433" s="200">
        <v>3</v>
      </c>
      <c r="N1433" s="200">
        <v>29</v>
      </c>
    </row>
    <row r="1434" spans="1:14" x14ac:dyDescent="0.25">
      <c r="A1434" s="198" t="s">
        <v>2763</v>
      </c>
      <c r="B1434" s="198" t="s">
        <v>9091</v>
      </c>
      <c r="C1434" s="198">
        <v>0</v>
      </c>
      <c r="D1434" s="196">
        <v>271</v>
      </c>
      <c r="E1434" s="196">
        <v>55.92</v>
      </c>
      <c r="F1434" s="196">
        <v>0.38700000000000001</v>
      </c>
      <c r="G1434" s="196">
        <v>9.4369999999999994</v>
      </c>
      <c r="H1434" s="196">
        <v>307.63</v>
      </c>
      <c r="I1434" s="196">
        <v>283.94</v>
      </c>
      <c r="J1434" s="196">
        <v>317.05</v>
      </c>
      <c r="K1434" s="196"/>
      <c r="L1434" s="200">
        <v>1434</v>
      </c>
      <c r="M1434" s="200">
        <v>2</v>
      </c>
      <c r="N1434" s="200">
        <v>8</v>
      </c>
    </row>
    <row r="1435" spans="1:14" x14ac:dyDescent="0.25">
      <c r="A1435" s="198" t="s">
        <v>2763</v>
      </c>
      <c r="B1435" s="198" t="s">
        <v>9092</v>
      </c>
      <c r="C1435" s="198">
        <v>0</v>
      </c>
      <c r="D1435" s="196">
        <v>234</v>
      </c>
      <c r="E1435" s="196">
        <v>56.002000000000002</v>
      </c>
      <c r="F1435" s="196">
        <v>0.42299999999999999</v>
      </c>
      <c r="G1435" s="196">
        <v>7.6079999999999997</v>
      </c>
      <c r="H1435" s="196">
        <v>160.23599999999999</v>
      </c>
      <c r="I1435" s="196">
        <v>322.90899999999999</v>
      </c>
      <c r="J1435" s="196">
        <v>25.385000000000002</v>
      </c>
      <c r="K1435" s="196"/>
      <c r="L1435" s="200">
        <v>1435</v>
      </c>
      <c r="M1435" s="200">
        <v>2</v>
      </c>
      <c r="N1435" s="200">
        <v>8</v>
      </c>
    </row>
    <row r="1436" spans="1:14" x14ac:dyDescent="0.25">
      <c r="A1436" s="198" t="s">
        <v>2763</v>
      </c>
      <c r="B1436" s="198" t="s">
        <v>9093</v>
      </c>
      <c r="C1436" s="198">
        <v>0</v>
      </c>
      <c r="D1436" s="196">
        <v>262</v>
      </c>
      <c r="E1436" s="196">
        <v>56.03</v>
      </c>
      <c r="F1436" s="196">
        <v>0.34</v>
      </c>
      <c r="G1436" s="196">
        <v>10.36</v>
      </c>
      <c r="H1436" s="196">
        <v>137.91999999999999</v>
      </c>
      <c r="I1436" s="196">
        <v>170.97</v>
      </c>
      <c r="J1436" s="196">
        <v>313.61</v>
      </c>
      <c r="K1436" s="196"/>
      <c r="L1436" s="200">
        <v>1436</v>
      </c>
      <c r="M1436" s="200">
        <v>2</v>
      </c>
      <c r="N1436" s="200">
        <v>8</v>
      </c>
    </row>
    <row r="1437" spans="1:14" x14ac:dyDescent="0.25">
      <c r="A1437" s="198" t="s">
        <v>2763</v>
      </c>
      <c r="B1437" s="198" t="s">
        <v>9094</v>
      </c>
      <c r="C1437" s="198">
        <v>0</v>
      </c>
      <c r="D1437" s="196">
        <v>128</v>
      </c>
      <c r="E1437" s="196">
        <v>56.03</v>
      </c>
      <c r="F1437" s="196">
        <v>0.44</v>
      </c>
      <c r="G1437" s="196">
        <v>3.12</v>
      </c>
      <c r="H1437" s="196">
        <v>218.5</v>
      </c>
      <c r="I1437" s="196">
        <v>50.8</v>
      </c>
      <c r="J1437" s="196">
        <v>348</v>
      </c>
      <c r="K1437" s="196"/>
      <c r="L1437" s="200">
        <v>1437</v>
      </c>
      <c r="M1437" s="200">
        <v>2</v>
      </c>
      <c r="N1437" s="200">
        <v>8</v>
      </c>
    </row>
    <row r="1438" spans="1:14" x14ac:dyDescent="0.25">
      <c r="A1438" s="198" t="s">
        <v>2763</v>
      </c>
      <c r="B1438" s="198" t="s">
        <v>6211</v>
      </c>
      <c r="C1438" s="198">
        <v>0</v>
      </c>
      <c r="D1438" s="196">
        <v>105</v>
      </c>
      <c r="E1438" s="196">
        <v>56.103999999999999</v>
      </c>
      <c r="F1438" s="196">
        <v>0.41499999999999998</v>
      </c>
      <c r="G1438" s="196">
        <v>0.80600000000000005</v>
      </c>
      <c r="H1438" s="196">
        <v>273.60000000000002</v>
      </c>
      <c r="I1438" s="196">
        <v>318.89999999999998</v>
      </c>
      <c r="J1438" s="196">
        <v>348.93</v>
      </c>
      <c r="K1438" s="196"/>
      <c r="L1438" s="200">
        <v>1438</v>
      </c>
      <c r="M1438" s="200">
        <v>1</v>
      </c>
      <c r="N1438" s="200">
        <v>8</v>
      </c>
    </row>
    <row r="1439" spans="1:14" x14ac:dyDescent="0.25">
      <c r="A1439" s="198" t="s">
        <v>2763</v>
      </c>
      <c r="B1439" s="198" t="s">
        <v>9095</v>
      </c>
      <c r="C1439" s="198">
        <v>0</v>
      </c>
      <c r="D1439" s="196">
        <v>127</v>
      </c>
      <c r="E1439" s="196">
        <v>56.192</v>
      </c>
      <c r="F1439" s="196">
        <v>0.36299999999999999</v>
      </c>
      <c r="G1439" s="196">
        <v>28.86</v>
      </c>
      <c r="H1439" s="196">
        <v>50.16</v>
      </c>
      <c r="I1439" s="196">
        <v>196.38200000000001</v>
      </c>
      <c r="J1439" s="196">
        <v>6.5549999999999997</v>
      </c>
      <c r="K1439" s="196"/>
      <c r="L1439" s="200">
        <v>1439</v>
      </c>
      <c r="M1439" s="200">
        <v>2</v>
      </c>
      <c r="N1439" s="200">
        <v>8</v>
      </c>
    </row>
    <row r="1440" spans="1:14" x14ac:dyDescent="0.25">
      <c r="A1440" s="198" t="s">
        <v>2763</v>
      </c>
      <c r="B1440" s="198" t="s">
        <v>9096</v>
      </c>
      <c r="C1440" s="198">
        <v>0</v>
      </c>
      <c r="D1440" s="196">
        <v>95</v>
      </c>
      <c r="E1440" s="196">
        <v>56.22</v>
      </c>
      <c r="F1440" s="196">
        <v>0.42099999999999999</v>
      </c>
      <c r="G1440" s="196">
        <v>13.137</v>
      </c>
      <c r="H1440" s="196">
        <v>66.37</v>
      </c>
      <c r="I1440" s="196">
        <v>166.34</v>
      </c>
      <c r="J1440" s="196">
        <v>357.9</v>
      </c>
      <c r="K1440" s="196"/>
      <c r="L1440" s="200">
        <v>1440</v>
      </c>
      <c r="M1440" s="200">
        <v>2</v>
      </c>
      <c r="N1440" s="200">
        <v>8</v>
      </c>
    </row>
    <row r="1441" spans="1:14" x14ac:dyDescent="0.25">
      <c r="A1441" s="198" t="s">
        <v>1966</v>
      </c>
      <c r="B1441" s="198" t="s">
        <v>9097</v>
      </c>
      <c r="C1441" s="198">
        <v>0</v>
      </c>
      <c r="D1441" s="196">
        <v>77</v>
      </c>
      <c r="E1441" s="196">
        <v>56.234999999999999</v>
      </c>
      <c r="F1441" s="196">
        <v>0.60899999999999999</v>
      </c>
      <c r="G1441" s="196">
        <v>29.516999999999999</v>
      </c>
      <c r="H1441" s="196">
        <v>277.44799999999998</v>
      </c>
      <c r="I1441" s="196">
        <v>209.28200000000001</v>
      </c>
      <c r="J1441" s="196">
        <v>17.878</v>
      </c>
      <c r="K1441" s="196"/>
      <c r="L1441" s="200">
        <v>1441</v>
      </c>
      <c r="M1441" s="200">
        <v>2</v>
      </c>
      <c r="N1441" s="200">
        <v>6</v>
      </c>
    </row>
    <row r="1442" spans="1:14" x14ac:dyDescent="0.25">
      <c r="A1442" s="198" t="s">
        <v>2763</v>
      </c>
      <c r="B1442" s="198" t="s">
        <v>9098</v>
      </c>
      <c r="C1442" s="198">
        <v>0</v>
      </c>
      <c r="D1442" s="196">
        <v>111</v>
      </c>
      <c r="E1442" s="196">
        <v>56.273000000000003</v>
      </c>
      <c r="F1442" s="196">
        <v>0.36499999999999999</v>
      </c>
      <c r="G1442" s="196">
        <v>26.59</v>
      </c>
      <c r="H1442" s="196">
        <v>309.39</v>
      </c>
      <c r="I1442" s="196">
        <v>188.50399999999999</v>
      </c>
      <c r="J1442" s="196">
        <v>359.09</v>
      </c>
      <c r="K1442" s="196"/>
      <c r="L1442" s="200">
        <v>1442</v>
      </c>
      <c r="M1442" s="200">
        <v>2</v>
      </c>
      <c r="N1442" s="200">
        <v>8</v>
      </c>
    </row>
    <row r="1443" spans="1:14" x14ac:dyDescent="0.25">
      <c r="A1443" s="198" t="s">
        <v>2763</v>
      </c>
      <c r="B1443" s="198" t="s">
        <v>9099</v>
      </c>
      <c r="C1443" s="198">
        <v>0</v>
      </c>
      <c r="D1443" s="196">
        <v>117</v>
      </c>
      <c r="E1443" s="196">
        <v>56.319000000000003</v>
      </c>
      <c r="F1443" s="196">
        <v>0.41499999999999998</v>
      </c>
      <c r="G1443" s="196">
        <v>5.14</v>
      </c>
      <c r="H1443" s="196">
        <v>301.7</v>
      </c>
      <c r="I1443" s="196">
        <v>99.2</v>
      </c>
      <c r="J1443" s="196">
        <v>19.625</v>
      </c>
      <c r="K1443" s="196"/>
      <c r="L1443" s="200">
        <v>1443</v>
      </c>
      <c r="M1443" s="200">
        <v>2</v>
      </c>
      <c r="N1443" s="200">
        <v>8</v>
      </c>
    </row>
    <row r="1444" spans="1:14" x14ac:dyDescent="0.25">
      <c r="A1444" s="198" t="s">
        <v>2763</v>
      </c>
      <c r="B1444" s="198" t="s">
        <v>9100</v>
      </c>
      <c r="C1444" s="198">
        <v>0</v>
      </c>
      <c r="D1444" s="196">
        <v>106</v>
      </c>
      <c r="E1444" s="196">
        <v>56.494</v>
      </c>
      <c r="F1444" s="196">
        <v>0.317</v>
      </c>
      <c r="G1444" s="196">
        <v>27.359000000000002</v>
      </c>
      <c r="H1444" s="196">
        <v>31.844000000000001</v>
      </c>
      <c r="I1444" s="196">
        <v>299.762</v>
      </c>
      <c r="J1444" s="196">
        <v>0.60199999999999998</v>
      </c>
      <c r="K1444" s="196"/>
      <c r="L1444" s="200">
        <v>1444</v>
      </c>
      <c r="M1444" s="200">
        <v>2</v>
      </c>
      <c r="N1444" s="200">
        <v>8</v>
      </c>
    </row>
    <row r="1445" spans="1:14" x14ac:dyDescent="0.25">
      <c r="A1445" s="198" t="s">
        <v>2763</v>
      </c>
      <c r="B1445" s="198" t="s">
        <v>9101</v>
      </c>
      <c r="C1445" s="198">
        <v>0</v>
      </c>
      <c r="D1445" s="196">
        <v>113</v>
      </c>
      <c r="E1445" s="196">
        <v>56.65</v>
      </c>
      <c r="F1445" s="196">
        <v>0.31900000000000001</v>
      </c>
      <c r="G1445" s="196">
        <v>40.770000000000003</v>
      </c>
      <c r="H1445" s="196">
        <v>13.39</v>
      </c>
      <c r="I1445" s="196">
        <v>102.19</v>
      </c>
      <c r="J1445" s="196">
        <v>13.07</v>
      </c>
      <c r="K1445" s="196"/>
      <c r="L1445" s="200">
        <v>1445</v>
      </c>
      <c r="M1445" s="200">
        <v>2</v>
      </c>
      <c r="N1445" s="200">
        <v>8</v>
      </c>
    </row>
    <row r="1446" spans="1:14" x14ac:dyDescent="0.25">
      <c r="A1446" s="198" t="s">
        <v>2763</v>
      </c>
      <c r="B1446" s="198" t="s">
        <v>9102</v>
      </c>
      <c r="C1446" s="198">
        <v>0</v>
      </c>
      <c r="D1446" s="196">
        <v>155</v>
      </c>
      <c r="E1446" s="196">
        <v>57.15</v>
      </c>
      <c r="F1446" s="196">
        <v>0.36</v>
      </c>
      <c r="G1446" s="196">
        <v>20.28</v>
      </c>
      <c r="H1446" s="196">
        <v>144</v>
      </c>
      <c r="I1446" s="196">
        <v>172.47</v>
      </c>
      <c r="J1446" s="196">
        <v>59.54</v>
      </c>
      <c r="K1446" s="196"/>
      <c r="L1446" s="200">
        <v>1446</v>
      </c>
      <c r="M1446" s="200">
        <v>2</v>
      </c>
      <c r="N1446" s="200">
        <v>8</v>
      </c>
    </row>
    <row r="1447" spans="1:14" x14ac:dyDescent="0.25">
      <c r="A1447" s="198" t="s">
        <v>2763</v>
      </c>
      <c r="B1447" s="198" t="s">
        <v>9103</v>
      </c>
      <c r="C1447" s="198">
        <v>0</v>
      </c>
      <c r="D1447" s="196">
        <v>151</v>
      </c>
      <c r="E1447" s="196">
        <v>57.243000000000002</v>
      </c>
      <c r="F1447" s="196">
        <v>0.40500000000000003</v>
      </c>
      <c r="G1447" s="196">
        <v>6.5449999999999999</v>
      </c>
      <c r="H1447" s="196">
        <v>41.715000000000003</v>
      </c>
      <c r="I1447" s="196">
        <v>94.542000000000002</v>
      </c>
      <c r="J1447" s="196">
        <v>297.66000000000003</v>
      </c>
      <c r="K1447" s="196"/>
      <c r="L1447" s="200">
        <v>1447</v>
      </c>
      <c r="M1447" s="200">
        <v>2</v>
      </c>
      <c r="N1447" s="200">
        <v>8</v>
      </c>
    </row>
    <row r="1448" spans="1:14" x14ac:dyDescent="0.25">
      <c r="A1448" s="198" t="s">
        <v>2763</v>
      </c>
      <c r="B1448" s="198" t="s">
        <v>9104</v>
      </c>
      <c r="C1448" s="198">
        <v>0</v>
      </c>
      <c r="D1448" s="196">
        <v>275</v>
      </c>
      <c r="E1448" s="196">
        <v>57.255000000000003</v>
      </c>
      <c r="F1448" s="196">
        <v>0.107</v>
      </c>
      <c r="G1448" s="196">
        <v>46.793999999999997</v>
      </c>
      <c r="H1448" s="196">
        <v>285.56</v>
      </c>
      <c r="I1448" s="196">
        <v>252.4</v>
      </c>
      <c r="J1448" s="196">
        <v>277.05</v>
      </c>
      <c r="K1448" s="196"/>
      <c r="L1448" s="200">
        <v>1448</v>
      </c>
      <c r="M1448" s="200">
        <v>2</v>
      </c>
      <c r="N1448" s="200">
        <v>8</v>
      </c>
    </row>
    <row r="1449" spans="1:14" x14ac:dyDescent="0.25">
      <c r="A1449" s="198" t="s">
        <v>2763</v>
      </c>
      <c r="B1449" s="198" t="s">
        <v>9105</v>
      </c>
      <c r="C1449" s="198">
        <v>1</v>
      </c>
      <c r="D1449" s="196">
        <v>108</v>
      </c>
      <c r="E1449" s="196">
        <v>57.390999999999998</v>
      </c>
      <c r="F1449" s="196">
        <v>0.28599999999999998</v>
      </c>
      <c r="G1449" s="196">
        <v>19.866</v>
      </c>
      <c r="H1449" s="196">
        <v>314.98</v>
      </c>
      <c r="I1449" s="196">
        <v>127</v>
      </c>
      <c r="J1449" s="196">
        <v>35.927</v>
      </c>
      <c r="K1449" s="196"/>
      <c r="L1449" s="200">
        <v>1449</v>
      </c>
      <c r="M1449" s="200">
        <v>2</v>
      </c>
      <c r="N1449" s="200">
        <v>8</v>
      </c>
    </row>
    <row r="1450" spans="1:14" x14ac:dyDescent="0.25">
      <c r="A1450" s="198" t="s">
        <v>32</v>
      </c>
      <c r="B1450" s="198" t="s">
        <v>2865</v>
      </c>
      <c r="C1450" s="198"/>
      <c r="D1450" s="196">
        <v>38</v>
      </c>
      <c r="E1450" s="196"/>
      <c r="F1450" s="196"/>
      <c r="G1450" s="196"/>
      <c r="H1450" s="196"/>
      <c r="I1450" s="196"/>
      <c r="J1450" s="196"/>
      <c r="K1450" s="196"/>
      <c r="L1450" s="200">
        <v>1450</v>
      </c>
      <c r="M1450" s="200">
        <v>3</v>
      </c>
      <c r="N1450" s="200">
        <v>29</v>
      </c>
    </row>
    <row r="1451" spans="1:14" x14ac:dyDescent="0.25">
      <c r="A1451" s="198" t="s">
        <v>2763</v>
      </c>
      <c r="B1451" s="198" t="s">
        <v>9106</v>
      </c>
      <c r="C1451" s="198">
        <v>0</v>
      </c>
      <c r="D1451" s="196">
        <v>137</v>
      </c>
      <c r="E1451" s="196">
        <v>57.44</v>
      </c>
      <c r="F1451" s="196">
        <v>0.39</v>
      </c>
      <c r="G1451" s="196">
        <v>19.64</v>
      </c>
      <c r="H1451" s="196">
        <v>102.44</v>
      </c>
      <c r="I1451" s="196">
        <v>130.61000000000001</v>
      </c>
      <c r="J1451" s="196">
        <v>320.58999999999997</v>
      </c>
      <c r="K1451" s="196"/>
      <c r="L1451" s="200">
        <v>1451</v>
      </c>
      <c r="M1451" s="200">
        <v>2</v>
      </c>
      <c r="N1451" s="200">
        <v>8</v>
      </c>
    </row>
    <row r="1452" spans="1:14" x14ac:dyDescent="0.25">
      <c r="A1452" s="198" t="s">
        <v>1966</v>
      </c>
      <c r="B1452" s="198" t="s">
        <v>9107</v>
      </c>
      <c r="C1452" s="198">
        <v>0</v>
      </c>
      <c r="D1452" s="196">
        <v>70</v>
      </c>
      <c r="E1452" s="196">
        <v>57.655000000000001</v>
      </c>
      <c r="F1452" s="196">
        <v>0.71899999999999997</v>
      </c>
      <c r="G1452" s="196">
        <v>26.922000000000001</v>
      </c>
      <c r="H1452" s="196">
        <v>23.974</v>
      </c>
      <c r="I1452" s="196">
        <v>212.08</v>
      </c>
      <c r="J1452" s="196">
        <v>358.36700000000002</v>
      </c>
      <c r="K1452" s="196"/>
      <c r="L1452" s="200">
        <v>1452</v>
      </c>
      <c r="M1452" s="200">
        <v>2</v>
      </c>
      <c r="N1452" s="200">
        <v>6</v>
      </c>
    </row>
    <row r="1453" spans="1:14" x14ac:dyDescent="0.25">
      <c r="A1453" s="198" t="s">
        <v>2763</v>
      </c>
      <c r="B1453" s="198" t="s">
        <v>9108</v>
      </c>
      <c r="C1453" s="198">
        <v>0</v>
      </c>
      <c r="D1453" s="196">
        <v>129</v>
      </c>
      <c r="E1453" s="196">
        <v>57.94</v>
      </c>
      <c r="F1453" s="196">
        <v>0.32500000000000001</v>
      </c>
      <c r="G1453" s="196">
        <v>28.513999999999999</v>
      </c>
      <c r="H1453" s="196">
        <v>65.2</v>
      </c>
      <c r="I1453" s="196">
        <v>254.92</v>
      </c>
      <c r="J1453" s="196">
        <v>30.44</v>
      </c>
      <c r="K1453" s="196"/>
      <c r="L1453" s="200">
        <v>1453</v>
      </c>
      <c r="M1453" s="200">
        <v>2</v>
      </c>
      <c r="N1453" s="200">
        <v>8</v>
      </c>
    </row>
    <row r="1454" spans="1:14" x14ac:dyDescent="0.25">
      <c r="A1454" s="198" t="s">
        <v>2763</v>
      </c>
      <c r="B1454" s="198" t="s">
        <v>9109</v>
      </c>
      <c r="C1454" s="198">
        <v>0</v>
      </c>
      <c r="D1454" s="196">
        <v>153</v>
      </c>
      <c r="E1454" s="196">
        <v>58.07</v>
      </c>
      <c r="F1454" s="196">
        <v>0.36799999999999999</v>
      </c>
      <c r="G1454" s="196">
        <v>3.3319999999999999</v>
      </c>
      <c r="H1454" s="196">
        <v>217.5</v>
      </c>
      <c r="I1454" s="196">
        <v>193.3</v>
      </c>
      <c r="J1454" s="196">
        <v>41.2</v>
      </c>
      <c r="K1454" s="196"/>
      <c r="L1454" s="200">
        <v>1454</v>
      </c>
      <c r="M1454" s="200">
        <v>2</v>
      </c>
      <c r="N1454" s="200">
        <v>8</v>
      </c>
    </row>
    <row r="1455" spans="1:14" x14ac:dyDescent="0.25">
      <c r="A1455" s="198" t="s">
        <v>2763</v>
      </c>
      <c r="B1455" s="198" t="s">
        <v>9110</v>
      </c>
      <c r="C1455" s="198">
        <v>0</v>
      </c>
      <c r="D1455" s="196">
        <v>114</v>
      </c>
      <c r="E1455" s="196">
        <v>58.103999999999999</v>
      </c>
      <c r="F1455" s="196">
        <v>0.36599999999999999</v>
      </c>
      <c r="G1455" s="196">
        <v>29.78</v>
      </c>
      <c r="H1455" s="196">
        <v>131.495</v>
      </c>
      <c r="I1455" s="196">
        <v>105.32</v>
      </c>
      <c r="J1455" s="196">
        <v>1.802</v>
      </c>
      <c r="K1455" s="196"/>
      <c r="L1455" s="200">
        <v>1455</v>
      </c>
      <c r="M1455" s="200">
        <v>2</v>
      </c>
      <c r="N1455" s="200">
        <v>8</v>
      </c>
    </row>
    <row r="1456" spans="1:14" x14ac:dyDescent="0.25">
      <c r="A1456" s="198" t="s">
        <v>2763</v>
      </c>
      <c r="B1456" s="198" t="s">
        <v>9111</v>
      </c>
      <c r="C1456" s="198">
        <v>0</v>
      </c>
      <c r="D1456" s="196">
        <v>171</v>
      </c>
      <c r="E1456" s="196">
        <v>58.304000000000002</v>
      </c>
      <c r="F1456" s="196">
        <v>0.38900000000000001</v>
      </c>
      <c r="G1456" s="196">
        <v>33.17</v>
      </c>
      <c r="H1456" s="196">
        <v>132.20400000000001</v>
      </c>
      <c r="I1456" s="196">
        <v>134.68</v>
      </c>
      <c r="J1456" s="196">
        <v>17.829999999999998</v>
      </c>
      <c r="K1456" s="196"/>
      <c r="L1456" s="200">
        <v>1456</v>
      </c>
      <c r="M1456" s="200">
        <v>2</v>
      </c>
      <c r="N1456" s="200">
        <v>8</v>
      </c>
    </row>
    <row r="1457" spans="1:14" x14ac:dyDescent="0.25">
      <c r="A1457" s="198" t="s">
        <v>2763</v>
      </c>
      <c r="B1457" s="198" t="s">
        <v>9112</v>
      </c>
      <c r="C1457" s="198">
        <v>0</v>
      </c>
      <c r="D1457" s="196">
        <v>106</v>
      </c>
      <c r="E1457" s="196">
        <v>58.43</v>
      </c>
      <c r="F1457" s="196">
        <v>0.34499999999999997</v>
      </c>
      <c r="G1457" s="196">
        <v>19.04</v>
      </c>
      <c r="H1457" s="196">
        <v>12.47</v>
      </c>
      <c r="I1457" s="196">
        <v>79.37</v>
      </c>
      <c r="J1457" s="196">
        <v>6.36</v>
      </c>
      <c r="K1457" s="196"/>
      <c r="L1457" s="200">
        <v>1457</v>
      </c>
      <c r="M1457" s="200">
        <v>2</v>
      </c>
      <c r="N1457" s="200">
        <v>8</v>
      </c>
    </row>
    <row r="1458" spans="1:14" x14ac:dyDescent="0.25">
      <c r="A1458" s="198" t="s">
        <v>2763</v>
      </c>
      <c r="B1458" s="198" t="s">
        <v>7898</v>
      </c>
      <c r="C1458" s="198">
        <v>1</v>
      </c>
      <c r="D1458" s="196">
        <v>383</v>
      </c>
      <c r="E1458" s="196">
        <v>58.555</v>
      </c>
      <c r="F1458" s="196">
        <v>0.39900000000000002</v>
      </c>
      <c r="G1458" s="196">
        <v>33.29</v>
      </c>
      <c r="H1458" s="196">
        <v>139.75200000000001</v>
      </c>
      <c r="I1458" s="196">
        <v>186.922</v>
      </c>
      <c r="J1458" s="196">
        <v>215.947</v>
      </c>
      <c r="K1458" s="196"/>
      <c r="L1458" s="200">
        <v>1458</v>
      </c>
      <c r="M1458" s="200">
        <v>1</v>
      </c>
      <c r="N1458" s="200">
        <v>8</v>
      </c>
    </row>
    <row r="1459" spans="1:14" x14ac:dyDescent="0.25">
      <c r="A1459" s="198" t="s">
        <v>32</v>
      </c>
      <c r="B1459" s="198" t="s">
        <v>2874</v>
      </c>
      <c r="C1459" s="198"/>
      <c r="D1459" s="196">
        <v>93</v>
      </c>
      <c r="E1459" s="196"/>
      <c r="F1459" s="196"/>
      <c r="G1459" s="196"/>
      <c r="H1459" s="196"/>
      <c r="I1459" s="196"/>
      <c r="J1459" s="196"/>
      <c r="K1459" s="196"/>
      <c r="L1459" s="200">
        <v>1459</v>
      </c>
      <c r="M1459" s="200">
        <v>3</v>
      </c>
      <c r="N1459" s="200">
        <v>29</v>
      </c>
    </row>
    <row r="1460" spans="1:14" x14ac:dyDescent="0.25">
      <c r="A1460" s="198" t="s">
        <v>2763</v>
      </c>
      <c r="B1460" s="198" t="s">
        <v>9113</v>
      </c>
      <c r="C1460" s="198">
        <v>0</v>
      </c>
      <c r="D1460" s="196">
        <v>123</v>
      </c>
      <c r="E1460" s="196">
        <v>58.661000000000001</v>
      </c>
      <c r="F1460" s="196">
        <v>0.39400000000000002</v>
      </c>
      <c r="G1460" s="196">
        <v>18.774999999999999</v>
      </c>
      <c r="H1460" s="196">
        <v>99.483999999999995</v>
      </c>
      <c r="I1460" s="196">
        <v>292.62</v>
      </c>
      <c r="J1460" s="196">
        <v>341</v>
      </c>
      <c r="K1460" s="196"/>
      <c r="L1460" s="200">
        <v>1460</v>
      </c>
      <c r="M1460" s="200">
        <v>2</v>
      </c>
      <c r="N1460" s="200">
        <v>8</v>
      </c>
    </row>
    <row r="1461" spans="1:14" x14ac:dyDescent="0.25">
      <c r="A1461" s="198" t="s">
        <v>2763</v>
      </c>
      <c r="B1461" s="198" t="s">
        <v>9114</v>
      </c>
      <c r="C1461" s="198">
        <v>0</v>
      </c>
      <c r="D1461" s="196">
        <v>161</v>
      </c>
      <c r="E1461" s="196">
        <v>59.103000000000002</v>
      </c>
      <c r="F1461" s="196">
        <v>0.376</v>
      </c>
      <c r="G1461" s="196">
        <v>26.92</v>
      </c>
      <c r="H1461" s="196">
        <v>286.70999999999998</v>
      </c>
      <c r="I1461" s="196">
        <v>121.24</v>
      </c>
      <c r="J1461" s="196">
        <v>41.72</v>
      </c>
      <c r="K1461" s="196"/>
      <c r="L1461" s="200">
        <v>1461</v>
      </c>
      <c r="M1461" s="200">
        <v>2</v>
      </c>
      <c r="N1461" s="200">
        <v>8</v>
      </c>
    </row>
    <row r="1462" spans="1:14" x14ac:dyDescent="0.25">
      <c r="A1462" s="198" t="s">
        <v>2763</v>
      </c>
      <c r="B1462" s="198" t="s">
        <v>9115</v>
      </c>
      <c r="C1462" s="198">
        <v>0</v>
      </c>
      <c r="D1462" s="196">
        <v>60</v>
      </c>
      <c r="E1462" s="196">
        <v>59.158999999999999</v>
      </c>
      <c r="F1462" s="196">
        <v>0.40899999999999997</v>
      </c>
      <c r="G1462" s="196">
        <v>19.66</v>
      </c>
      <c r="H1462" s="196">
        <v>250.92</v>
      </c>
      <c r="I1462" s="196">
        <v>312.29000000000002</v>
      </c>
      <c r="J1462" s="196">
        <v>339.75</v>
      </c>
      <c r="K1462" s="196"/>
      <c r="L1462" s="200">
        <v>1462</v>
      </c>
      <c r="M1462" s="200">
        <v>2</v>
      </c>
      <c r="N1462" s="200">
        <v>8</v>
      </c>
    </row>
    <row r="1463" spans="1:14" x14ac:dyDescent="0.25">
      <c r="A1463" s="198" t="s">
        <v>32</v>
      </c>
      <c r="B1463" s="198" t="s">
        <v>5455</v>
      </c>
      <c r="C1463" s="198"/>
      <c r="D1463" s="196">
        <v>46</v>
      </c>
      <c r="E1463" s="196"/>
      <c r="F1463" s="196"/>
      <c r="G1463" s="196"/>
      <c r="H1463" s="196"/>
      <c r="I1463" s="196"/>
      <c r="J1463" s="196"/>
      <c r="K1463" s="196"/>
      <c r="L1463" s="200">
        <v>1463</v>
      </c>
      <c r="M1463" s="200">
        <v>3</v>
      </c>
      <c r="N1463" s="200">
        <v>29</v>
      </c>
    </row>
    <row r="1464" spans="1:14" x14ac:dyDescent="0.25">
      <c r="A1464" s="198" t="s">
        <v>2763</v>
      </c>
      <c r="B1464" s="198" t="s">
        <v>9116</v>
      </c>
      <c r="C1464" s="198">
        <v>0</v>
      </c>
      <c r="D1464" s="196">
        <v>137</v>
      </c>
      <c r="E1464" s="196">
        <v>59.6</v>
      </c>
      <c r="F1464" s="196">
        <v>0.38700000000000001</v>
      </c>
      <c r="G1464" s="196">
        <v>13.73</v>
      </c>
      <c r="H1464" s="196">
        <v>60.68</v>
      </c>
      <c r="I1464" s="196">
        <v>86</v>
      </c>
      <c r="J1464" s="196">
        <v>49.02</v>
      </c>
      <c r="K1464" s="196"/>
      <c r="L1464" s="200">
        <v>1464</v>
      </c>
      <c r="M1464" s="200">
        <v>2</v>
      </c>
      <c r="N1464" s="200">
        <v>8</v>
      </c>
    </row>
    <row r="1465" spans="1:14" x14ac:dyDescent="0.25">
      <c r="A1465" s="198" t="s">
        <v>2763</v>
      </c>
      <c r="B1465" s="198" t="s">
        <v>9117</v>
      </c>
      <c r="C1465" s="198">
        <v>0</v>
      </c>
      <c r="D1465" s="196">
        <v>103</v>
      </c>
      <c r="E1465" s="196">
        <v>59.63</v>
      </c>
      <c r="F1465" s="196">
        <v>0.57699999999999996</v>
      </c>
      <c r="G1465" s="196">
        <v>24.86</v>
      </c>
      <c r="H1465" s="196">
        <v>179.76</v>
      </c>
      <c r="I1465" s="196">
        <v>337.64</v>
      </c>
      <c r="J1465" s="196">
        <v>20.63</v>
      </c>
      <c r="K1465" s="196"/>
      <c r="L1465" s="200">
        <v>1465</v>
      </c>
      <c r="M1465" s="200">
        <v>2</v>
      </c>
      <c r="N1465" s="200">
        <v>8</v>
      </c>
    </row>
    <row r="1466" spans="1:14" x14ac:dyDescent="0.25">
      <c r="A1466" s="198" t="s">
        <v>2763</v>
      </c>
      <c r="B1466" s="198" t="s">
        <v>9118</v>
      </c>
      <c r="C1466" s="198">
        <v>0</v>
      </c>
      <c r="D1466" s="196">
        <v>251</v>
      </c>
      <c r="E1466" s="196">
        <v>59.764000000000003</v>
      </c>
      <c r="F1466" s="196">
        <v>0.43</v>
      </c>
      <c r="G1466" s="196">
        <v>54.35</v>
      </c>
      <c r="H1466" s="196">
        <v>151.017</v>
      </c>
      <c r="I1466" s="196">
        <v>164.98500000000001</v>
      </c>
      <c r="J1466" s="196">
        <v>240.958</v>
      </c>
      <c r="K1466" s="196"/>
      <c r="L1466" s="200">
        <v>1466</v>
      </c>
      <c r="M1466" s="200">
        <v>2</v>
      </c>
      <c r="N1466" s="200">
        <v>8</v>
      </c>
    </row>
    <row r="1467" spans="1:14" x14ac:dyDescent="0.25">
      <c r="A1467" s="198" t="s">
        <v>2763</v>
      </c>
      <c r="B1467" s="198" t="s">
        <v>9119</v>
      </c>
      <c r="C1467" s="198">
        <v>0</v>
      </c>
      <c r="D1467" s="196">
        <v>159</v>
      </c>
      <c r="E1467" s="196">
        <v>59.93</v>
      </c>
      <c r="F1467" s="196">
        <v>0.35099999999999998</v>
      </c>
      <c r="G1467" s="196">
        <v>53.134</v>
      </c>
      <c r="H1467" s="196">
        <v>322.20999999999998</v>
      </c>
      <c r="I1467" s="196">
        <v>68.64</v>
      </c>
      <c r="J1467" s="196">
        <v>329.11</v>
      </c>
      <c r="K1467" s="196"/>
      <c r="L1467" s="200">
        <v>1467</v>
      </c>
      <c r="M1467" s="200">
        <v>2</v>
      </c>
      <c r="N1467" s="200">
        <v>8</v>
      </c>
    </row>
    <row r="1468" spans="1:14" x14ac:dyDescent="0.25">
      <c r="A1468" s="198" t="s">
        <v>2763</v>
      </c>
      <c r="B1468" s="198" t="s">
        <v>9120</v>
      </c>
      <c r="C1468" s="198">
        <v>0</v>
      </c>
      <c r="D1468" s="196">
        <v>151</v>
      </c>
      <c r="E1468" s="196">
        <v>59.951000000000001</v>
      </c>
      <c r="F1468" s="196">
        <v>0.36</v>
      </c>
      <c r="G1468" s="196">
        <v>9.8670000000000009</v>
      </c>
      <c r="H1468" s="196">
        <v>212.965</v>
      </c>
      <c r="I1468" s="196">
        <v>58.548999999999999</v>
      </c>
      <c r="J1468" s="196">
        <v>115.21</v>
      </c>
      <c r="K1468" s="196"/>
      <c r="L1468" s="200">
        <v>1468</v>
      </c>
      <c r="M1468" s="200">
        <v>2</v>
      </c>
      <c r="N1468" s="200">
        <v>8</v>
      </c>
    </row>
    <row r="1469" spans="1:14" x14ac:dyDescent="0.25">
      <c r="A1469" s="198" t="s">
        <v>2763</v>
      </c>
      <c r="B1469" s="198" t="s">
        <v>9121</v>
      </c>
      <c r="C1469" s="198">
        <v>0</v>
      </c>
      <c r="D1469" s="196">
        <v>94</v>
      </c>
      <c r="E1469" s="196">
        <v>60.122</v>
      </c>
      <c r="F1469" s="196">
        <v>0.35399999999999998</v>
      </c>
      <c r="G1469" s="196">
        <v>22.486999999999998</v>
      </c>
      <c r="H1469" s="196">
        <v>254.97800000000001</v>
      </c>
      <c r="I1469" s="196">
        <v>146.786</v>
      </c>
      <c r="J1469" s="196">
        <v>325.01600000000002</v>
      </c>
      <c r="K1469" s="196"/>
      <c r="L1469" s="200">
        <v>1469</v>
      </c>
      <c r="M1469" s="200">
        <v>2</v>
      </c>
      <c r="N1469" s="200">
        <v>8</v>
      </c>
    </row>
    <row r="1470" spans="1:14" x14ac:dyDescent="0.25">
      <c r="A1470" s="198" t="s">
        <v>2763</v>
      </c>
      <c r="B1470" s="198" t="s">
        <v>9122</v>
      </c>
      <c r="C1470" s="198">
        <v>0</v>
      </c>
      <c r="D1470" s="196">
        <v>101</v>
      </c>
      <c r="E1470" s="196">
        <v>60.22</v>
      </c>
      <c r="F1470" s="196">
        <v>0.44400000000000001</v>
      </c>
      <c r="G1470" s="196">
        <v>4.5659999999999998</v>
      </c>
      <c r="H1470" s="196">
        <v>248.08</v>
      </c>
      <c r="I1470" s="196">
        <v>327.95</v>
      </c>
      <c r="J1470" s="196">
        <v>329.79</v>
      </c>
      <c r="K1470" s="196"/>
      <c r="L1470" s="200">
        <v>1470</v>
      </c>
      <c r="M1470" s="200">
        <v>2</v>
      </c>
      <c r="N1470" s="200">
        <v>8</v>
      </c>
    </row>
    <row r="1471" spans="1:14" x14ac:dyDescent="0.25">
      <c r="A1471" s="198" t="s">
        <v>2763</v>
      </c>
      <c r="B1471" s="198" t="s">
        <v>9123</v>
      </c>
      <c r="C1471" s="198">
        <v>0</v>
      </c>
      <c r="D1471" s="196">
        <v>121</v>
      </c>
      <c r="E1471" s="196">
        <v>60.24</v>
      </c>
      <c r="F1471" s="196">
        <v>0.38300000000000001</v>
      </c>
      <c r="G1471" s="196">
        <v>26.95</v>
      </c>
      <c r="H1471" s="196">
        <v>199.9</v>
      </c>
      <c r="I1471" s="196">
        <v>31.75</v>
      </c>
      <c r="J1471" s="196">
        <v>356.7</v>
      </c>
      <c r="K1471" s="196"/>
      <c r="L1471" s="200">
        <v>1471</v>
      </c>
      <c r="M1471" s="200">
        <v>2</v>
      </c>
      <c r="N1471" s="200">
        <v>8</v>
      </c>
    </row>
    <row r="1472" spans="1:14" x14ac:dyDescent="0.25">
      <c r="A1472" s="198" t="s">
        <v>1966</v>
      </c>
      <c r="B1472" s="198" t="s">
        <v>9124</v>
      </c>
      <c r="C1472" s="198">
        <v>0</v>
      </c>
      <c r="D1472" s="196">
        <v>58</v>
      </c>
      <c r="E1472" s="196">
        <v>60.109000000000002</v>
      </c>
      <c r="F1472" s="196">
        <v>0.55900000000000005</v>
      </c>
      <c r="G1472" s="196">
        <v>6.9080000000000004</v>
      </c>
      <c r="H1472" s="196">
        <v>121.821</v>
      </c>
      <c r="I1472" s="196">
        <v>79.093999999999994</v>
      </c>
      <c r="J1472" s="196">
        <v>1.153</v>
      </c>
      <c r="K1472" s="196"/>
      <c r="L1472" s="200">
        <v>1472</v>
      </c>
      <c r="M1472" s="200">
        <v>2</v>
      </c>
      <c r="N1472" s="200">
        <v>6</v>
      </c>
    </row>
    <row r="1473" spans="1:14" x14ac:dyDescent="0.25">
      <c r="A1473" s="198" t="s">
        <v>2763</v>
      </c>
      <c r="B1473" s="198" t="s">
        <v>9125</v>
      </c>
      <c r="C1473" s="198">
        <v>0</v>
      </c>
      <c r="D1473" s="196">
        <v>94</v>
      </c>
      <c r="E1473" s="196">
        <v>60.42</v>
      </c>
      <c r="F1473" s="196">
        <v>0.42499999999999999</v>
      </c>
      <c r="G1473" s="196">
        <v>13.79</v>
      </c>
      <c r="H1473" s="196">
        <v>264.39999999999998</v>
      </c>
      <c r="I1473" s="196">
        <v>9.36</v>
      </c>
      <c r="J1473" s="196">
        <v>52.22</v>
      </c>
      <c r="K1473" s="196"/>
      <c r="L1473" s="200">
        <v>1473</v>
      </c>
      <c r="M1473" s="200">
        <v>2</v>
      </c>
      <c r="N1473" s="200">
        <v>8</v>
      </c>
    </row>
    <row r="1474" spans="1:14" x14ac:dyDescent="0.25">
      <c r="A1474" s="198" t="s">
        <v>1966</v>
      </c>
      <c r="B1474" s="198" t="s">
        <v>9126</v>
      </c>
      <c r="C1474" s="198">
        <v>0</v>
      </c>
      <c r="D1474" s="196">
        <v>84</v>
      </c>
      <c r="E1474" s="196">
        <v>60.515999999999998</v>
      </c>
      <c r="F1474" s="196">
        <v>0.69</v>
      </c>
      <c r="G1474" s="196">
        <v>30.187999999999999</v>
      </c>
      <c r="H1474" s="196">
        <v>303.52999999999997</v>
      </c>
      <c r="I1474" s="196">
        <v>189.63399999999999</v>
      </c>
      <c r="J1474" s="196">
        <v>328.07799999999997</v>
      </c>
      <c r="K1474" s="196"/>
      <c r="L1474" s="200">
        <v>1474</v>
      </c>
      <c r="M1474" s="200">
        <v>2</v>
      </c>
      <c r="N1474" s="200">
        <v>6</v>
      </c>
    </row>
    <row r="1475" spans="1:14" x14ac:dyDescent="0.25">
      <c r="A1475" s="198" t="s">
        <v>2763</v>
      </c>
      <c r="B1475" s="198" t="s">
        <v>9127</v>
      </c>
      <c r="C1475" s="198">
        <v>0</v>
      </c>
      <c r="D1475" s="196">
        <v>133</v>
      </c>
      <c r="E1475" s="196">
        <v>60.975999999999999</v>
      </c>
      <c r="F1475" s="196">
        <v>0.42499999999999999</v>
      </c>
      <c r="G1475" s="196">
        <v>36.338999999999999</v>
      </c>
      <c r="H1475" s="196">
        <v>62.813000000000002</v>
      </c>
      <c r="I1475" s="196">
        <v>93.195999999999998</v>
      </c>
      <c r="J1475" s="196">
        <v>355.21699999999998</v>
      </c>
      <c r="K1475" s="196"/>
      <c r="L1475" s="200">
        <v>1475</v>
      </c>
      <c r="M1475" s="200">
        <v>2</v>
      </c>
      <c r="N1475" s="200">
        <v>8</v>
      </c>
    </row>
    <row r="1476" spans="1:14" x14ac:dyDescent="0.25">
      <c r="A1476" s="198" t="s">
        <v>1966</v>
      </c>
      <c r="B1476" s="198" t="s">
        <v>9128</v>
      </c>
      <c r="C1476" s="198">
        <v>0</v>
      </c>
      <c r="D1476" s="196">
        <v>56</v>
      </c>
      <c r="E1476" s="196">
        <v>61.09</v>
      </c>
      <c r="F1476" s="196">
        <v>0.65800000000000003</v>
      </c>
      <c r="G1476" s="196">
        <v>6.7309999999999999</v>
      </c>
      <c r="H1476" s="196">
        <v>18.934999999999999</v>
      </c>
      <c r="I1476" s="196">
        <v>24.108000000000001</v>
      </c>
      <c r="J1476" s="196">
        <v>9.8049999999999997</v>
      </c>
      <c r="K1476" s="196"/>
      <c r="L1476" s="200">
        <v>1476</v>
      </c>
      <c r="M1476" s="200">
        <v>2</v>
      </c>
      <c r="N1476" s="200">
        <v>6</v>
      </c>
    </row>
    <row r="1477" spans="1:14" x14ac:dyDescent="0.25">
      <c r="A1477" s="198" t="s">
        <v>2763</v>
      </c>
      <c r="B1477" s="198" t="s">
        <v>9129</v>
      </c>
      <c r="C1477" s="198">
        <v>0</v>
      </c>
      <c r="D1477" s="196">
        <v>94</v>
      </c>
      <c r="E1477" s="196">
        <v>61.101999999999997</v>
      </c>
      <c r="F1477" s="196">
        <v>0.40699999999999997</v>
      </c>
      <c r="G1477" s="196">
        <v>21.71</v>
      </c>
      <c r="H1477" s="196">
        <v>320.75</v>
      </c>
      <c r="I1477" s="196">
        <v>135.41</v>
      </c>
      <c r="J1477" s="196">
        <v>22.59</v>
      </c>
      <c r="K1477" s="196"/>
      <c r="L1477" s="200">
        <v>1477</v>
      </c>
      <c r="M1477" s="200">
        <v>2</v>
      </c>
      <c r="N1477" s="200">
        <v>8</v>
      </c>
    </row>
    <row r="1478" spans="1:14" x14ac:dyDescent="0.25">
      <c r="A1478" s="198" t="s">
        <v>2763</v>
      </c>
      <c r="B1478" s="198" t="s">
        <v>9130</v>
      </c>
      <c r="C1478" s="198">
        <v>0</v>
      </c>
      <c r="D1478" s="196">
        <v>82</v>
      </c>
      <c r="E1478" s="196">
        <v>61.207000000000001</v>
      </c>
      <c r="F1478" s="196">
        <v>0.379</v>
      </c>
      <c r="G1478" s="196">
        <v>5.8</v>
      </c>
      <c r="H1478" s="196">
        <v>160.96</v>
      </c>
      <c r="I1478" s="196">
        <v>28.07</v>
      </c>
      <c r="J1478" s="196">
        <v>16.02</v>
      </c>
      <c r="K1478" s="196"/>
      <c r="L1478" s="200">
        <v>1478</v>
      </c>
      <c r="M1478" s="200">
        <v>2</v>
      </c>
      <c r="N1478" s="200">
        <v>8</v>
      </c>
    </row>
    <row r="1479" spans="1:14" x14ac:dyDescent="0.25">
      <c r="A1479" s="198" t="s">
        <v>2763</v>
      </c>
      <c r="B1479" s="198" t="s">
        <v>9131</v>
      </c>
      <c r="C1479" s="198">
        <v>0</v>
      </c>
      <c r="D1479" s="196">
        <v>117</v>
      </c>
      <c r="E1479" s="196">
        <v>61.320999999999998</v>
      </c>
      <c r="F1479" s="196">
        <v>0.39900000000000002</v>
      </c>
      <c r="G1479" s="196">
        <v>14.438000000000001</v>
      </c>
      <c r="H1479" s="196">
        <v>3.3210000000000002</v>
      </c>
      <c r="I1479" s="196">
        <v>10.5</v>
      </c>
      <c r="J1479" s="196">
        <v>354.11</v>
      </c>
      <c r="K1479" s="196"/>
      <c r="L1479" s="200">
        <v>1479</v>
      </c>
      <c r="M1479" s="200">
        <v>2</v>
      </c>
      <c r="N1479" s="200">
        <v>8</v>
      </c>
    </row>
    <row r="1480" spans="1:14" x14ac:dyDescent="0.25">
      <c r="A1480" s="198" t="s">
        <v>2763</v>
      </c>
      <c r="B1480" s="198" t="s">
        <v>9132</v>
      </c>
      <c r="C1480" s="198">
        <v>0</v>
      </c>
      <c r="D1480" s="196">
        <v>228</v>
      </c>
      <c r="E1480" s="196">
        <v>61.610999999999997</v>
      </c>
      <c r="F1480" s="196">
        <v>0.42199999999999999</v>
      </c>
      <c r="G1480" s="196">
        <v>28.125</v>
      </c>
      <c r="H1480" s="196">
        <v>68.292000000000002</v>
      </c>
      <c r="I1480" s="196">
        <v>304.58999999999997</v>
      </c>
      <c r="J1480" s="196">
        <v>68.884</v>
      </c>
      <c r="K1480" s="196"/>
      <c r="L1480" s="200">
        <v>1480</v>
      </c>
      <c r="M1480" s="200">
        <v>2</v>
      </c>
      <c r="N1480" s="200">
        <v>8</v>
      </c>
    </row>
    <row r="1481" spans="1:14" x14ac:dyDescent="0.25">
      <c r="A1481" s="198" t="s">
        <v>1966</v>
      </c>
      <c r="B1481" s="198" t="s">
        <v>9133</v>
      </c>
      <c r="C1481" s="198">
        <v>0</v>
      </c>
      <c r="D1481" s="196">
        <v>60</v>
      </c>
      <c r="E1481" s="196">
        <v>61.65</v>
      </c>
      <c r="F1481" s="196">
        <v>0.55800000000000005</v>
      </c>
      <c r="G1481" s="196">
        <v>11.206</v>
      </c>
      <c r="H1481" s="196">
        <v>119.73699999999999</v>
      </c>
      <c r="I1481" s="196">
        <v>128.47</v>
      </c>
      <c r="J1481" s="196">
        <v>7.8559999999999999</v>
      </c>
      <c r="K1481" s="196"/>
      <c r="L1481" s="200">
        <v>1481</v>
      </c>
      <c r="M1481" s="200">
        <v>2</v>
      </c>
      <c r="N1481" s="200">
        <v>6</v>
      </c>
    </row>
    <row r="1482" spans="1:14" x14ac:dyDescent="0.25">
      <c r="A1482" s="198" t="s">
        <v>2763</v>
      </c>
      <c r="B1482" s="198" t="s">
        <v>9134</v>
      </c>
      <c r="C1482" s="198">
        <v>0</v>
      </c>
      <c r="D1482" s="196">
        <v>218</v>
      </c>
      <c r="E1482" s="196">
        <v>61.712000000000003</v>
      </c>
      <c r="F1482" s="196">
        <v>0.432</v>
      </c>
      <c r="G1482" s="196">
        <v>17.785</v>
      </c>
      <c r="H1482" s="196">
        <v>23.716999999999999</v>
      </c>
      <c r="I1482" s="196">
        <v>56.651000000000003</v>
      </c>
      <c r="J1482" s="196">
        <v>297.13</v>
      </c>
      <c r="K1482" s="196"/>
      <c r="L1482" s="200">
        <v>1482</v>
      </c>
      <c r="M1482" s="200">
        <v>2</v>
      </c>
      <c r="N1482" s="200">
        <v>8</v>
      </c>
    </row>
    <row r="1483" spans="1:14" x14ac:dyDescent="0.25">
      <c r="A1483" s="198" t="s">
        <v>2763</v>
      </c>
      <c r="B1483" s="198" t="s">
        <v>9135</v>
      </c>
      <c r="C1483" s="198">
        <v>0</v>
      </c>
      <c r="D1483" s="196">
        <v>164</v>
      </c>
      <c r="E1483" s="196">
        <v>61.75</v>
      </c>
      <c r="F1483" s="196">
        <v>0.40400000000000003</v>
      </c>
      <c r="G1483" s="196">
        <v>25.15</v>
      </c>
      <c r="H1483" s="196">
        <v>332.05</v>
      </c>
      <c r="I1483" s="196">
        <v>43.2</v>
      </c>
      <c r="J1483" s="196">
        <v>353.4</v>
      </c>
      <c r="K1483" s="196"/>
      <c r="L1483" s="200">
        <v>1483</v>
      </c>
      <c r="M1483" s="200">
        <v>2</v>
      </c>
      <c r="N1483" s="200">
        <v>8</v>
      </c>
    </row>
    <row r="1484" spans="1:14" x14ac:dyDescent="0.25">
      <c r="A1484" s="198" t="s">
        <v>2763</v>
      </c>
      <c r="B1484" s="198" t="s">
        <v>9136</v>
      </c>
      <c r="C1484" s="198">
        <v>0</v>
      </c>
      <c r="D1484" s="196">
        <v>149</v>
      </c>
      <c r="E1484" s="196">
        <v>61.759</v>
      </c>
      <c r="F1484" s="196">
        <v>0.42599999999999999</v>
      </c>
      <c r="G1484" s="196">
        <v>9.7100000000000009</v>
      </c>
      <c r="H1484" s="196">
        <v>253.41</v>
      </c>
      <c r="I1484" s="196">
        <v>21.497</v>
      </c>
      <c r="J1484" s="196">
        <v>348.48</v>
      </c>
      <c r="K1484" s="196"/>
      <c r="L1484" s="200">
        <v>1484</v>
      </c>
      <c r="M1484" s="200">
        <v>2</v>
      </c>
      <c r="N1484" s="200">
        <v>8</v>
      </c>
    </row>
    <row r="1485" spans="1:14" x14ac:dyDescent="0.25">
      <c r="A1485" s="198" t="s">
        <v>2763</v>
      </c>
      <c r="B1485" s="198" t="s">
        <v>9137</v>
      </c>
      <c r="C1485" s="198">
        <v>0</v>
      </c>
      <c r="D1485" s="196">
        <v>135</v>
      </c>
      <c r="E1485" s="196">
        <v>61.8</v>
      </c>
      <c r="F1485" s="196">
        <v>0.42599999999999999</v>
      </c>
      <c r="G1485" s="196">
        <v>18.45</v>
      </c>
      <c r="H1485" s="196">
        <v>203.4</v>
      </c>
      <c r="I1485" s="196">
        <v>108.86</v>
      </c>
      <c r="J1485" s="196">
        <v>12.72</v>
      </c>
      <c r="K1485" s="196"/>
      <c r="L1485" s="200">
        <v>1485</v>
      </c>
      <c r="M1485" s="200">
        <v>2</v>
      </c>
      <c r="N1485" s="200">
        <v>8</v>
      </c>
    </row>
    <row r="1486" spans="1:14" x14ac:dyDescent="0.25">
      <c r="A1486" s="198" t="s">
        <v>2763</v>
      </c>
      <c r="B1486" s="198" t="s">
        <v>9138</v>
      </c>
      <c r="C1486" s="198">
        <v>0</v>
      </c>
      <c r="D1486" s="196">
        <v>314</v>
      </c>
      <c r="E1486" s="196">
        <v>61.814999999999998</v>
      </c>
      <c r="F1486" s="196">
        <v>0.32800000000000001</v>
      </c>
      <c r="G1486" s="196">
        <v>28.902999999999999</v>
      </c>
      <c r="H1486" s="196">
        <v>295.63</v>
      </c>
      <c r="I1486" s="196">
        <v>201.01</v>
      </c>
      <c r="J1486" s="196">
        <v>67.563999999999993</v>
      </c>
      <c r="K1486" s="196"/>
      <c r="L1486" s="200">
        <v>1486</v>
      </c>
      <c r="M1486" s="200">
        <v>2</v>
      </c>
      <c r="N1486" s="200">
        <v>8</v>
      </c>
    </row>
    <row r="1487" spans="1:14" x14ac:dyDescent="0.25">
      <c r="A1487" s="198" t="s">
        <v>2763</v>
      </c>
      <c r="B1487" s="198" t="s">
        <v>9139</v>
      </c>
      <c r="C1487" s="198">
        <v>0</v>
      </c>
      <c r="D1487" s="196">
        <v>121</v>
      </c>
      <c r="E1487" s="196">
        <v>62.04</v>
      </c>
      <c r="F1487" s="196">
        <v>0.45700000000000002</v>
      </c>
      <c r="G1487" s="196">
        <v>17.73</v>
      </c>
      <c r="H1487" s="196">
        <v>192.69</v>
      </c>
      <c r="I1487" s="196">
        <v>275.83999999999997</v>
      </c>
      <c r="J1487" s="196">
        <v>32.74</v>
      </c>
      <c r="K1487" s="196"/>
      <c r="L1487" s="200">
        <v>1487</v>
      </c>
      <c r="M1487" s="200">
        <v>2</v>
      </c>
      <c r="N1487" s="200">
        <v>8</v>
      </c>
    </row>
    <row r="1488" spans="1:14" x14ac:dyDescent="0.25">
      <c r="A1488" s="198" t="s">
        <v>2763</v>
      </c>
      <c r="B1488" s="198" t="s">
        <v>9140</v>
      </c>
      <c r="C1488" s="198">
        <v>0</v>
      </c>
      <c r="D1488" s="196">
        <v>94</v>
      </c>
      <c r="E1488" s="196">
        <v>62.23</v>
      </c>
      <c r="F1488" s="196">
        <v>0.36399999999999999</v>
      </c>
      <c r="G1488" s="196">
        <v>21.89</v>
      </c>
      <c r="H1488" s="196">
        <v>16.64</v>
      </c>
      <c r="I1488" s="196">
        <v>178.23</v>
      </c>
      <c r="J1488" s="196">
        <v>353.85</v>
      </c>
      <c r="K1488" s="196"/>
      <c r="L1488" s="200">
        <v>1488</v>
      </c>
      <c r="M1488" s="200">
        <v>2</v>
      </c>
      <c r="N1488" s="200">
        <v>8</v>
      </c>
    </row>
    <row r="1489" spans="1:14" x14ac:dyDescent="0.25">
      <c r="A1489" s="198" t="s">
        <v>2763</v>
      </c>
      <c r="B1489" s="198" t="s">
        <v>9141</v>
      </c>
      <c r="C1489" s="198">
        <v>0</v>
      </c>
      <c r="D1489" s="196">
        <v>200</v>
      </c>
      <c r="E1489" s="196">
        <v>62.51</v>
      </c>
      <c r="F1489" s="196">
        <v>0.36899999999999999</v>
      </c>
      <c r="G1489" s="196">
        <v>30.54</v>
      </c>
      <c r="H1489" s="196">
        <v>354.1</v>
      </c>
      <c r="I1489" s="196">
        <v>189.57</v>
      </c>
      <c r="J1489" s="196">
        <v>1.9E-2</v>
      </c>
      <c r="K1489" s="196"/>
      <c r="L1489" s="200">
        <v>1489</v>
      </c>
      <c r="M1489" s="200">
        <v>2</v>
      </c>
      <c r="N1489" s="200">
        <v>8</v>
      </c>
    </row>
    <row r="1490" spans="1:14" x14ac:dyDescent="0.25">
      <c r="A1490" s="198" t="s">
        <v>2763</v>
      </c>
      <c r="B1490" s="198" t="s">
        <v>9142</v>
      </c>
      <c r="C1490" s="198">
        <v>0</v>
      </c>
      <c r="D1490" s="196">
        <v>109</v>
      </c>
      <c r="E1490" s="196">
        <v>62.54</v>
      </c>
      <c r="F1490" s="196">
        <v>0.39500000000000002</v>
      </c>
      <c r="G1490" s="196">
        <v>19.579999999999998</v>
      </c>
      <c r="H1490" s="196">
        <v>353.55</v>
      </c>
      <c r="I1490" s="196">
        <v>351.79</v>
      </c>
      <c r="J1490" s="196">
        <v>16.89</v>
      </c>
      <c r="K1490" s="196"/>
      <c r="L1490" s="200">
        <v>1490</v>
      </c>
      <c r="M1490" s="200">
        <v>2</v>
      </c>
      <c r="N1490" s="200">
        <v>8</v>
      </c>
    </row>
    <row r="1491" spans="1:14" x14ac:dyDescent="0.25">
      <c r="A1491" s="198" t="s">
        <v>2763</v>
      </c>
      <c r="B1491" s="198" t="s">
        <v>9143</v>
      </c>
      <c r="C1491" s="198">
        <v>0</v>
      </c>
      <c r="D1491" s="196">
        <v>94</v>
      </c>
      <c r="E1491" s="196">
        <v>62.613999999999997</v>
      </c>
      <c r="F1491" s="196">
        <v>0.45600000000000002</v>
      </c>
      <c r="G1491" s="196">
        <v>17.765999999999998</v>
      </c>
      <c r="H1491" s="196">
        <v>244.4</v>
      </c>
      <c r="I1491" s="196">
        <v>147.42699999999999</v>
      </c>
      <c r="J1491" s="196">
        <v>21.03</v>
      </c>
      <c r="K1491" s="196"/>
      <c r="L1491" s="200">
        <v>1491</v>
      </c>
      <c r="M1491" s="200">
        <v>2</v>
      </c>
      <c r="N1491" s="200">
        <v>8</v>
      </c>
    </row>
    <row r="1492" spans="1:14" x14ac:dyDescent="0.25">
      <c r="A1492" s="198" t="s">
        <v>2763</v>
      </c>
      <c r="B1492" s="198" t="s">
        <v>9144</v>
      </c>
      <c r="C1492" s="198">
        <v>0</v>
      </c>
      <c r="D1492" s="196">
        <v>133</v>
      </c>
      <c r="E1492" s="196">
        <v>62.948</v>
      </c>
      <c r="F1492" s="196">
        <v>0.27200000000000002</v>
      </c>
      <c r="G1492" s="196">
        <v>25.704999999999998</v>
      </c>
      <c r="H1492" s="196">
        <v>229.51</v>
      </c>
      <c r="I1492" s="196">
        <v>214.89</v>
      </c>
      <c r="J1492" s="196">
        <v>92.132000000000005</v>
      </c>
      <c r="K1492" s="196"/>
      <c r="L1492" s="200">
        <v>1492</v>
      </c>
      <c r="M1492" s="200">
        <v>2</v>
      </c>
      <c r="N1492" s="200">
        <v>8</v>
      </c>
    </row>
    <row r="1493" spans="1:14" x14ac:dyDescent="0.25">
      <c r="A1493" s="198" t="s">
        <v>2763</v>
      </c>
      <c r="B1493" s="198" t="s">
        <v>9145</v>
      </c>
      <c r="C1493" s="198">
        <v>0</v>
      </c>
      <c r="D1493" s="196">
        <v>126</v>
      </c>
      <c r="E1493" s="196">
        <v>63.03</v>
      </c>
      <c r="F1493" s="196">
        <v>0.44800000000000001</v>
      </c>
      <c r="G1493" s="196">
        <v>12.11</v>
      </c>
      <c r="H1493" s="196">
        <v>10.7</v>
      </c>
      <c r="I1493" s="196">
        <v>98.32</v>
      </c>
      <c r="J1493" s="196">
        <v>251.2</v>
      </c>
      <c r="K1493" s="196"/>
      <c r="L1493" s="200">
        <v>1493</v>
      </c>
      <c r="M1493" s="200">
        <v>2</v>
      </c>
      <c r="N1493" s="200">
        <v>8</v>
      </c>
    </row>
    <row r="1494" spans="1:14" x14ac:dyDescent="0.25">
      <c r="A1494" s="198" t="s">
        <v>2763</v>
      </c>
      <c r="B1494" s="198" t="s">
        <v>9146</v>
      </c>
      <c r="C1494" s="198">
        <v>0</v>
      </c>
      <c r="D1494" s="196">
        <v>170</v>
      </c>
      <c r="E1494" s="196">
        <v>63.073999999999998</v>
      </c>
      <c r="F1494" s="196">
        <v>0.27100000000000002</v>
      </c>
      <c r="G1494" s="196">
        <v>20.478999999999999</v>
      </c>
      <c r="H1494" s="196">
        <v>96.341999999999999</v>
      </c>
      <c r="I1494" s="196">
        <v>182.43</v>
      </c>
      <c r="J1494" s="196">
        <v>343.18</v>
      </c>
      <c r="K1494" s="196"/>
      <c r="L1494" s="200">
        <v>1494</v>
      </c>
      <c r="M1494" s="200">
        <v>2</v>
      </c>
      <c r="N1494" s="200">
        <v>8</v>
      </c>
    </row>
    <row r="1495" spans="1:14" x14ac:dyDescent="0.25">
      <c r="A1495" s="198" t="s">
        <v>2763</v>
      </c>
      <c r="B1495" s="198" t="s">
        <v>9147</v>
      </c>
      <c r="C1495" s="198">
        <v>0</v>
      </c>
      <c r="D1495" s="196">
        <v>116</v>
      </c>
      <c r="E1495" s="196">
        <v>63.21</v>
      </c>
      <c r="F1495" s="196">
        <v>0.32300000000000001</v>
      </c>
      <c r="G1495" s="196">
        <v>31.19</v>
      </c>
      <c r="H1495" s="196">
        <v>267.22000000000003</v>
      </c>
      <c r="I1495" s="196">
        <v>145.34</v>
      </c>
      <c r="J1495" s="196">
        <v>347.99</v>
      </c>
      <c r="K1495" s="196"/>
      <c r="L1495" s="200">
        <v>1495</v>
      </c>
      <c r="M1495" s="200">
        <v>2</v>
      </c>
      <c r="N1495" s="200">
        <v>8</v>
      </c>
    </row>
    <row r="1496" spans="1:14" x14ac:dyDescent="0.25">
      <c r="A1496" s="198" t="s">
        <v>2763</v>
      </c>
      <c r="B1496" s="198" t="s">
        <v>9148</v>
      </c>
      <c r="C1496" s="198">
        <v>0</v>
      </c>
      <c r="D1496" s="196">
        <v>88</v>
      </c>
      <c r="E1496" s="196">
        <v>63.29</v>
      </c>
      <c r="F1496" s="196">
        <v>0.34899999999999998</v>
      </c>
      <c r="G1496" s="196">
        <v>24.99</v>
      </c>
      <c r="H1496" s="196">
        <v>349.8</v>
      </c>
      <c r="I1496" s="196">
        <v>144.02000000000001</v>
      </c>
      <c r="J1496" s="196">
        <v>14.08</v>
      </c>
      <c r="K1496" s="196"/>
      <c r="L1496" s="200">
        <v>1496</v>
      </c>
      <c r="M1496" s="200">
        <v>2</v>
      </c>
      <c r="N1496" s="200">
        <v>8</v>
      </c>
    </row>
    <row r="1497" spans="1:14" x14ac:dyDescent="0.25">
      <c r="A1497" s="198" t="s">
        <v>2763</v>
      </c>
      <c r="B1497" s="198" t="s">
        <v>9149</v>
      </c>
      <c r="C1497" s="198">
        <v>0</v>
      </c>
      <c r="D1497" s="196">
        <v>111</v>
      </c>
      <c r="E1497" s="196">
        <v>63.47</v>
      </c>
      <c r="F1497" s="196">
        <v>0.438</v>
      </c>
      <c r="G1497" s="196">
        <v>4.6749999999999998</v>
      </c>
      <c r="H1497" s="196">
        <v>320.65199999999999</v>
      </c>
      <c r="I1497" s="196">
        <v>219.798</v>
      </c>
      <c r="J1497" s="196">
        <v>350.59500000000003</v>
      </c>
      <c r="K1497" s="196"/>
      <c r="L1497" s="200">
        <v>1497</v>
      </c>
      <c r="M1497" s="200">
        <v>2</v>
      </c>
      <c r="N1497" s="200">
        <v>8</v>
      </c>
    </row>
    <row r="1498" spans="1:14" x14ac:dyDescent="0.25">
      <c r="A1498" s="198" t="s">
        <v>2763</v>
      </c>
      <c r="B1498" s="198" t="s">
        <v>9150</v>
      </c>
      <c r="C1498" s="198">
        <v>0</v>
      </c>
      <c r="D1498" s="196">
        <v>79</v>
      </c>
      <c r="E1498" s="196">
        <v>63.63</v>
      </c>
      <c r="F1498" s="196">
        <v>0.44500000000000001</v>
      </c>
      <c r="G1498" s="196">
        <v>27.259</v>
      </c>
      <c r="H1498" s="196">
        <v>297.02999999999997</v>
      </c>
      <c r="I1498" s="196">
        <v>122</v>
      </c>
      <c r="J1498" s="196">
        <v>28.84</v>
      </c>
      <c r="K1498" s="196"/>
      <c r="L1498" s="200">
        <v>1498</v>
      </c>
      <c r="M1498" s="200">
        <v>2</v>
      </c>
      <c r="N1498" s="200">
        <v>8</v>
      </c>
    </row>
    <row r="1499" spans="1:14" x14ac:dyDescent="0.25">
      <c r="A1499" s="198" t="s">
        <v>2763</v>
      </c>
      <c r="B1499" s="198" t="s">
        <v>9151</v>
      </c>
      <c r="C1499" s="198">
        <v>0</v>
      </c>
      <c r="D1499" s="196">
        <v>110</v>
      </c>
      <c r="E1499" s="196">
        <v>63.7</v>
      </c>
      <c r="F1499" s="196">
        <v>0.41499999999999998</v>
      </c>
      <c r="G1499" s="196">
        <v>6.665</v>
      </c>
      <c r="H1499" s="196">
        <v>89.64</v>
      </c>
      <c r="I1499" s="196">
        <v>47.27</v>
      </c>
      <c r="J1499" s="196">
        <v>352.82</v>
      </c>
      <c r="K1499" s="196"/>
      <c r="L1499" s="200">
        <v>1499</v>
      </c>
      <c r="M1499" s="200">
        <v>2</v>
      </c>
      <c r="N1499" s="200">
        <v>8</v>
      </c>
    </row>
    <row r="1500" spans="1:14" x14ac:dyDescent="0.25">
      <c r="A1500" s="198" t="s">
        <v>2763</v>
      </c>
      <c r="B1500" s="198" t="s">
        <v>9152</v>
      </c>
      <c r="C1500" s="198">
        <v>0</v>
      </c>
      <c r="D1500" s="196">
        <v>140</v>
      </c>
      <c r="E1500" s="196">
        <v>63.966999999999999</v>
      </c>
      <c r="F1500" s="196">
        <v>0.437</v>
      </c>
      <c r="G1500" s="196">
        <v>4.7229999999999999</v>
      </c>
      <c r="H1500" s="196">
        <v>314.55</v>
      </c>
      <c r="I1500" s="196">
        <v>6.7519999999999998</v>
      </c>
      <c r="J1500" s="196">
        <v>227.77</v>
      </c>
      <c r="K1500" s="196"/>
      <c r="L1500" s="200">
        <v>1500</v>
      </c>
      <c r="M1500" s="200">
        <v>2</v>
      </c>
      <c r="N1500" s="200">
        <v>8</v>
      </c>
    </row>
    <row r="1501" spans="1:14" x14ac:dyDescent="0.25">
      <c r="A1501" s="198" t="s">
        <v>1966</v>
      </c>
      <c r="B1501" s="198" t="s">
        <v>9153</v>
      </c>
      <c r="C1501" s="198">
        <v>0</v>
      </c>
      <c r="D1501" s="196">
        <v>95</v>
      </c>
      <c r="E1501" s="196">
        <v>64.159000000000006</v>
      </c>
      <c r="F1501" s="196">
        <v>0.53200000000000003</v>
      </c>
      <c r="G1501" s="196">
        <v>7.84</v>
      </c>
      <c r="H1501" s="196">
        <v>219</v>
      </c>
      <c r="I1501" s="196">
        <v>209.61</v>
      </c>
      <c r="J1501" s="196">
        <v>331</v>
      </c>
      <c r="K1501" s="196"/>
      <c r="L1501" s="200">
        <v>1501</v>
      </c>
      <c r="M1501" s="200">
        <v>2</v>
      </c>
      <c r="N1501" s="200">
        <v>6</v>
      </c>
    </row>
    <row r="1502" spans="1:14" x14ac:dyDescent="0.25">
      <c r="A1502" s="198" t="s">
        <v>1966</v>
      </c>
      <c r="B1502" s="198" t="s">
        <v>9154</v>
      </c>
      <c r="C1502" s="198">
        <v>0</v>
      </c>
      <c r="D1502" s="196">
        <v>105</v>
      </c>
      <c r="E1502" s="196">
        <v>64.534999999999997</v>
      </c>
      <c r="F1502" s="196">
        <v>0.56699999999999995</v>
      </c>
      <c r="G1502" s="196">
        <v>13.48</v>
      </c>
      <c r="H1502" s="196">
        <v>99.77</v>
      </c>
      <c r="I1502" s="196">
        <v>315.27</v>
      </c>
      <c r="J1502" s="196">
        <v>354.5</v>
      </c>
      <c r="K1502" s="196"/>
      <c r="L1502" s="200">
        <v>1502</v>
      </c>
      <c r="M1502" s="200">
        <v>2</v>
      </c>
      <c r="N1502" s="200">
        <v>6</v>
      </c>
    </row>
    <row r="1503" spans="1:14" x14ac:dyDescent="0.25">
      <c r="A1503" s="198" t="s">
        <v>2763</v>
      </c>
      <c r="B1503" s="198" t="s">
        <v>9155</v>
      </c>
      <c r="C1503" s="198">
        <v>0</v>
      </c>
      <c r="D1503" s="196">
        <v>121</v>
      </c>
      <c r="E1503" s="196">
        <v>64.853999999999999</v>
      </c>
      <c r="F1503" s="196">
        <v>0.42399999999999999</v>
      </c>
      <c r="G1503" s="196">
        <v>35.773000000000003</v>
      </c>
      <c r="H1503" s="196">
        <v>216.08</v>
      </c>
      <c r="I1503" s="196">
        <v>44.436999999999998</v>
      </c>
      <c r="J1503" s="196">
        <v>348.20400000000001</v>
      </c>
      <c r="K1503" s="196"/>
      <c r="L1503" s="200">
        <v>1503</v>
      </c>
      <c r="M1503" s="200">
        <v>2</v>
      </c>
      <c r="N1503" s="200">
        <v>8</v>
      </c>
    </row>
    <row r="1504" spans="1:14" x14ac:dyDescent="0.25">
      <c r="A1504" s="198" t="s">
        <v>2763</v>
      </c>
      <c r="B1504" s="198" t="s">
        <v>9156</v>
      </c>
      <c r="C1504" s="198">
        <v>0</v>
      </c>
      <c r="D1504" s="196">
        <v>104</v>
      </c>
      <c r="E1504" s="196">
        <v>64.98</v>
      </c>
      <c r="F1504" s="196">
        <v>0.41499999999999998</v>
      </c>
      <c r="G1504" s="196">
        <v>43.76</v>
      </c>
      <c r="H1504" s="196">
        <v>51.34</v>
      </c>
      <c r="I1504" s="196">
        <v>175.18</v>
      </c>
      <c r="J1504" s="196">
        <v>356.74</v>
      </c>
      <c r="K1504" s="196"/>
      <c r="L1504" s="200">
        <v>1504</v>
      </c>
      <c r="M1504" s="200">
        <v>2</v>
      </c>
      <c r="N1504" s="200">
        <v>8</v>
      </c>
    </row>
    <row r="1505" spans="1:17" x14ac:dyDescent="0.25">
      <c r="A1505" s="198" t="s">
        <v>2763</v>
      </c>
      <c r="B1505" s="198" t="s">
        <v>9157</v>
      </c>
      <c r="C1505" s="198">
        <v>0</v>
      </c>
      <c r="D1505" s="196">
        <v>154</v>
      </c>
      <c r="E1505" s="196">
        <v>65.099999999999994</v>
      </c>
      <c r="F1505" s="196">
        <v>0.47299999999999998</v>
      </c>
      <c r="G1505" s="196">
        <v>13.835000000000001</v>
      </c>
      <c r="H1505" s="196">
        <v>259.35000000000002</v>
      </c>
      <c r="I1505" s="196">
        <v>56.56</v>
      </c>
      <c r="J1505" s="196">
        <v>50.8</v>
      </c>
      <c r="K1505" s="196"/>
      <c r="L1505" s="200">
        <v>1505</v>
      </c>
      <c r="M1505" s="200">
        <v>2</v>
      </c>
      <c r="N1505" s="200">
        <v>8</v>
      </c>
    </row>
    <row r="1506" spans="1:17" x14ac:dyDescent="0.25">
      <c r="A1506" s="198" t="s">
        <v>2763</v>
      </c>
      <c r="B1506" s="198" t="s">
        <v>9158</v>
      </c>
      <c r="C1506" s="198">
        <v>0</v>
      </c>
      <c r="D1506" s="196">
        <v>284</v>
      </c>
      <c r="E1506" s="196">
        <v>65.594999999999999</v>
      </c>
      <c r="F1506" s="196">
        <v>0.44400000000000001</v>
      </c>
      <c r="G1506" s="196">
        <v>13.55</v>
      </c>
      <c r="H1506" s="196">
        <v>20.571999999999999</v>
      </c>
      <c r="I1506" s="196">
        <v>67.305999999999997</v>
      </c>
      <c r="J1506" s="196">
        <v>320.94</v>
      </c>
      <c r="K1506" s="196"/>
      <c r="L1506" s="200">
        <v>1506</v>
      </c>
      <c r="M1506" s="200">
        <v>2</v>
      </c>
      <c r="N1506" s="200">
        <v>8</v>
      </c>
    </row>
    <row r="1507" spans="1:17" x14ac:dyDescent="0.25">
      <c r="A1507" s="198" t="s">
        <v>2763</v>
      </c>
      <c r="B1507" s="198" t="s">
        <v>9159</v>
      </c>
      <c r="C1507" s="198">
        <v>0</v>
      </c>
      <c r="D1507" s="196">
        <v>110</v>
      </c>
      <c r="E1507" s="196">
        <v>65.819999999999993</v>
      </c>
      <c r="F1507" s="196">
        <v>0.44400000000000001</v>
      </c>
      <c r="G1507" s="196">
        <v>7.2969999999999997</v>
      </c>
      <c r="H1507" s="196">
        <v>269.02999999999997</v>
      </c>
      <c r="I1507" s="196">
        <v>75.23</v>
      </c>
      <c r="J1507" s="196">
        <v>15.37</v>
      </c>
      <c r="K1507" s="196"/>
      <c r="L1507" s="200">
        <v>1507</v>
      </c>
      <c r="M1507" s="200">
        <v>2</v>
      </c>
      <c r="N1507" s="200">
        <v>8</v>
      </c>
    </row>
    <row r="1508" spans="1:17" x14ac:dyDescent="0.25">
      <c r="A1508" s="198" t="s">
        <v>2763</v>
      </c>
      <c r="B1508" s="198" t="s">
        <v>9160</v>
      </c>
      <c r="C1508" s="198">
        <v>0</v>
      </c>
      <c r="D1508" s="196">
        <v>253</v>
      </c>
      <c r="E1508" s="196">
        <v>66.290000000000006</v>
      </c>
      <c r="F1508" s="196">
        <v>0.41799999999999998</v>
      </c>
      <c r="G1508" s="196">
        <v>13.167</v>
      </c>
      <c r="H1508" s="196">
        <v>140.53</v>
      </c>
      <c r="I1508" s="196">
        <v>164.02</v>
      </c>
      <c r="J1508" s="196">
        <v>1.5680000000000001</v>
      </c>
      <c r="K1508" s="196">
        <v>0.60899999999999999</v>
      </c>
      <c r="L1508" s="200">
        <v>1508</v>
      </c>
      <c r="M1508" s="200">
        <v>2</v>
      </c>
      <c r="N1508" s="200">
        <v>8</v>
      </c>
    </row>
    <row r="1509" spans="1:17" x14ac:dyDescent="0.25">
      <c r="A1509" s="198" t="s">
        <v>2763</v>
      </c>
      <c r="B1509" s="198" t="s">
        <v>9161</v>
      </c>
      <c r="C1509" s="198">
        <v>0</v>
      </c>
      <c r="D1509" s="196">
        <v>228</v>
      </c>
      <c r="E1509" s="196">
        <v>66.375</v>
      </c>
      <c r="F1509" s="196">
        <v>0.41599999999999998</v>
      </c>
      <c r="G1509" s="196">
        <v>19.062999999999999</v>
      </c>
      <c r="H1509" s="196">
        <v>208.75</v>
      </c>
      <c r="I1509" s="196">
        <v>73.849999999999994</v>
      </c>
      <c r="J1509" s="196">
        <v>113.85</v>
      </c>
      <c r="K1509" s="196"/>
      <c r="L1509" s="200">
        <v>1509</v>
      </c>
      <c r="M1509" s="200">
        <v>2</v>
      </c>
      <c r="N1509" s="200">
        <v>8</v>
      </c>
    </row>
    <row r="1510" spans="1:17" x14ac:dyDescent="0.25">
      <c r="A1510" s="198" t="s">
        <v>1966</v>
      </c>
      <c r="B1510" s="198" t="s">
        <v>9162</v>
      </c>
      <c r="C1510" s="198">
        <v>0</v>
      </c>
      <c r="D1510" s="196">
        <v>63</v>
      </c>
      <c r="E1510" s="196">
        <v>66.381</v>
      </c>
      <c r="F1510" s="196">
        <v>0.78200000000000003</v>
      </c>
      <c r="G1510" s="196">
        <v>4.8380000000000001</v>
      </c>
      <c r="H1510" s="196">
        <v>40.597999999999999</v>
      </c>
      <c r="I1510" s="196">
        <v>106.333</v>
      </c>
      <c r="J1510" s="196">
        <v>22.856999999999999</v>
      </c>
      <c r="K1510" s="196"/>
      <c r="L1510" s="200">
        <v>1510</v>
      </c>
      <c r="M1510" s="200">
        <v>2</v>
      </c>
      <c r="N1510" s="200">
        <v>6</v>
      </c>
    </row>
    <row r="1511" spans="1:17" x14ac:dyDescent="0.25">
      <c r="A1511" s="198" t="s">
        <v>2763</v>
      </c>
      <c r="B1511" s="198" t="s">
        <v>9163</v>
      </c>
      <c r="C1511" s="198">
        <v>0</v>
      </c>
      <c r="D1511" s="196">
        <v>102</v>
      </c>
      <c r="E1511" s="196">
        <v>66.683999999999997</v>
      </c>
      <c r="F1511" s="196">
        <v>0.46500000000000002</v>
      </c>
      <c r="G1511" s="196">
        <v>19.21</v>
      </c>
      <c r="H1511" s="196">
        <v>151.79</v>
      </c>
      <c r="I1511" s="196">
        <v>87.26</v>
      </c>
      <c r="J1511" s="196">
        <v>359.16</v>
      </c>
      <c r="K1511" s="196"/>
      <c r="L1511" s="200">
        <v>1511</v>
      </c>
      <c r="M1511" s="200">
        <v>2</v>
      </c>
      <c r="N1511" s="200">
        <v>8</v>
      </c>
    </row>
    <row r="1512" spans="1:17" x14ac:dyDescent="0.25">
      <c r="A1512" s="198" t="s">
        <v>2763</v>
      </c>
      <c r="B1512" s="198" t="s">
        <v>9164</v>
      </c>
      <c r="C1512" s="198">
        <v>0</v>
      </c>
      <c r="D1512" s="196">
        <v>95</v>
      </c>
      <c r="E1512" s="196">
        <v>66.790000000000006</v>
      </c>
      <c r="F1512" s="196">
        <v>0.439</v>
      </c>
      <c r="G1512" s="196">
        <v>17.62</v>
      </c>
      <c r="H1512" s="196">
        <v>83.77</v>
      </c>
      <c r="I1512" s="196">
        <v>141.94</v>
      </c>
      <c r="J1512" s="196">
        <v>350.07</v>
      </c>
      <c r="K1512" s="196"/>
      <c r="L1512" s="200">
        <v>1512</v>
      </c>
      <c r="M1512" s="200">
        <v>2</v>
      </c>
      <c r="N1512" s="200">
        <v>8</v>
      </c>
    </row>
    <row r="1513" spans="1:17" x14ac:dyDescent="0.25">
      <c r="A1513" s="198" t="s">
        <v>2763</v>
      </c>
      <c r="B1513" s="198" t="s">
        <v>9165</v>
      </c>
      <c r="C1513" s="198">
        <v>0</v>
      </c>
      <c r="D1513" s="196">
        <v>94</v>
      </c>
      <c r="E1513" s="196">
        <v>67.099999999999994</v>
      </c>
      <c r="F1513" s="196">
        <v>0.46</v>
      </c>
      <c r="G1513" s="196">
        <v>22.45</v>
      </c>
      <c r="H1513" s="196">
        <v>236.7</v>
      </c>
      <c r="I1513" s="196">
        <v>65.56</v>
      </c>
      <c r="J1513" s="196">
        <v>343.8</v>
      </c>
      <c r="K1513" s="196"/>
      <c r="L1513" s="200">
        <v>1513</v>
      </c>
      <c r="M1513" s="200">
        <v>2</v>
      </c>
      <c r="N1513" s="200">
        <v>8</v>
      </c>
    </row>
    <row r="1514" spans="1:17" x14ac:dyDescent="0.25">
      <c r="A1514" s="198" t="s">
        <v>2763</v>
      </c>
      <c r="B1514" s="198" t="s">
        <v>9166</v>
      </c>
      <c r="C1514" s="198">
        <v>0</v>
      </c>
      <c r="D1514" s="196">
        <v>345</v>
      </c>
      <c r="E1514" s="196">
        <v>67.171000000000006</v>
      </c>
      <c r="F1514" s="196">
        <v>0.437</v>
      </c>
      <c r="G1514" s="196">
        <v>30.690999999999999</v>
      </c>
      <c r="H1514" s="196">
        <v>21.846</v>
      </c>
      <c r="I1514" s="196">
        <v>334.12200000000001</v>
      </c>
      <c r="J1514" s="196">
        <v>123.64</v>
      </c>
      <c r="K1514" s="196"/>
      <c r="L1514" s="200">
        <v>1514</v>
      </c>
      <c r="M1514" s="200">
        <v>2</v>
      </c>
      <c r="N1514" s="200">
        <v>8</v>
      </c>
    </row>
    <row r="1515" spans="1:17" x14ac:dyDescent="0.25">
      <c r="A1515" s="198" t="s">
        <v>2763</v>
      </c>
      <c r="B1515" s="198" t="s">
        <v>9167</v>
      </c>
      <c r="C1515" s="198">
        <v>0</v>
      </c>
      <c r="D1515" s="196">
        <v>101</v>
      </c>
      <c r="E1515" s="196">
        <v>67.25</v>
      </c>
      <c r="F1515" s="196">
        <v>0.42799999999999999</v>
      </c>
      <c r="G1515" s="196">
        <v>4.008</v>
      </c>
      <c r="H1515" s="196">
        <v>69.3</v>
      </c>
      <c r="I1515" s="196">
        <v>276.05</v>
      </c>
      <c r="J1515" s="196">
        <v>355.6</v>
      </c>
      <c r="K1515" s="196"/>
      <c r="L1515" s="200">
        <v>1515</v>
      </c>
      <c r="M1515" s="200">
        <v>2</v>
      </c>
      <c r="N1515" s="200">
        <v>8</v>
      </c>
    </row>
    <row r="1516" spans="1:17" x14ac:dyDescent="0.25">
      <c r="A1516" s="198" t="s">
        <v>1966</v>
      </c>
      <c r="B1516" s="198" t="s">
        <v>9168</v>
      </c>
      <c r="C1516" s="198">
        <v>0</v>
      </c>
      <c r="D1516" s="196">
        <v>86</v>
      </c>
      <c r="E1516" s="196">
        <v>67.299000000000007</v>
      </c>
      <c r="F1516" s="196">
        <v>0.68799999999999994</v>
      </c>
      <c r="G1516" s="196">
        <v>77.953999999999994</v>
      </c>
      <c r="H1516" s="196">
        <v>28.135000000000002</v>
      </c>
      <c r="I1516" s="196">
        <v>90.403999999999996</v>
      </c>
      <c r="J1516" s="196">
        <v>6.1790000000000003</v>
      </c>
      <c r="K1516" s="196"/>
      <c r="L1516" s="200">
        <v>1516</v>
      </c>
      <c r="M1516" s="200">
        <v>2</v>
      </c>
      <c r="N1516" s="200">
        <v>6</v>
      </c>
    </row>
    <row r="1517" spans="1:17" x14ac:dyDescent="0.25">
      <c r="A1517" s="199" t="s">
        <v>2923</v>
      </c>
      <c r="B1517" s="198" t="s">
        <v>2924</v>
      </c>
      <c r="C1517" s="198">
        <v>1</v>
      </c>
      <c r="D1517" s="196">
        <v>615</v>
      </c>
      <c r="E1517" s="196">
        <v>67.484999999999999</v>
      </c>
      <c r="F1517" s="196">
        <v>0.499</v>
      </c>
      <c r="G1517" s="196">
        <v>30.626999999999999</v>
      </c>
      <c r="H1517" s="196">
        <v>207.66800000000001</v>
      </c>
      <c r="I1517" s="196">
        <v>336.85700000000003</v>
      </c>
      <c r="J1517" s="196">
        <v>106.496</v>
      </c>
      <c r="K1517" s="196">
        <v>1.74</v>
      </c>
      <c r="L1517" s="200">
        <v>1517</v>
      </c>
      <c r="M1517" s="200">
        <v>1</v>
      </c>
      <c r="N1517" s="200">
        <v>2</v>
      </c>
      <c r="O1517" s="194" t="s">
        <v>2924</v>
      </c>
      <c r="P1517" s="194" t="s">
        <v>9586</v>
      </c>
      <c r="Q1517" s="200" t="s">
        <v>8068</v>
      </c>
    </row>
    <row r="1518" spans="1:17" x14ac:dyDescent="0.25">
      <c r="A1518" s="198" t="s">
        <v>32</v>
      </c>
      <c r="B1518" s="198" t="s">
        <v>2931</v>
      </c>
      <c r="C1518" s="198"/>
      <c r="D1518" s="196">
        <v>50</v>
      </c>
      <c r="E1518" s="196"/>
      <c r="F1518" s="196">
        <v>0.29099999999999998</v>
      </c>
      <c r="G1518" s="196"/>
      <c r="H1518" s="196"/>
      <c r="I1518" s="196"/>
      <c r="J1518" s="196"/>
      <c r="K1518" s="196"/>
      <c r="L1518" s="200">
        <v>1518</v>
      </c>
      <c r="M1518" s="200">
        <v>1</v>
      </c>
      <c r="N1518" s="200">
        <v>27</v>
      </c>
    </row>
    <row r="1519" spans="1:17" x14ac:dyDescent="0.25">
      <c r="A1519" s="198" t="s">
        <v>2763</v>
      </c>
      <c r="B1519" s="198" t="s">
        <v>9169</v>
      </c>
      <c r="C1519" s="198">
        <v>0</v>
      </c>
      <c r="D1519" s="196">
        <v>133</v>
      </c>
      <c r="E1519" s="196">
        <v>67.55</v>
      </c>
      <c r="F1519" s="196">
        <v>0.45700000000000002</v>
      </c>
      <c r="G1519" s="196">
        <v>21.54</v>
      </c>
      <c r="H1519" s="196">
        <v>116.93</v>
      </c>
      <c r="I1519" s="196">
        <v>199.53</v>
      </c>
      <c r="J1519" s="196">
        <v>24.27</v>
      </c>
      <c r="K1519" s="196"/>
      <c r="L1519" s="200">
        <v>1519</v>
      </c>
      <c r="M1519" s="200">
        <v>2</v>
      </c>
      <c r="N1519" s="200">
        <v>8</v>
      </c>
    </row>
    <row r="1520" spans="1:17" x14ac:dyDescent="0.25">
      <c r="A1520" s="198" t="s">
        <v>1966</v>
      </c>
      <c r="B1520" s="198" t="s">
        <v>9170</v>
      </c>
      <c r="C1520" s="198">
        <v>0</v>
      </c>
      <c r="D1520" s="196">
        <v>116</v>
      </c>
      <c r="E1520" s="196">
        <v>67.63</v>
      </c>
      <c r="F1520" s="196">
        <v>0.58799999999999997</v>
      </c>
      <c r="G1520" s="196">
        <v>24.11</v>
      </c>
      <c r="H1520" s="196">
        <v>327.26</v>
      </c>
      <c r="I1520" s="196">
        <v>137.93</v>
      </c>
      <c r="J1520" s="196">
        <v>336.83</v>
      </c>
      <c r="K1520" s="196"/>
      <c r="L1520" s="200">
        <v>1520</v>
      </c>
      <c r="M1520" s="200">
        <v>2</v>
      </c>
      <c r="N1520" s="200">
        <v>6</v>
      </c>
    </row>
    <row r="1521" spans="1:17" x14ac:dyDescent="0.25">
      <c r="A1521" s="198" t="s">
        <v>2763</v>
      </c>
      <c r="B1521" s="198" t="s">
        <v>9171</v>
      </c>
      <c r="C1521" s="198">
        <v>0</v>
      </c>
      <c r="D1521" s="196">
        <v>97</v>
      </c>
      <c r="E1521" s="196">
        <v>67.73</v>
      </c>
      <c r="F1521" s="196">
        <v>0.48599999999999999</v>
      </c>
      <c r="G1521" s="196">
        <v>24.38</v>
      </c>
      <c r="H1521" s="196">
        <v>183.48</v>
      </c>
      <c r="I1521" s="196">
        <v>332.55</v>
      </c>
      <c r="J1521" s="196">
        <v>5.0369999999999999</v>
      </c>
      <c r="K1521" s="196"/>
      <c r="L1521" s="200">
        <v>1521</v>
      </c>
      <c r="M1521" s="200">
        <v>2</v>
      </c>
      <c r="N1521" s="200">
        <v>8</v>
      </c>
    </row>
    <row r="1522" spans="1:17" x14ac:dyDescent="0.25">
      <c r="A1522" s="198" t="s">
        <v>2763</v>
      </c>
      <c r="B1522" s="198" t="s">
        <v>9172</v>
      </c>
      <c r="C1522" s="198">
        <v>0</v>
      </c>
      <c r="D1522" s="196">
        <v>116</v>
      </c>
      <c r="E1522" s="196">
        <v>67.83</v>
      </c>
      <c r="F1522" s="196">
        <v>0.438</v>
      </c>
      <c r="G1522" s="196">
        <v>16.34</v>
      </c>
      <c r="H1522" s="196">
        <v>339.84800000000001</v>
      </c>
      <c r="I1522" s="196">
        <v>243.50700000000001</v>
      </c>
      <c r="J1522" s="196">
        <v>0.13200000000000001</v>
      </c>
      <c r="K1522" s="196"/>
      <c r="L1522" s="200">
        <v>1522</v>
      </c>
      <c r="M1522" s="200">
        <v>2</v>
      </c>
      <c r="N1522" s="200">
        <v>8</v>
      </c>
    </row>
    <row r="1523" spans="1:17" x14ac:dyDescent="0.25">
      <c r="A1523" s="199" t="s">
        <v>2933</v>
      </c>
      <c r="B1523" s="198" t="s">
        <v>2934</v>
      </c>
      <c r="C1523" s="198">
        <v>1</v>
      </c>
      <c r="D1523" s="196">
        <v>1163</v>
      </c>
      <c r="E1523" s="196">
        <v>67.864000000000004</v>
      </c>
      <c r="F1523" s="196">
        <v>0.436</v>
      </c>
      <c r="G1523" s="196">
        <v>44.04</v>
      </c>
      <c r="H1523" s="196">
        <v>151.63900000000001</v>
      </c>
      <c r="I1523" s="196">
        <v>35.951000000000001</v>
      </c>
      <c r="J1523" s="196">
        <v>205.989</v>
      </c>
      <c r="K1523" s="196">
        <v>2.4300000000000002</v>
      </c>
      <c r="L1523" s="200">
        <v>1523</v>
      </c>
      <c r="M1523" s="200">
        <v>1</v>
      </c>
      <c r="N1523" s="200">
        <v>2</v>
      </c>
      <c r="O1523" s="194" t="s">
        <v>2934</v>
      </c>
      <c r="P1523" s="194" t="s">
        <v>9585</v>
      </c>
      <c r="Q1523" s="200" t="s">
        <v>8068</v>
      </c>
    </row>
    <row r="1524" spans="1:17" x14ac:dyDescent="0.25">
      <c r="A1524" s="198" t="s">
        <v>32</v>
      </c>
      <c r="B1524" s="198" t="s">
        <v>2941</v>
      </c>
      <c r="C1524" s="198"/>
      <c r="D1524" s="196">
        <v>308</v>
      </c>
      <c r="E1524" s="196"/>
      <c r="F1524" s="196">
        <v>6.0000000000000001E-3</v>
      </c>
      <c r="G1524" s="196">
        <v>61.59</v>
      </c>
      <c r="H1524" s="196"/>
      <c r="I1524" s="196"/>
      <c r="J1524" s="196"/>
      <c r="K1524" s="196">
        <v>0.7</v>
      </c>
      <c r="L1524" s="200">
        <v>1524</v>
      </c>
      <c r="M1524" s="200">
        <v>1</v>
      </c>
      <c r="N1524" s="200">
        <v>4</v>
      </c>
    </row>
    <row r="1525" spans="1:17" x14ac:dyDescent="0.25">
      <c r="A1525" s="198" t="s">
        <v>2763</v>
      </c>
      <c r="B1525" s="198" t="s">
        <v>9173</v>
      </c>
      <c r="C1525" s="198">
        <v>0</v>
      </c>
      <c r="D1525" s="196">
        <v>158</v>
      </c>
      <c r="E1525" s="196">
        <v>68.64</v>
      </c>
      <c r="F1525" s="196">
        <v>0.5</v>
      </c>
      <c r="G1525" s="196">
        <v>10.71</v>
      </c>
      <c r="H1525" s="196">
        <v>27.12</v>
      </c>
      <c r="I1525" s="196">
        <v>316.69</v>
      </c>
      <c r="J1525" s="196">
        <v>347.88</v>
      </c>
      <c r="K1525" s="196"/>
      <c r="L1525" s="200">
        <v>1525</v>
      </c>
      <c r="M1525" s="200">
        <v>2</v>
      </c>
      <c r="N1525" s="200">
        <v>8</v>
      </c>
    </row>
    <row r="1526" spans="1:17" x14ac:dyDescent="0.25">
      <c r="A1526" s="198" t="s">
        <v>2763</v>
      </c>
      <c r="B1526" s="198" t="s">
        <v>9174</v>
      </c>
      <c r="C1526" s="198">
        <v>0</v>
      </c>
      <c r="D1526" s="196">
        <v>145</v>
      </c>
      <c r="E1526" s="196">
        <v>69</v>
      </c>
      <c r="F1526" s="196">
        <v>0.48</v>
      </c>
      <c r="G1526" s="196">
        <v>12.87</v>
      </c>
      <c r="H1526" s="196">
        <v>258</v>
      </c>
      <c r="I1526" s="196">
        <v>250.51</v>
      </c>
      <c r="J1526" s="196">
        <v>39</v>
      </c>
      <c r="K1526" s="196"/>
      <c r="L1526" s="200">
        <v>1526</v>
      </c>
      <c r="M1526" s="200">
        <v>2</v>
      </c>
      <c r="N1526" s="200">
        <v>8</v>
      </c>
    </row>
    <row r="1527" spans="1:17" x14ac:dyDescent="0.25">
      <c r="A1527" s="198" t="s">
        <v>1966</v>
      </c>
      <c r="B1527" s="198" t="s">
        <v>9175</v>
      </c>
      <c r="C1527" s="198">
        <v>0</v>
      </c>
      <c r="D1527" s="196">
        <v>58</v>
      </c>
      <c r="E1527" s="196">
        <v>69.567999999999998</v>
      </c>
      <c r="F1527" s="196">
        <v>0.70199999999999996</v>
      </c>
      <c r="G1527" s="196">
        <v>14.006</v>
      </c>
      <c r="H1527" s="196">
        <v>138.36600000000001</v>
      </c>
      <c r="I1527" s="196">
        <v>225.77099999999999</v>
      </c>
      <c r="J1527" s="196">
        <v>17.77</v>
      </c>
      <c r="K1527" s="196"/>
      <c r="L1527" s="200">
        <v>1527</v>
      </c>
      <c r="M1527" s="200">
        <v>2</v>
      </c>
      <c r="N1527" s="200">
        <v>6</v>
      </c>
    </row>
    <row r="1528" spans="1:17" x14ac:dyDescent="0.25">
      <c r="A1528" s="198" t="s">
        <v>2763</v>
      </c>
      <c r="B1528" s="198" t="s">
        <v>9176</v>
      </c>
      <c r="C1528" s="198">
        <v>0</v>
      </c>
      <c r="D1528" s="196">
        <v>165</v>
      </c>
      <c r="E1528" s="196">
        <v>69.783000000000001</v>
      </c>
      <c r="F1528" s="196">
        <v>0.45400000000000001</v>
      </c>
      <c r="G1528" s="196">
        <v>12.026</v>
      </c>
      <c r="H1528" s="196">
        <v>319.22500000000002</v>
      </c>
      <c r="I1528" s="196">
        <v>19.007000000000001</v>
      </c>
      <c r="J1528" s="196">
        <v>305.69900000000001</v>
      </c>
      <c r="K1528" s="196"/>
      <c r="L1528" s="200">
        <v>1528</v>
      </c>
      <c r="M1528" s="200">
        <v>2</v>
      </c>
      <c r="N1528" s="200">
        <v>8</v>
      </c>
    </row>
    <row r="1529" spans="1:17" x14ac:dyDescent="0.25">
      <c r="A1529" s="198" t="s">
        <v>2763</v>
      </c>
      <c r="B1529" s="198" t="s">
        <v>9177</v>
      </c>
      <c r="C1529" s="198">
        <v>0</v>
      </c>
      <c r="D1529" s="196">
        <v>113</v>
      </c>
      <c r="E1529" s="196">
        <v>70.013000000000005</v>
      </c>
      <c r="F1529" s="196">
        <v>0.50600000000000001</v>
      </c>
      <c r="G1529" s="196">
        <v>18.940000000000001</v>
      </c>
      <c r="H1529" s="196">
        <v>44.225000000000001</v>
      </c>
      <c r="I1529" s="196">
        <v>46.694000000000003</v>
      </c>
      <c r="J1529" s="196">
        <v>342.09100000000001</v>
      </c>
      <c r="K1529" s="196"/>
      <c r="L1529" s="200">
        <v>1529</v>
      </c>
      <c r="M1529" s="200">
        <v>2</v>
      </c>
      <c r="N1529" s="200">
        <v>8</v>
      </c>
    </row>
    <row r="1530" spans="1:17" x14ac:dyDescent="0.25">
      <c r="A1530" s="198" t="s">
        <v>2763</v>
      </c>
      <c r="B1530" s="198" t="s">
        <v>2945</v>
      </c>
      <c r="C1530" s="198">
        <v>0</v>
      </c>
      <c r="D1530" s="196">
        <v>238</v>
      </c>
      <c r="E1530" s="196">
        <v>70.543999999999997</v>
      </c>
      <c r="F1530" s="196">
        <v>0.53900000000000003</v>
      </c>
      <c r="G1530" s="196">
        <v>29.443999999999999</v>
      </c>
      <c r="H1530" s="196">
        <v>284.25</v>
      </c>
      <c r="I1530" s="196">
        <v>346.15</v>
      </c>
      <c r="J1530" s="196">
        <v>347.58</v>
      </c>
      <c r="K1530" s="196"/>
      <c r="L1530" s="200">
        <v>1530</v>
      </c>
      <c r="M1530" s="200">
        <v>1</v>
      </c>
      <c r="N1530" s="200">
        <v>8</v>
      </c>
    </row>
    <row r="1531" spans="1:17" x14ac:dyDescent="0.25">
      <c r="A1531" s="198" t="s">
        <v>1966</v>
      </c>
      <c r="B1531" s="198" t="s">
        <v>9178</v>
      </c>
      <c r="C1531" s="198">
        <v>0</v>
      </c>
      <c r="D1531" s="196">
        <v>61</v>
      </c>
      <c r="E1531" s="196">
        <v>70.635000000000005</v>
      </c>
      <c r="F1531" s="196">
        <v>0.61099999999999999</v>
      </c>
      <c r="G1531" s="196">
        <v>18.724</v>
      </c>
      <c r="H1531" s="196">
        <v>296.30500000000001</v>
      </c>
      <c r="I1531" s="196">
        <v>171.625</v>
      </c>
      <c r="J1531" s="196">
        <v>26.359000000000002</v>
      </c>
      <c r="K1531" s="196"/>
      <c r="L1531" s="200">
        <v>1531</v>
      </c>
      <c r="M1531" s="200">
        <v>2</v>
      </c>
      <c r="N1531" s="200">
        <v>6</v>
      </c>
    </row>
    <row r="1532" spans="1:17" x14ac:dyDescent="0.25">
      <c r="A1532" s="198" t="s">
        <v>2763</v>
      </c>
      <c r="B1532" s="198" t="s">
        <v>9179</v>
      </c>
      <c r="C1532" s="198">
        <v>0</v>
      </c>
      <c r="D1532" s="196">
        <v>107</v>
      </c>
      <c r="E1532" s="196">
        <v>70.89</v>
      </c>
      <c r="F1532" s="196">
        <v>0.49</v>
      </c>
      <c r="G1532" s="196">
        <v>20.86</v>
      </c>
      <c r="H1532" s="196">
        <v>76.569999999999993</v>
      </c>
      <c r="I1532" s="196">
        <v>209.44</v>
      </c>
      <c r="J1532" s="196">
        <v>26.97</v>
      </c>
      <c r="K1532" s="196"/>
      <c r="L1532" s="200">
        <v>1532</v>
      </c>
      <c r="M1532" s="200">
        <v>2</v>
      </c>
      <c r="N1532" s="200">
        <v>8</v>
      </c>
    </row>
    <row r="1533" spans="1:17" x14ac:dyDescent="0.25">
      <c r="A1533" s="198" t="s">
        <v>2763</v>
      </c>
      <c r="B1533" s="198" t="s">
        <v>9180</v>
      </c>
      <c r="C1533" s="198">
        <v>0</v>
      </c>
      <c r="D1533" s="196">
        <v>118</v>
      </c>
      <c r="E1533" s="196">
        <v>71.02</v>
      </c>
      <c r="F1533" s="196">
        <v>0.52200000000000002</v>
      </c>
      <c r="G1533" s="196">
        <v>3.96</v>
      </c>
      <c r="H1533" s="196">
        <v>249.85</v>
      </c>
      <c r="I1533" s="196">
        <v>249.85</v>
      </c>
      <c r="J1533" s="196">
        <v>338.76</v>
      </c>
      <c r="K1533" s="196"/>
      <c r="L1533" s="200">
        <v>1533</v>
      </c>
      <c r="M1533" s="200">
        <v>2</v>
      </c>
      <c r="N1533" s="200">
        <v>8</v>
      </c>
    </row>
    <row r="1534" spans="1:17" x14ac:dyDescent="0.25">
      <c r="A1534" s="198" t="s">
        <v>2763</v>
      </c>
      <c r="B1534" s="198" t="s">
        <v>9181</v>
      </c>
      <c r="C1534" s="198">
        <v>0</v>
      </c>
      <c r="D1534" s="196">
        <v>227</v>
      </c>
      <c r="E1534" s="196">
        <v>71.632000000000005</v>
      </c>
      <c r="F1534" s="196">
        <v>0.503</v>
      </c>
      <c r="G1534" s="196">
        <v>13.858000000000001</v>
      </c>
      <c r="H1534" s="196">
        <v>301.44099999999997</v>
      </c>
      <c r="I1534" s="196">
        <v>67.257999999999996</v>
      </c>
      <c r="J1534" s="196">
        <v>238.82300000000001</v>
      </c>
      <c r="K1534" s="196"/>
      <c r="L1534" s="200">
        <v>1534</v>
      </c>
      <c r="M1534" s="200">
        <v>2</v>
      </c>
      <c r="N1534" s="200">
        <v>8</v>
      </c>
    </row>
    <row r="1535" spans="1:17" x14ac:dyDescent="0.25">
      <c r="A1535" s="198" t="s">
        <v>2763</v>
      </c>
      <c r="B1535" s="198" t="s">
        <v>9182</v>
      </c>
      <c r="C1535" s="198">
        <v>0</v>
      </c>
      <c r="D1535" s="196">
        <v>151</v>
      </c>
      <c r="E1535" s="196">
        <v>72</v>
      </c>
      <c r="F1535" s="196">
        <v>0.505</v>
      </c>
      <c r="G1535" s="196">
        <v>7</v>
      </c>
      <c r="H1535" s="196">
        <v>261.8</v>
      </c>
      <c r="I1535" s="196">
        <v>165.09</v>
      </c>
      <c r="J1535" s="196">
        <v>24.6</v>
      </c>
      <c r="K1535" s="196"/>
      <c r="L1535" s="200">
        <v>1535</v>
      </c>
      <c r="M1535" s="200">
        <v>2</v>
      </c>
      <c r="N1535" s="200">
        <v>8</v>
      </c>
    </row>
    <row r="1536" spans="1:17" x14ac:dyDescent="0.25">
      <c r="A1536" s="198" t="s">
        <v>2763</v>
      </c>
      <c r="B1536" s="198" t="s">
        <v>9183</v>
      </c>
      <c r="C1536" s="198">
        <v>0</v>
      </c>
      <c r="D1536" s="196">
        <v>263</v>
      </c>
      <c r="E1536" s="196">
        <v>72.150000000000006</v>
      </c>
      <c r="F1536" s="196">
        <v>0.44400000000000001</v>
      </c>
      <c r="G1536" s="196">
        <v>30.024000000000001</v>
      </c>
      <c r="H1536" s="196">
        <v>189.01</v>
      </c>
      <c r="I1536" s="196">
        <v>250.26</v>
      </c>
      <c r="J1536" s="196">
        <v>91.584000000000003</v>
      </c>
      <c r="K1536" s="196"/>
      <c r="L1536" s="200">
        <v>1536</v>
      </c>
      <c r="M1536" s="200">
        <v>2</v>
      </c>
      <c r="N1536" s="200">
        <v>8</v>
      </c>
    </row>
    <row r="1537" spans="1:14" x14ac:dyDescent="0.25">
      <c r="A1537" s="198" t="s">
        <v>2763</v>
      </c>
      <c r="B1537" s="198" t="s">
        <v>9184</v>
      </c>
      <c r="C1537" s="198">
        <v>0</v>
      </c>
      <c r="D1537" s="196">
        <v>94</v>
      </c>
      <c r="E1537" s="196">
        <v>72.19</v>
      </c>
      <c r="F1537" s="196">
        <v>0.439</v>
      </c>
      <c r="G1537" s="196">
        <v>33.85</v>
      </c>
      <c r="H1537" s="196">
        <v>135.99</v>
      </c>
      <c r="I1537" s="196">
        <v>106.46</v>
      </c>
      <c r="J1537" s="196">
        <v>2.57</v>
      </c>
      <c r="K1537" s="196"/>
      <c r="L1537" s="200">
        <v>1537</v>
      </c>
      <c r="M1537" s="200">
        <v>2</v>
      </c>
      <c r="N1537" s="200">
        <v>8</v>
      </c>
    </row>
    <row r="1538" spans="1:14" x14ac:dyDescent="0.25">
      <c r="A1538" s="198" t="s">
        <v>2763</v>
      </c>
      <c r="B1538" s="198" t="s">
        <v>2962</v>
      </c>
      <c r="C1538" s="198">
        <v>1</v>
      </c>
      <c r="D1538" s="196">
        <v>321</v>
      </c>
      <c r="E1538" s="196">
        <v>72.801000000000002</v>
      </c>
      <c r="F1538" s="196">
        <v>0.48399999999999999</v>
      </c>
      <c r="G1538" s="196">
        <v>23.378</v>
      </c>
      <c r="H1538" s="196">
        <v>346.88</v>
      </c>
      <c r="I1538" s="196">
        <v>131.09</v>
      </c>
      <c r="J1538" s="196">
        <v>344.21</v>
      </c>
      <c r="K1538" s="196">
        <v>1.04</v>
      </c>
      <c r="L1538" s="200">
        <v>1538</v>
      </c>
      <c r="M1538" s="200">
        <v>1</v>
      </c>
      <c r="N1538" s="200">
        <v>8</v>
      </c>
    </row>
    <row r="1539" spans="1:14" x14ac:dyDescent="0.25">
      <c r="A1539" s="198" t="s">
        <v>32</v>
      </c>
      <c r="B1539" s="198" t="s">
        <v>2969</v>
      </c>
      <c r="C1539" s="198"/>
      <c r="D1539" s="196">
        <v>71</v>
      </c>
      <c r="E1539" s="196"/>
      <c r="F1539" s="196">
        <v>2.4E-2</v>
      </c>
      <c r="G1539" s="196"/>
      <c r="H1539" s="196"/>
      <c r="I1539" s="196"/>
      <c r="J1539" s="196"/>
      <c r="K1539" s="196"/>
      <c r="L1539" s="200">
        <v>1539</v>
      </c>
      <c r="M1539" s="200">
        <v>1</v>
      </c>
      <c r="N1539" s="200">
        <v>29</v>
      </c>
    </row>
    <row r="1540" spans="1:14" x14ac:dyDescent="0.25">
      <c r="A1540" s="198" t="s">
        <v>2763</v>
      </c>
      <c r="B1540" s="198" t="s">
        <v>9185</v>
      </c>
      <c r="C1540" s="198">
        <v>0</v>
      </c>
      <c r="D1540" s="196">
        <v>116</v>
      </c>
      <c r="E1540" s="196">
        <v>72.846999999999994</v>
      </c>
      <c r="F1540" s="196">
        <v>0.48899999999999999</v>
      </c>
      <c r="G1540" s="196">
        <v>10.169</v>
      </c>
      <c r="H1540" s="196">
        <v>129.21</v>
      </c>
      <c r="I1540" s="196">
        <v>341.04</v>
      </c>
      <c r="J1540" s="196">
        <v>19.37</v>
      </c>
      <c r="K1540" s="196"/>
      <c r="L1540" s="200">
        <v>1540</v>
      </c>
      <c r="M1540" s="200">
        <v>2</v>
      </c>
      <c r="N1540" s="200">
        <v>8</v>
      </c>
    </row>
    <row r="1541" spans="1:14" x14ac:dyDescent="0.25">
      <c r="A1541" s="198" t="s">
        <v>2763</v>
      </c>
      <c r="B1541" s="198" t="s">
        <v>9186</v>
      </c>
      <c r="C1541" s="198">
        <v>0</v>
      </c>
      <c r="D1541" s="196">
        <v>165</v>
      </c>
      <c r="E1541" s="196">
        <v>72.87</v>
      </c>
      <c r="F1541" s="196">
        <v>0.439</v>
      </c>
      <c r="G1541" s="196">
        <v>33.58</v>
      </c>
      <c r="H1541" s="196">
        <v>142</v>
      </c>
      <c r="I1541" s="196">
        <v>302.89</v>
      </c>
      <c r="J1541" s="196">
        <v>9.9700000000000006</v>
      </c>
      <c r="K1541" s="196"/>
      <c r="L1541" s="200">
        <v>1541</v>
      </c>
      <c r="M1541" s="200">
        <v>2</v>
      </c>
      <c r="N1541" s="200">
        <v>8</v>
      </c>
    </row>
    <row r="1542" spans="1:14" x14ac:dyDescent="0.25">
      <c r="A1542" s="198" t="s">
        <v>2763</v>
      </c>
      <c r="B1542" s="198" t="s">
        <v>9187</v>
      </c>
      <c r="C1542" s="198">
        <v>0</v>
      </c>
      <c r="D1542" s="196">
        <v>127</v>
      </c>
      <c r="E1542" s="196">
        <v>73.239999999999995</v>
      </c>
      <c r="F1542" s="196">
        <v>0.46200000000000002</v>
      </c>
      <c r="G1542" s="196">
        <v>25.98</v>
      </c>
      <c r="H1542" s="196">
        <v>45.19</v>
      </c>
      <c r="I1542" s="196">
        <v>96.95</v>
      </c>
      <c r="J1542" s="196">
        <v>358.4</v>
      </c>
      <c r="K1542" s="196"/>
      <c r="L1542" s="200">
        <v>1542</v>
      </c>
      <c r="M1542" s="200">
        <v>2</v>
      </c>
      <c r="N1542" s="200">
        <v>8</v>
      </c>
    </row>
    <row r="1543" spans="1:14" x14ac:dyDescent="0.25">
      <c r="A1543" s="198" t="s">
        <v>2763</v>
      </c>
      <c r="B1543" s="198" t="s">
        <v>9188</v>
      </c>
      <c r="C1543" s="198">
        <v>0</v>
      </c>
      <c r="D1543" s="196">
        <v>96</v>
      </c>
      <c r="E1543" s="196">
        <v>74.239999999999995</v>
      </c>
      <c r="F1543" s="196">
        <v>0.48199999999999998</v>
      </c>
      <c r="G1543" s="196">
        <v>28.43</v>
      </c>
      <c r="H1543" s="196">
        <v>158.74</v>
      </c>
      <c r="I1543" s="196">
        <v>182.67</v>
      </c>
      <c r="J1543" s="196">
        <v>21.37</v>
      </c>
      <c r="K1543" s="196"/>
      <c r="L1543" s="200">
        <v>1543</v>
      </c>
      <c r="M1543" s="200">
        <v>2</v>
      </c>
      <c r="N1543" s="200">
        <v>8</v>
      </c>
    </row>
    <row r="1544" spans="1:14" x14ac:dyDescent="0.25">
      <c r="A1544" s="198" t="s">
        <v>2763</v>
      </c>
      <c r="B1544" s="198" t="s">
        <v>9189</v>
      </c>
      <c r="C1544" s="198">
        <v>0</v>
      </c>
      <c r="D1544" s="196">
        <v>218</v>
      </c>
      <c r="E1544" s="196">
        <v>75.165999999999997</v>
      </c>
      <c r="F1544" s="196">
        <v>0.38500000000000001</v>
      </c>
      <c r="G1544" s="196">
        <v>26.538</v>
      </c>
      <c r="H1544" s="196">
        <v>171.47</v>
      </c>
      <c r="I1544" s="196">
        <v>180.428</v>
      </c>
      <c r="J1544" s="196">
        <v>359.52</v>
      </c>
      <c r="K1544" s="196"/>
      <c r="L1544" s="200">
        <v>1544</v>
      </c>
      <c r="M1544" s="200">
        <v>2</v>
      </c>
      <c r="N1544" s="200">
        <v>8</v>
      </c>
    </row>
    <row r="1545" spans="1:14" x14ac:dyDescent="0.25">
      <c r="A1545" s="198" t="s">
        <v>2763</v>
      </c>
      <c r="B1545" s="198" t="s">
        <v>9190</v>
      </c>
      <c r="C1545" s="198">
        <v>0</v>
      </c>
      <c r="D1545" s="196">
        <v>132</v>
      </c>
      <c r="E1545" s="196">
        <v>75.48</v>
      </c>
      <c r="F1545" s="196">
        <v>0.49399999999999999</v>
      </c>
      <c r="G1545" s="196">
        <v>11.315</v>
      </c>
      <c r="H1545" s="196">
        <v>65.8</v>
      </c>
      <c r="I1545" s="196">
        <v>213.92</v>
      </c>
      <c r="J1545" s="196">
        <v>74</v>
      </c>
      <c r="K1545" s="196"/>
      <c r="L1545" s="200">
        <v>1545</v>
      </c>
      <c r="M1545" s="200">
        <v>2</v>
      </c>
      <c r="N1545" s="200">
        <v>8</v>
      </c>
    </row>
    <row r="1546" spans="1:14" x14ac:dyDescent="0.25">
      <c r="A1546" s="198" t="s">
        <v>2763</v>
      </c>
      <c r="B1546" s="198" t="s">
        <v>9191</v>
      </c>
      <c r="C1546" s="198">
        <v>0</v>
      </c>
      <c r="D1546" s="196">
        <v>133</v>
      </c>
      <c r="E1546" s="196">
        <v>75.75</v>
      </c>
      <c r="F1546" s="196">
        <v>0.51600000000000001</v>
      </c>
      <c r="G1546" s="196">
        <v>11.61</v>
      </c>
      <c r="H1546" s="196">
        <v>89.4</v>
      </c>
      <c r="I1546" s="196">
        <v>126.7</v>
      </c>
      <c r="J1546" s="196">
        <v>349.34</v>
      </c>
      <c r="K1546" s="196"/>
      <c r="L1546" s="200">
        <v>1546</v>
      </c>
      <c r="M1546" s="200">
        <v>2</v>
      </c>
      <c r="N1546" s="200">
        <v>8</v>
      </c>
    </row>
    <row r="1547" spans="1:14" x14ac:dyDescent="0.25">
      <c r="A1547" s="198" t="s">
        <v>2763</v>
      </c>
      <c r="B1547" s="198" t="s">
        <v>9192</v>
      </c>
      <c r="C1547" s="198">
        <v>0</v>
      </c>
      <c r="D1547" s="196">
        <v>254</v>
      </c>
      <c r="E1547" s="196">
        <v>76.114000000000004</v>
      </c>
      <c r="F1547" s="196">
        <v>0.32100000000000001</v>
      </c>
      <c r="G1547" s="196">
        <v>29.859000000000002</v>
      </c>
      <c r="H1547" s="196">
        <v>33.137999999999998</v>
      </c>
      <c r="I1547" s="196">
        <v>178</v>
      </c>
      <c r="J1547" s="196">
        <v>357.23</v>
      </c>
      <c r="K1547" s="196"/>
      <c r="L1547" s="200">
        <v>1547</v>
      </c>
      <c r="M1547" s="200">
        <v>2</v>
      </c>
      <c r="N1547" s="200">
        <v>8</v>
      </c>
    </row>
    <row r="1548" spans="1:14" x14ac:dyDescent="0.25">
      <c r="A1548" s="198" t="s">
        <v>2763</v>
      </c>
      <c r="B1548" s="198" t="s">
        <v>9193</v>
      </c>
      <c r="C1548" s="198">
        <v>0</v>
      </c>
      <c r="D1548" s="196">
        <v>113</v>
      </c>
      <c r="E1548" s="196">
        <v>76.22</v>
      </c>
      <c r="F1548" s="196">
        <v>0.52800000000000002</v>
      </c>
      <c r="G1548" s="196">
        <v>5.6369999999999996</v>
      </c>
      <c r="H1548" s="196">
        <v>271.47000000000003</v>
      </c>
      <c r="I1548" s="196">
        <v>34.076000000000001</v>
      </c>
      <c r="J1548" s="196">
        <v>346.07</v>
      </c>
      <c r="K1548" s="196"/>
      <c r="L1548" s="200">
        <v>1548</v>
      </c>
      <c r="M1548" s="200">
        <v>2</v>
      </c>
      <c r="N1548" s="200">
        <v>8</v>
      </c>
    </row>
    <row r="1549" spans="1:14" x14ac:dyDescent="0.25">
      <c r="A1549" s="198" t="s">
        <v>2763</v>
      </c>
      <c r="B1549" s="198" t="s">
        <v>9194</v>
      </c>
      <c r="C1549" s="198">
        <v>0</v>
      </c>
      <c r="D1549" s="196">
        <v>129</v>
      </c>
      <c r="E1549" s="196">
        <v>76.55</v>
      </c>
      <c r="F1549" s="196">
        <v>0.51800000000000002</v>
      </c>
      <c r="G1549" s="196">
        <v>30.76</v>
      </c>
      <c r="H1549" s="196">
        <v>226.82</v>
      </c>
      <c r="I1549" s="196">
        <v>108.87</v>
      </c>
      <c r="J1549" s="196">
        <v>21.98</v>
      </c>
      <c r="K1549" s="196"/>
      <c r="L1549" s="200">
        <v>1549</v>
      </c>
      <c r="M1549" s="200">
        <v>2</v>
      </c>
      <c r="N1549" s="200">
        <v>8</v>
      </c>
    </row>
    <row r="1550" spans="1:14" x14ac:dyDescent="0.25">
      <c r="A1550" s="198" t="s">
        <v>2763</v>
      </c>
      <c r="B1550" s="198" t="s">
        <v>9195</v>
      </c>
      <c r="C1550" s="198">
        <v>0</v>
      </c>
      <c r="D1550" s="196">
        <v>190</v>
      </c>
      <c r="E1550" s="196">
        <v>77.004000000000005</v>
      </c>
      <c r="F1550" s="196">
        <v>0.434</v>
      </c>
      <c r="G1550" s="196">
        <v>39.83</v>
      </c>
      <c r="H1550" s="196">
        <v>258.13</v>
      </c>
      <c r="I1550" s="196">
        <v>54.35</v>
      </c>
      <c r="J1550" s="196">
        <v>7.8090000000000002</v>
      </c>
      <c r="K1550" s="196"/>
      <c r="L1550" s="200">
        <v>1550</v>
      </c>
      <c r="M1550" s="200">
        <v>2</v>
      </c>
      <c r="N1550" s="200">
        <v>8</v>
      </c>
    </row>
    <row r="1551" spans="1:14" x14ac:dyDescent="0.25">
      <c r="A1551" s="198" t="s">
        <v>2763</v>
      </c>
      <c r="B1551" s="198" t="s">
        <v>9196</v>
      </c>
      <c r="C1551" s="198">
        <v>0</v>
      </c>
      <c r="D1551" s="196">
        <v>107</v>
      </c>
      <c r="E1551" s="196">
        <v>77.253</v>
      </c>
      <c r="F1551" s="196">
        <v>0.57699999999999996</v>
      </c>
      <c r="G1551" s="196">
        <v>18.609000000000002</v>
      </c>
      <c r="H1551" s="196">
        <v>213.25</v>
      </c>
      <c r="I1551" s="196">
        <v>269.33499999999998</v>
      </c>
      <c r="J1551" s="196">
        <v>7.4470000000000001</v>
      </c>
      <c r="K1551" s="196"/>
      <c r="L1551" s="200">
        <v>1551</v>
      </c>
      <c r="M1551" s="200">
        <v>2</v>
      </c>
      <c r="N1551" s="200">
        <v>8</v>
      </c>
    </row>
    <row r="1552" spans="1:14" x14ac:dyDescent="0.25">
      <c r="A1552" s="198" t="s">
        <v>1966</v>
      </c>
      <c r="B1552" s="198" t="s">
        <v>9197</v>
      </c>
      <c r="C1552" s="198">
        <v>0</v>
      </c>
      <c r="D1552" s="196">
        <v>73</v>
      </c>
      <c r="E1552" s="196">
        <v>77.516000000000005</v>
      </c>
      <c r="F1552" s="196">
        <v>0.69799999999999995</v>
      </c>
      <c r="G1552" s="196">
        <v>24.234999999999999</v>
      </c>
      <c r="H1552" s="196">
        <v>149.934</v>
      </c>
      <c r="I1552" s="196">
        <v>338.78300000000002</v>
      </c>
      <c r="J1552" s="196">
        <v>8.8019999999999996</v>
      </c>
      <c r="K1552" s="196"/>
      <c r="L1552" s="200">
        <v>1552</v>
      </c>
      <c r="M1552" s="200">
        <v>2</v>
      </c>
      <c r="N1552" s="200">
        <v>6</v>
      </c>
    </row>
    <row r="1553" spans="1:14" x14ac:dyDescent="0.25">
      <c r="A1553" s="198" t="s">
        <v>1966</v>
      </c>
      <c r="B1553" s="198" t="s">
        <v>9198</v>
      </c>
      <c r="C1553" s="198">
        <v>0</v>
      </c>
      <c r="D1553" s="196">
        <v>108</v>
      </c>
      <c r="E1553" s="196">
        <v>78</v>
      </c>
      <c r="F1553" s="196">
        <v>0.63</v>
      </c>
      <c r="G1553" s="196">
        <v>10.99</v>
      </c>
      <c r="H1553" s="196">
        <v>17</v>
      </c>
      <c r="I1553" s="196">
        <v>245.1</v>
      </c>
      <c r="J1553" s="196">
        <v>66</v>
      </c>
      <c r="K1553" s="196"/>
      <c r="L1553" s="200">
        <v>1553</v>
      </c>
      <c r="M1553" s="200">
        <v>2</v>
      </c>
      <c r="N1553" s="200">
        <v>6</v>
      </c>
    </row>
    <row r="1554" spans="1:14" x14ac:dyDescent="0.25">
      <c r="A1554" s="198" t="s">
        <v>1966</v>
      </c>
      <c r="B1554" s="198" t="s">
        <v>9199</v>
      </c>
      <c r="C1554" s="198">
        <v>0</v>
      </c>
      <c r="D1554" s="196">
        <v>79</v>
      </c>
      <c r="E1554" s="196">
        <v>78.433000000000007</v>
      </c>
      <c r="F1554" s="196">
        <v>0.79100000000000004</v>
      </c>
      <c r="G1554" s="196">
        <v>50.743000000000002</v>
      </c>
      <c r="H1554" s="196">
        <v>24.631</v>
      </c>
      <c r="I1554" s="196">
        <v>82.084000000000003</v>
      </c>
      <c r="J1554" s="196">
        <v>351.28800000000001</v>
      </c>
      <c r="K1554" s="196"/>
      <c r="L1554" s="200">
        <v>1554</v>
      </c>
      <c r="M1554" s="200">
        <v>2</v>
      </c>
      <c r="N1554" s="200">
        <v>6</v>
      </c>
    </row>
    <row r="1555" spans="1:14" x14ac:dyDescent="0.25">
      <c r="A1555" s="198" t="s">
        <v>2763</v>
      </c>
      <c r="B1555" s="198" t="s">
        <v>9200</v>
      </c>
      <c r="C1555" s="198">
        <v>0</v>
      </c>
      <c r="D1555" s="196">
        <v>299</v>
      </c>
      <c r="E1555" s="196">
        <v>78.793000000000006</v>
      </c>
      <c r="F1555" s="196">
        <v>0.498</v>
      </c>
      <c r="G1555" s="196">
        <v>32.024999999999999</v>
      </c>
      <c r="H1555" s="196">
        <v>10.427</v>
      </c>
      <c r="I1555" s="196">
        <v>147.35</v>
      </c>
      <c r="J1555" s="196">
        <v>35.210999999999999</v>
      </c>
      <c r="K1555" s="196"/>
      <c r="L1555" s="200">
        <v>1555</v>
      </c>
      <c r="M1555" s="200">
        <v>2</v>
      </c>
      <c r="N1555" s="200">
        <v>8</v>
      </c>
    </row>
    <row r="1556" spans="1:14" x14ac:dyDescent="0.25">
      <c r="A1556" s="198" t="s">
        <v>2763</v>
      </c>
      <c r="B1556" s="198" t="s">
        <v>9201</v>
      </c>
      <c r="C1556" s="198">
        <v>0</v>
      </c>
      <c r="D1556" s="196">
        <v>114</v>
      </c>
      <c r="E1556" s="196">
        <v>78.997</v>
      </c>
      <c r="F1556" s="196">
        <v>0.55400000000000005</v>
      </c>
      <c r="G1556" s="196">
        <v>10.56</v>
      </c>
      <c r="H1556" s="196">
        <v>198.21</v>
      </c>
      <c r="I1556" s="196">
        <v>354.65</v>
      </c>
      <c r="J1556" s="196">
        <v>352.44</v>
      </c>
      <c r="K1556" s="196"/>
      <c r="L1556" s="200">
        <v>1556</v>
      </c>
      <c r="M1556" s="200">
        <v>2</v>
      </c>
      <c r="N1556" s="200">
        <v>8</v>
      </c>
    </row>
    <row r="1557" spans="1:14" x14ac:dyDescent="0.25">
      <c r="A1557" s="198" t="s">
        <v>2763</v>
      </c>
      <c r="B1557" s="198" t="s">
        <v>9202</v>
      </c>
      <c r="C1557" s="198">
        <v>0</v>
      </c>
      <c r="D1557" s="196">
        <v>160</v>
      </c>
      <c r="E1557" s="196">
        <v>79.040999999999997</v>
      </c>
      <c r="F1557" s="196">
        <v>0.64400000000000002</v>
      </c>
      <c r="G1557" s="196">
        <v>6.33</v>
      </c>
      <c r="H1557" s="196">
        <v>296.51</v>
      </c>
      <c r="I1557" s="196">
        <v>5.5090000000000003</v>
      </c>
      <c r="J1557" s="196">
        <v>330.76</v>
      </c>
      <c r="K1557" s="196"/>
      <c r="L1557" s="200">
        <v>1557</v>
      </c>
      <c r="M1557" s="200">
        <v>2</v>
      </c>
      <c r="N1557" s="200">
        <v>8</v>
      </c>
    </row>
    <row r="1558" spans="1:14" x14ac:dyDescent="0.25">
      <c r="A1558" s="198" t="s">
        <v>2763</v>
      </c>
      <c r="B1558" s="198" t="s">
        <v>9203</v>
      </c>
      <c r="C1558" s="198">
        <v>0</v>
      </c>
      <c r="D1558" s="196">
        <v>133</v>
      </c>
      <c r="E1558" s="196">
        <v>79.599999999999994</v>
      </c>
      <c r="F1558" s="196">
        <v>0.57699999999999996</v>
      </c>
      <c r="G1558" s="196">
        <v>21.03</v>
      </c>
      <c r="H1558" s="196">
        <v>158.5</v>
      </c>
      <c r="I1558" s="196">
        <v>124.7</v>
      </c>
      <c r="J1558" s="196">
        <v>12.7</v>
      </c>
      <c r="K1558" s="196"/>
      <c r="L1558" s="200">
        <v>1558</v>
      </c>
      <c r="M1558" s="200">
        <v>2</v>
      </c>
      <c r="N1558" s="200">
        <v>8</v>
      </c>
    </row>
    <row r="1559" spans="1:14" x14ac:dyDescent="0.25">
      <c r="A1559" s="198" t="s">
        <v>1966</v>
      </c>
      <c r="B1559" s="198" t="s">
        <v>9204</v>
      </c>
      <c r="C1559" s="198">
        <v>0</v>
      </c>
      <c r="D1559" s="196">
        <v>250</v>
      </c>
      <c r="E1559" s="196">
        <v>80.2</v>
      </c>
      <c r="F1559" s="196">
        <v>0.65500000000000003</v>
      </c>
      <c r="G1559" s="196">
        <v>18.68</v>
      </c>
      <c r="H1559" s="196">
        <v>231.9</v>
      </c>
      <c r="I1559" s="196">
        <v>68.349999999999994</v>
      </c>
      <c r="J1559" s="196">
        <v>186.9</v>
      </c>
      <c r="K1559" s="196"/>
      <c r="L1559" s="200">
        <v>1559</v>
      </c>
      <c r="M1559" s="200">
        <v>2</v>
      </c>
      <c r="N1559" s="200">
        <v>6</v>
      </c>
    </row>
    <row r="1560" spans="1:14" x14ac:dyDescent="0.25">
      <c r="A1560" s="198" t="s">
        <v>2763</v>
      </c>
      <c r="B1560" s="198" t="s">
        <v>9205</v>
      </c>
      <c r="C1560" s="198">
        <v>0</v>
      </c>
      <c r="D1560" s="196">
        <v>94</v>
      </c>
      <c r="E1560" s="196">
        <v>80.998999999999995</v>
      </c>
      <c r="F1560" s="196">
        <v>0.58499999999999996</v>
      </c>
      <c r="G1560" s="196">
        <v>29.033000000000001</v>
      </c>
      <c r="H1560" s="196">
        <v>57.238999999999997</v>
      </c>
      <c r="I1560" s="196">
        <v>222.86</v>
      </c>
      <c r="J1560" s="196">
        <v>51.92</v>
      </c>
      <c r="K1560" s="196"/>
      <c r="L1560" s="200">
        <v>1560</v>
      </c>
      <c r="M1560" s="200">
        <v>2</v>
      </c>
      <c r="N1560" s="200">
        <v>8</v>
      </c>
    </row>
    <row r="1561" spans="1:14" x14ac:dyDescent="0.25">
      <c r="A1561" s="198" t="s">
        <v>2763</v>
      </c>
      <c r="B1561" s="198" t="s">
        <v>9206</v>
      </c>
      <c r="C1561" s="198">
        <v>0</v>
      </c>
      <c r="D1561" s="196">
        <v>111</v>
      </c>
      <c r="E1561" s="196">
        <v>81.100999999999999</v>
      </c>
      <c r="F1561" s="196">
        <v>0.51</v>
      </c>
      <c r="G1561" s="196">
        <v>37.14</v>
      </c>
      <c r="H1561" s="196">
        <v>358.7</v>
      </c>
      <c r="I1561" s="196">
        <v>297.27</v>
      </c>
      <c r="J1561" s="196">
        <v>6.78</v>
      </c>
      <c r="K1561" s="196"/>
      <c r="L1561" s="200">
        <v>1561</v>
      </c>
      <c r="M1561" s="200">
        <v>2</v>
      </c>
      <c r="N1561" s="200">
        <v>8</v>
      </c>
    </row>
    <row r="1562" spans="1:14" x14ac:dyDescent="0.25">
      <c r="A1562" s="198" t="s">
        <v>2763</v>
      </c>
      <c r="B1562" s="198" t="s">
        <v>9207</v>
      </c>
      <c r="C1562" s="198">
        <v>0</v>
      </c>
      <c r="D1562" s="196">
        <v>97</v>
      </c>
      <c r="E1562" s="196">
        <v>81.06</v>
      </c>
      <c r="F1562" s="196">
        <v>0.63100000000000001</v>
      </c>
      <c r="G1562" s="196">
        <v>21.128</v>
      </c>
      <c r="H1562" s="196">
        <v>317.10199999999998</v>
      </c>
      <c r="I1562" s="196">
        <v>53.21</v>
      </c>
      <c r="J1562" s="196">
        <v>9.7799999999999994</v>
      </c>
      <c r="K1562" s="196"/>
      <c r="L1562" s="200">
        <v>1562</v>
      </c>
      <c r="M1562" s="200">
        <v>2</v>
      </c>
      <c r="N1562" s="200">
        <v>8</v>
      </c>
    </row>
    <row r="1563" spans="1:14" x14ac:dyDescent="0.25">
      <c r="A1563" s="198" t="s">
        <v>2763</v>
      </c>
      <c r="B1563" s="198" t="s">
        <v>9208</v>
      </c>
      <c r="C1563" s="198">
        <v>0</v>
      </c>
      <c r="D1563" s="196">
        <v>143</v>
      </c>
      <c r="E1563" s="196">
        <v>81.11</v>
      </c>
      <c r="F1563" s="196">
        <v>0.51300000000000001</v>
      </c>
      <c r="G1563" s="196">
        <v>23.178999999999998</v>
      </c>
      <c r="H1563" s="196">
        <v>171.4</v>
      </c>
      <c r="I1563" s="196">
        <v>234</v>
      </c>
      <c r="J1563" s="196">
        <v>6.1020000000000003</v>
      </c>
      <c r="K1563" s="196"/>
      <c r="L1563" s="200">
        <v>1563</v>
      </c>
      <c r="M1563" s="200">
        <v>2</v>
      </c>
      <c r="N1563" s="200">
        <v>8</v>
      </c>
    </row>
    <row r="1564" spans="1:14" x14ac:dyDescent="0.25">
      <c r="A1564" s="198" t="s">
        <v>2763</v>
      </c>
      <c r="B1564" s="198" t="s">
        <v>9209</v>
      </c>
      <c r="C1564" s="198">
        <v>0</v>
      </c>
      <c r="D1564" s="196">
        <v>169</v>
      </c>
      <c r="E1564" s="196">
        <v>81.12</v>
      </c>
      <c r="F1564" s="196">
        <v>0.55900000000000005</v>
      </c>
      <c r="G1564" s="196">
        <v>18.190000000000001</v>
      </c>
      <c r="H1564" s="196">
        <v>87.04</v>
      </c>
      <c r="I1564" s="196">
        <v>72.89</v>
      </c>
      <c r="J1564" s="196">
        <v>357.83</v>
      </c>
      <c r="K1564" s="196"/>
      <c r="L1564" s="200">
        <v>1564</v>
      </c>
      <c r="M1564" s="200">
        <v>2</v>
      </c>
      <c r="N1564" s="200">
        <v>8</v>
      </c>
    </row>
    <row r="1565" spans="1:14" x14ac:dyDescent="0.25">
      <c r="A1565" s="198" t="s">
        <v>2763</v>
      </c>
      <c r="B1565" s="198" t="s">
        <v>9210</v>
      </c>
      <c r="C1565" s="198">
        <v>0</v>
      </c>
      <c r="D1565" s="196">
        <v>315</v>
      </c>
      <c r="E1565" s="196">
        <v>81.373000000000005</v>
      </c>
      <c r="F1565" s="196">
        <v>0.58299999999999996</v>
      </c>
      <c r="G1565" s="196">
        <v>7.5759999999999996</v>
      </c>
      <c r="H1565" s="196">
        <v>261.02</v>
      </c>
      <c r="I1565" s="196">
        <v>211.68</v>
      </c>
      <c r="J1565" s="196">
        <v>323.86</v>
      </c>
      <c r="K1565" s="196"/>
      <c r="L1565" s="200">
        <v>1565</v>
      </c>
      <c r="M1565" s="200">
        <v>2</v>
      </c>
      <c r="N1565" s="200">
        <v>8</v>
      </c>
    </row>
    <row r="1566" spans="1:14" x14ac:dyDescent="0.25">
      <c r="A1566" s="198" t="s">
        <v>2763</v>
      </c>
      <c r="B1566" s="198" t="s">
        <v>9211</v>
      </c>
      <c r="C1566" s="198">
        <v>0</v>
      </c>
      <c r="D1566" s="196">
        <v>328</v>
      </c>
      <c r="E1566" s="196">
        <v>81.628</v>
      </c>
      <c r="F1566" s="196">
        <v>0.53</v>
      </c>
      <c r="G1566" s="196">
        <v>24.292000000000002</v>
      </c>
      <c r="H1566" s="196">
        <v>16.864999999999998</v>
      </c>
      <c r="I1566" s="196">
        <v>245.32499999999999</v>
      </c>
      <c r="J1566" s="196">
        <v>157.65299999999999</v>
      </c>
      <c r="K1566" s="196"/>
      <c r="L1566" s="200">
        <v>1566</v>
      </c>
      <c r="M1566" s="200">
        <v>2</v>
      </c>
      <c r="N1566" s="200">
        <v>8</v>
      </c>
    </row>
    <row r="1567" spans="1:14" x14ac:dyDescent="0.25">
      <c r="A1567" s="198" t="s">
        <v>1966</v>
      </c>
      <c r="B1567" s="198" t="s">
        <v>9212</v>
      </c>
      <c r="C1567" s="198">
        <v>0</v>
      </c>
      <c r="D1567" s="196">
        <v>109</v>
      </c>
      <c r="E1567" s="196">
        <v>81.8</v>
      </c>
      <c r="F1567" s="196">
        <v>0.72199999999999998</v>
      </c>
      <c r="G1567" s="196">
        <v>37.74</v>
      </c>
      <c r="H1567" s="196">
        <v>339.39</v>
      </c>
      <c r="I1567" s="196">
        <v>268.8</v>
      </c>
      <c r="J1567" s="196">
        <v>1.702</v>
      </c>
      <c r="K1567" s="196"/>
      <c r="L1567" s="200">
        <v>1567</v>
      </c>
      <c r="M1567" s="200">
        <v>2</v>
      </c>
      <c r="N1567" s="200">
        <v>6</v>
      </c>
    </row>
    <row r="1568" spans="1:14" x14ac:dyDescent="0.25">
      <c r="A1568" s="198" t="s">
        <v>2763</v>
      </c>
      <c r="B1568" s="198" t="s">
        <v>9213</v>
      </c>
      <c r="C1568" s="198">
        <v>0</v>
      </c>
      <c r="D1568" s="196">
        <v>212</v>
      </c>
      <c r="E1568" s="196">
        <v>82.168000000000006</v>
      </c>
      <c r="F1568" s="196">
        <v>0.55100000000000005</v>
      </c>
      <c r="G1568" s="196">
        <v>22.41</v>
      </c>
      <c r="H1568" s="196">
        <v>101.06</v>
      </c>
      <c r="I1568" s="196">
        <v>1.2999999999999999E-2</v>
      </c>
      <c r="J1568" s="196">
        <v>19.86</v>
      </c>
      <c r="K1568" s="196"/>
      <c r="L1568" s="200">
        <v>1568</v>
      </c>
      <c r="M1568" s="200">
        <v>2</v>
      </c>
      <c r="N1568" s="200">
        <v>8</v>
      </c>
    </row>
    <row r="1569" spans="1:14" x14ac:dyDescent="0.25">
      <c r="A1569" s="198" t="s">
        <v>1966</v>
      </c>
      <c r="B1569" s="198" t="s">
        <v>9214</v>
      </c>
      <c r="C1569" s="198">
        <v>0</v>
      </c>
      <c r="D1569" s="196">
        <v>97</v>
      </c>
      <c r="E1569" s="196">
        <v>82.573999999999998</v>
      </c>
      <c r="F1569" s="196">
        <v>0.65800000000000003</v>
      </c>
      <c r="G1569" s="196">
        <v>4.3579999999999997</v>
      </c>
      <c r="H1569" s="196">
        <v>30.486000000000001</v>
      </c>
      <c r="I1569" s="196">
        <v>34.741</v>
      </c>
      <c r="J1569" s="196">
        <v>333.65199999999999</v>
      </c>
      <c r="K1569" s="196"/>
      <c r="L1569" s="200">
        <v>1569</v>
      </c>
      <c r="M1569" s="200">
        <v>2</v>
      </c>
      <c r="N1569" s="200">
        <v>6</v>
      </c>
    </row>
    <row r="1570" spans="1:14" x14ac:dyDescent="0.25">
      <c r="A1570" s="198" t="s">
        <v>2763</v>
      </c>
      <c r="B1570" s="198" t="s">
        <v>9215</v>
      </c>
      <c r="C1570" s="198">
        <v>0</v>
      </c>
      <c r="D1570" s="196">
        <v>94</v>
      </c>
      <c r="E1570" s="196">
        <v>83.105000000000004</v>
      </c>
      <c r="F1570" s="196">
        <v>0.55000000000000004</v>
      </c>
      <c r="G1570" s="196">
        <v>36.965000000000003</v>
      </c>
      <c r="H1570" s="196">
        <v>337.89</v>
      </c>
      <c r="I1570" s="196">
        <v>160.24</v>
      </c>
      <c r="J1570" s="196">
        <v>73</v>
      </c>
      <c r="K1570" s="196"/>
      <c r="L1570" s="200">
        <v>1570</v>
      </c>
      <c r="M1570" s="200">
        <v>2</v>
      </c>
      <c r="N1570" s="200">
        <v>8</v>
      </c>
    </row>
    <row r="1571" spans="1:14" x14ac:dyDescent="0.25">
      <c r="A1571" s="198" t="s">
        <v>2763</v>
      </c>
      <c r="B1571" s="198" t="s">
        <v>9216</v>
      </c>
      <c r="C1571" s="198">
        <v>0</v>
      </c>
      <c r="D1571" s="196">
        <v>170</v>
      </c>
      <c r="E1571" s="196">
        <v>83.403000000000006</v>
      </c>
      <c r="F1571" s="196">
        <v>0.57999999999999996</v>
      </c>
      <c r="G1571" s="196">
        <v>24.006</v>
      </c>
      <c r="H1571" s="196">
        <v>184.79</v>
      </c>
      <c r="I1571" s="196">
        <v>217.82</v>
      </c>
      <c r="J1571" s="196">
        <v>6.851</v>
      </c>
      <c r="K1571" s="196"/>
      <c r="L1571" s="200">
        <v>1571</v>
      </c>
      <c r="M1571" s="200">
        <v>2</v>
      </c>
      <c r="N1571" s="200">
        <v>8</v>
      </c>
    </row>
    <row r="1572" spans="1:14" x14ac:dyDescent="0.25">
      <c r="A1572" s="198" t="s">
        <v>1966</v>
      </c>
      <c r="B1572" s="198" t="s">
        <v>9217</v>
      </c>
      <c r="C1572" s="198">
        <v>0</v>
      </c>
      <c r="D1572" s="196">
        <v>70</v>
      </c>
      <c r="E1572" s="196">
        <v>83.716999999999999</v>
      </c>
      <c r="F1572" s="196">
        <v>0.71699999999999997</v>
      </c>
      <c r="G1572" s="196">
        <v>37.116</v>
      </c>
      <c r="H1572" s="196">
        <v>214.965</v>
      </c>
      <c r="I1572" s="196">
        <v>167.64</v>
      </c>
      <c r="J1572" s="196">
        <v>4.4429999999999996</v>
      </c>
      <c r="K1572" s="196"/>
      <c r="L1572" s="200">
        <v>1572</v>
      </c>
      <c r="M1572" s="200">
        <v>2</v>
      </c>
      <c r="N1572" s="200">
        <v>6</v>
      </c>
    </row>
    <row r="1573" spans="1:14" x14ac:dyDescent="0.25">
      <c r="A1573" s="198" t="s">
        <v>2763</v>
      </c>
      <c r="B1573" s="198" t="s">
        <v>9218</v>
      </c>
      <c r="C1573" s="198">
        <v>0</v>
      </c>
      <c r="D1573" s="196">
        <v>153</v>
      </c>
      <c r="E1573" s="196">
        <v>84.74</v>
      </c>
      <c r="F1573" s="196">
        <v>0.56999999999999995</v>
      </c>
      <c r="G1573" s="196">
        <v>8.89</v>
      </c>
      <c r="H1573" s="196">
        <v>256.3</v>
      </c>
      <c r="I1573" s="196">
        <v>78.239999999999995</v>
      </c>
      <c r="J1573" s="196">
        <v>354.88</v>
      </c>
      <c r="K1573" s="196"/>
      <c r="L1573" s="200">
        <v>1573</v>
      </c>
      <c r="M1573" s="200">
        <v>2</v>
      </c>
      <c r="N1573" s="200">
        <v>8</v>
      </c>
    </row>
    <row r="1574" spans="1:14" x14ac:dyDescent="0.25">
      <c r="A1574" s="198" t="s">
        <v>2763</v>
      </c>
      <c r="B1574" s="198" t="s">
        <v>9219</v>
      </c>
      <c r="C1574" s="198">
        <v>0</v>
      </c>
      <c r="D1574" s="196">
        <v>94</v>
      </c>
      <c r="E1574" s="196">
        <v>85.3</v>
      </c>
      <c r="F1574" s="196">
        <v>0.60199999999999998</v>
      </c>
      <c r="G1574" s="196">
        <v>14.24</v>
      </c>
      <c r="H1574" s="196">
        <v>73.13</v>
      </c>
      <c r="I1574" s="196">
        <v>34.911000000000001</v>
      </c>
      <c r="J1574" s="196">
        <v>73</v>
      </c>
      <c r="K1574" s="196"/>
      <c r="L1574" s="200">
        <v>1574</v>
      </c>
      <c r="M1574" s="200">
        <v>2</v>
      </c>
      <c r="N1574" s="200">
        <v>8</v>
      </c>
    </row>
    <row r="1575" spans="1:14" x14ac:dyDescent="0.25">
      <c r="A1575" s="198" t="s">
        <v>2763</v>
      </c>
      <c r="B1575" s="198" t="s">
        <v>9220</v>
      </c>
      <c r="C1575" s="198">
        <v>0</v>
      </c>
      <c r="D1575" s="196">
        <v>93</v>
      </c>
      <c r="E1575" s="196">
        <v>85.9</v>
      </c>
      <c r="F1575" s="196">
        <v>0.61299999999999999</v>
      </c>
      <c r="G1575" s="196">
        <v>18.042000000000002</v>
      </c>
      <c r="H1575" s="196">
        <v>329.07</v>
      </c>
      <c r="I1575" s="196">
        <v>200.54</v>
      </c>
      <c r="J1575" s="196">
        <v>332.5</v>
      </c>
      <c r="K1575" s="196"/>
      <c r="L1575" s="200">
        <v>1575</v>
      </c>
      <c r="M1575" s="200">
        <v>2</v>
      </c>
      <c r="N1575" s="200">
        <v>8</v>
      </c>
    </row>
    <row r="1576" spans="1:14" x14ac:dyDescent="0.25">
      <c r="A1576" s="198" t="s">
        <v>2763</v>
      </c>
      <c r="B1576" s="198" t="s">
        <v>9221</v>
      </c>
      <c r="C1576" s="198">
        <v>0</v>
      </c>
      <c r="D1576" s="196">
        <v>123</v>
      </c>
      <c r="E1576" s="196">
        <v>86</v>
      </c>
      <c r="F1576" s="196">
        <v>0.56699999999999995</v>
      </c>
      <c r="G1576" s="196">
        <v>16.251000000000001</v>
      </c>
      <c r="H1576" s="196">
        <v>290.39999999999998</v>
      </c>
      <c r="I1576" s="196">
        <v>229.67</v>
      </c>
      <c r="J1576" s="196">
        <v>319</v>
      </c>
      <c r="K1576" s="196"/>
      <c r="L1576" s="200">
        <v>1576</v>
      </c>
      <c r="M1576" s="200">
        <v>2</v>
      </c>
      <c r="N1576" s="200">
        <v>8</v>
      </c>
    </row>
    <row r="1577" spans="1:14" x14ac:dyDescent="0.25">
      <c r="A1577" s="198" t="s">
        <v>2763</v>
      </c>
      <c r="B1577" s="198" t="s">
        <v>9222</v>
      </c>
      <c r="C1577" s="198">
        <v>0</v>
      </c>
      <c r="D1577" s="196">
        <v>142</v>
      </c>
      <c r="E1577" s="196">
        <v>86.99</v>
      </c>
      <c r="F1577" s="196">
        <v>0.628</v>
      </c>
      <c r="G1577" s="196">
        <v>12.7</v>
      </c>
      <c r="H1577" s="196">
        <v>199.35</v>
      </c>
      <c r="I1577" s="196">
        <v>2.36</v>
      </c>
      <c r="J1577" s="196">
        <v>2.5</v>
      </c>
      <c r="K1577" s="196"/>
      <c r="L1577" s="200">
        <v>1577</v>
      </c>
      <c r="M1577" s="200">
        <v>2</v>
      </c>
      <c r="N1577" s="200">
        <v>8</v>
      </c>
    </row>
    <row r="1578" spans="1:14" x14ac:dyDescent="0.25">
      <c r="A1578" s="198" t="s">
        <v>2763</v>
      </c>
      <c r="B1578" s="198" t="s">
        <v>9223</v>
      </c>
      <c r="C1578" s="198">
        <v>0</v>
      </c>
      <c r="D1578" s="196">
        <v>138</v>
      </c>
      <c r="E1578" s="196">
        <v>87.78</v>
      </c>
      <c r="F1578" s="196">
        <v>0.55700000000000005</v>
      </c>
      <c r="G1578" s="196">
        <v>35.81</v>
      </c>
      <c r="H1578" s="196">
        <v>12.68</v>
      </c>
      <c r="I1578" s="196">
        <v>169.17</v>
      </c>
      <c r="J1578" s="196">
        <v>20.73</v>
      </c>
      <c r="K1578" s="196"/>
      <c r="L1578" s="200">
        <v>1578</v>
      </c>
      <c r="M1578" s="200">
        <v>2</v>
      </c>
      <c r="N1578" s="200">
        <v>8</v>
      </c>
    </row>
    <row r="1579" spans="1:14" x14ac:dyDescent="0.25">
      <c r="A1579" s="198" t="s">
        <v>2763</v>
      </c>
      <c r="B1579" s="198" t="s">
        <v>9224</v>
      </c>
      <c r="C1579" s="198">
        <v>0</v>
      </c>
      <c r="D1579" s="196">
        <v>107</v>
      </c>
      <c r="E1579" s="196">
        <v>87.864000000000004</v>
      </c>
      <c r="F1579" s="196">
        <v>0.60599999999999998</v>
      </c>
      <c r="G1579" s="196">
        <v>4.7619999999999996</v>
      </c>
      <c r="H1579" s="196">
        <v>302.38</v>
      </c>
      <c r="I1579" s="196">
        <v>253.17400000000001</v>
      </c>
      <c r="J1579" s="196">
        <v>4.51</v>
      </c>
      <c r="K1579" s="196"/>
      <c r="L1579" s="200">
        <v>1579</v>
      </c>
      <c r="M1579" s="200">
        <v>2</v>
      </c>
      <c r="N1579" s="200">
        <v>8</v>
      </c>
    </row>
    <row r="1580" spans="1:14" x14ac:dyDescent="0.25">
      <c r="A1580" s="198" t="s">
        <v>2763</v>
      </c>
      <c r="B1580" s="198" t="s">
        <v>9225</v>
      </c>
      <c r="C1580" s="198">
        <v>0</v>
      </c>
      <c r="D1580" s="196">
        <v>107</v>
      </c>
      <c r="E1580" s="196">
        <v>87.929000000000002</v>
      </c>
      <c r="F1580" s="196">
        <v>0.60099999999999998</v>
      </c>
      <c r="G1580" s="196">
        <v>22.518999999999998</v>
      </c>
      <c r="H1580" s="196">
        <v>349.28199999999998</v>
      </c>
      <c r="I1580" s="196">
        <v>163.85499999999999</v>
      </c>
      <c r="J1580" s="196">
        <v>4.5979999999999999</v>
      </c>
      <c r="K1580" s="196"/>
      <c r="L1580" s="200">
        <v>1580</v>
      </c>
      <c r="M1580" s="200">
        <v>2</v>
      </c>
      <c r="N1580" s="200">
        <v>8</v>
      </c>
    </row>
    <row r="1581" spans="1:14" x14ac:dyDescent="0.25">
      <c r="A1581" s="198" t="s">
        <v>2763</v>
      </c>
      <c r="B1581" s="198" t="s">
        <v>8433</v>
      </c>
      <c r="C1581" s="198">
        <v>0</v>
      </c>
      <c r="D1581" s="196">
        <v>285</v>
      </c>
      <c r="E1581" s="196">
        <v>89.61</v>
      </c>
      <c r="F1581" s="196">
        <v>0.60899999999999999</v>
      </c>
      <c r="G1581" s="196">
        <v>28.818999999999999</v>
      </c>
      <c r="H1581" s="196">
        <v>318.10000000000002</v>
      </c>
      <c r="I1581" s="196">
        <v>84.61</v>
      </c>
      <c r="J1581" s="196">
        <v>6.19</v>
      </c>
      <c r="K1581" s="196"/>
      <c r="L1581" s="200">
        <v>1581</v>
      </c>
      <c r="M1581" s="200">
        <v>1</v>
      </c>
      <c r="N1581" s="200">
        <v>8</v>
      </c>
    </row>
    <row r="1582" spans="1:14" x14ac:dyDescent="0.25">
      <c r="A1582" s="198" t="s">
        <v>2763</v>
      </c>
      <c r="B1582" s="198" t="s">
        <v>9226</v>
      </c>
      <c r="C1582" s="198">
        <v>0</v>
      </c>
      <c r="D1582" s="196">
        <v>93</v>
      </c>
      <c r="E1582" s="196">
        <v>89.918999999999997</v>
      </c>
      <c r="F1582" s="196">
        <v>0.51800000000000002</v>
      </c>
      <c r="G1582" s="196">
        <v>18.516999999999999</v>
      </c>
      <c r="H1582" s="196">
        <v>291.10300000000001</v>
      </c>
      <c r="I1582" s="196">
        <v>199.65600000000001</v>
      </c>
      <c r="J1582" s="196">
        <v>4.8579999999999997</v>
      </c>
      <c r="K1582" s="196"/>
      <c r="L1582" s="200">
        <v>1582</v>
      </c>
      <c r="M1582" s="200">
        <v>2</v>
      </c>
      <c r="N1582" s="200">
        <v>8</v>
      </c>
    </row>
    <row r="1583" spans="1:14" x14ac:dyDescent="0.25">
      <c r="A1583" s="198" t="s">
        <v>1966</v>
      </c>
      <c r="B1583" s="198" t="s">
        <v>9227</v>
      </c>
      <c r="C1583" s="198">
        <v>0</v>
      </c>
      <c r="D1583" s="196">
        <v>132</v>
      </c>
      <c r="E1583" s="196">
        <v>90.337999999999994</v>
      </c>
      <c r="F1583" s="196">
        <v>0.67</v>
      </c>
      <c r="G1583" s="196">
        <v>14.09</v>
      </c>
      <c r="H1583" s="196">
        <v>164.92</v>
      </c>
      <c r="I1583" s="196">
        <v>72.48</v>
      </c>
      <c r="J1583" s="196">
        <v>0.95</v>
      </c>
      <c r="K1583" s="196"/>
      <c r="L1583" s="200">
        <v>1583</v>
      </c>
      <c r="M1583" s="200">
        <v>2</v>
      </c>
      <c r="N1583" s="200">
        <v>6</v>
      </c>
    </row>
    <row r="1584" spans="1:14" x14ac:dyDescent="0.25">
      <c r="A1584" s="198" t="s">
        <v>2763</v>
      </c>
      <c r="B1584" s="198" t="s">
        <v>9228</v>
      </c>
      <c r="C1584" s="198">
        <v>0</v>
      </c>
      <c r="D1584" s="196">
        <v>218</v>
      </c>
      <c r="E1584" s="196">
        <v>91.456999999999994</v>
      </c>
      <c r="F1584" s="196">
        <v>0.59299999999999997</v>
      </c>
      <c r="G1584" s="196">
        <v>16.28</v>
      </c>
      <c r="H1584" s="196">
        <v>75.58</v>
      </c>
      <c r="I1584" s="196">
        <v>230.45</v>
      </c>
      <c r="J1584" s="196">
        <v>4.97</v>
      </c>
      <c r="K1584" s="196"/>
      <c r="L1584" s="200">
        <v>1584</v>
      </c>
      <c r="M1584" s="200">
        <v>2</v>
      </c>
      <c r="N1584" s="200">
        <v>8</v>
      </c>
    </row>
    <row r="1585" spans="1:14" x14ac:dyDescent="0.25">
      <c r="A1585" s="198" t="s">
        <v>2763</v>
      </c>
      <c r="B1585" s="198" t="s">
        <v>9229</v>
      </c>
      <c r="C1585" s="198">
        <v>0</v>
      </c>
      <c r="D1585" s="196">
        <v>102</v>
      </c>
      <c r="E1585" s="196">
        <v>91.700999999999993</v>
      </c>
      <c r="F1585" s="196">
        <v>0.58899999999999997</v>
      </c>
      <c r="G1585" s="196">
        <v>21.63</v>
      </c>
      <c r="H1585" s="196">
        <v>345.6</v>
      </c>
      <c r="I1585" s="196">
        <v>217</v>
      </c>
      <c r="J1585" s="196">
        <v>5.58</v>
      </c>
      <c r="K1585" s="196"/>
      <c r="L1585" s="200">
        <v>1585</v>
      </c>
      <c r="M1585" s="200">
        <v>2</v>
      </c>
      <c r="N1585" s="200">
        <v>8</v>
      </c>
    </row>
    <row r="1586" spans="1:14" x14ac:dyDescent="0.25">
      <c r="A1586" s="198" t="s">
        <v>2763</v>
      </c>
      <c r="B1586" s="198" t="s">
        <v>9230</v>
      </c>
      <c r="C1586" s="198">
        <v>0</v>
      </c>
      <c r="D1586" s="196">
        <v>130</v>
      </c>
      <c r="E1586" s="196">
        <v>92.92</v>
      </c>
      <c r="F1586" s="196">
        <v>0.64400000000000002</v>
      </c>
      <c r="G1586" s="196">
        <v>22.8</v>
      </c>
      <c r="H1586" s="196">
        <v>277.10000000000002</v>
      </c>
      <c r="I1586" s="196">
        <v>170.4</v>
      </c>
      <c r="J1586" s="196">
        <v>351.1</v>
      </c>
      <c r="K1586" s="196"/>
      <c r="L1586" s="200">
        <v>1586</v>
      </c>
      <c r="M1586" s="200">
        <v>2</v>
      </c>
      <c r="N1586" s="200">
        <v>8</v>
      </c>
    </row>
    <row r="1587" spans="1:14" x14ac:dyDescent="0.25">
      <c r="A1587" s="198" t="s">
        <v>2763</v>
      </c>
      <c r="B1587" s="198" t="s">
        <v>9231</v>
      </c>
      <c r="C1587" s="198">
        <v>0</v>
      </c>
      <c r="D1587" s="196">
        <v>115</v>
      </c>
      <c r="E1587" s="196">
        <v>93.3</v>
      </c>
      <c r="F1587" s="196">
        <v>0.60699999999999998</v>
      </c>
      <c r="G1587" s="196">
        <v>22.236999999999998</v>
      </c>
      <c r="H1587" s="196">
        <v>242.37</v>
      </c>
      <c r="I1587" s="196">
        <v>353.36</v>
      </c>
      <c r="J1587" s="196">
        <v>3.14</v>
      </c>
      <c r="K1587" s="196"/>
      <c r="L1587" s="200">
        <v>1587</v>
      </c>
      <c r="M1587" s="200">
        <v>2</v>
      </c>
      <c r="N1587" s="200">
        <v>8</v>
      </c>
    </row>
    <row r="1588" spans="1:14" x14ac:dyDescent="0.25">
      <c r="A1588" s="198" t="s">
        <v>2763</v>
      </c>
      <c r="B1588" s="198" t="s">
        <v>9232</v>
      </c>
      <c r="C1588" s="198">
        <v>0</v>
      </c>
      <c r="D1588" s="196">
        <v>106</v>
      </c>
      <c r="E1588" s="196">
        <v>93.759</v>
      </c>
      <c r="F1588" s="196">
        <v>0.626</v>
      </c>
      <c r="G1588" s="196">
        <v>18.829999999999998</v>
      </c>
      <c r="H1588" s="196">
        <v>310.59100000000001</v>
      </c>
      <c r="I1588" s="196">
        <v>236.20400000000001</v>
      </c>
      <c r="J1588" s="196">
        <v>329.67899999999997</v>
      </c>
      <c r="K1588" s="196"/>
      <c r="L1588" s="200">
        <v>1588</v>
      </c>
      <c r="M1588" s="200">
        <v>2</v>
      </c>
      <c r="N1588" s="200">
        <v>8</v>
      </c>
    </row>
    <row r="1589" spans="1:14" x14ac:dyDescent="0.25">
      <c r="A1589" s="198" t="s">
        <v>2763</v>
      </c>
      <c r="B1589" s="198" t="s">
        <v>9233</v>
      </c>
      <c r="C1589" s="198">
        <v>0</v>
      </c>
      <c r="D1589" s="196">
        <v>209</v>
      </c>
      <c r="E1589" s="196">
        <v>93.87</v>
      </c>
      <c r="F1589" s="196">
        <v>0.59299999999999997</v>
      </c>
      <c r="G1589" s="196">
        <v>13.34</v>
      </c>
      <c r="H1589" s="196">
        <v>356.38</v>
      </c>
      <c r="I1589" s="196">
        <v>194.13</v>
      </c>
      <c r="J1589" s="196">
        <v>9.9</v>
      </c>
      <c r="K1589" s="196"/>
      <c r="L1589" s="200">
        <v>1589</v>
      </c>
      <c r="M1589" s="200">
        <v>2</v>
      </c>
      <c r="N1589" s="200">
        <v>8</v>
      </c>
    </row>
    <row r="1590" spans="1:14" x14ac:dyDescent="0.25">
      <c r="A1590" s="198" t="s">
        <v>2763</v>
      </c>
      <c r="B1590" s="198" t="s">
        <v>9234</v>
      </c>
      <c r="C1590" s="198">
        <v>0</v>
      </c>
      <c r="D1590" s="196">
        <v>151</v>
      </c>
      <c r="E1590" s="196">
        <v>95</v>
      </c>
      <c r="F1590" s="196">
        <v>0.59</v>
      </c>
      <c r="G1590" s="196">
        <v>15.36</v>
      </c>
      <c r="H1590" s="196">
        <v>135.5</v>
      </c>
      <c r="I1590" s="196">
        <v>302.60000000000002</v>
      </c>
      <c r="J1590" s="196">
        <v>33</v>
      </c>
      <c r="K1590" s="196"/>
      <c r="L1590" s="200">
        <v>1590</v>
      </c>
      <c r="M1590" s="200">
        <v>2</v>
      </c>
      <c r="N1590" s="200">
        <v>8</v>
      </c>
    </row>
    <row r="1591" spans="1:14" x14ac:dyDescent="0.25">
      <c r="A1591" s="198" t="s">
        <v>2763</v>
      </c>
      <c r="B1591" s="198" t="s">
        <v>9235</v>
      </c>
      <c r="C1591" s="198">
        <v>0</v>
      </c>
      <c r="D1591" s="196">
        <v>125</v>
      </c>
      <c r="E1591" s="196">
        <v>95.78</v>
      </c>
      <c r="F1591" s="196">
        <v>0.59899999999999998</v>
      </c>
      <c r="G1591" s="196">
        <v>22.87</v>
      </c>
      <c r="H1591" s="196">
        <v>346.82</v>
      </c>
      <c r="I1591" s="196">
        <v>344.13</v>
      </c>
      <c r="J1591" s="196">
        <v>10.44</v>
      </c>
      <c r="K1591" s="196"/>
      <c r="L1591" s="200">
        <v>1591</v>
      </c>
      <c r="M1591" s="200">
        <v>2</v>
      </c>
      <c r="N1591" s="200">
        <v>8</v>
      </c>
    </row>
    <row r="1592" spans="1:14" x14ac:dyDescent="0.25">
      <c r="A1592" s="198" t="s">
        <v>2763</v>
      </c>
      <c r="B1592" s="198" t="s">
        <v>9236</v>
      </c>
      <c r="C1592" s="198">
        <v>0</v>
      </c>
      <c r="D1592" s="196">
        <v>151</v>
      </c>
      <c r="E1592" s="196">
        <v>96</v>
      </c>
      <c r="F1592" s="196">
        <v>0.60599999999999998</v>
      </c>
      <c r="G1592" s="196">
        <v>24.2</v>
      </c>
      <c r="H1592" s="196">
        <v>155</v>
      </c>
      <c r="I1592" s="196">
        <v>137.72</v>
      </c>
      <c r="J1592" s="196">
        <v>42</v>
      </c>
      <c r="K1592" s="196"/>
      <c r="L1592" s="200">
        <v>1592</v>
      </c>
      <c r="M1592" s="200">
        <v>2</v>
      </c>
      <c r="N1592" s="200">
        <v>8</v>
      </c>
    </row>
    <row r="1593" spans="1:14" x14ac:dyDescent="0.25">
      <c r="A1593" s="198" t="s">
        <v>2763</v>
      </c>
      <c r="B1593" s="198" t="s">
        <v>9237</v>
      </c>
      <c r="C1593" s="198">
        <v>0</v>
      </c>
      <c r="D1593" s="196">
        <v>123</v>
      </c>
      <c r="E1593" s="196">
        <v>96.3</v>
      </c>
      <c r="F1593" s="196">
        <v>0.623</v>
      </c>
      <c r="G1593" s="196">
        <v>1.47</v>
      </c>
      <c r="H1593" s="196">
        <v>357.74099999999999</v>
      </c>
      <c r="I1593" s="196">
        <v>14.45</v>
      </c>
      <c r="J1593" s="196">
        <v>347.5</v>
      </c>
      <c r="K1593" s="196"/>
      <c r="L1593" s="200">
        <v>1593</v>
      </c>
      <c r="M1593" s="200">
        <v>2</v>
      </c>
      <c r="N1593" s="200">
        <v>8</v>
      </c>
    </row>
    <row r="1594" spans="1:14" x14ac:dyDescent="0.25">
      <c r="A1594" s="198" t="s">
        <v>1966</v>
      </c>
      <c r="B1594" s="198" t="s">
        <v>9238</v>
      </c>
      <c r="C1594" s="198">
        <v>0</v>
      </c>
      <c r="D1594" s="196">
        <v>53</v>
      </c>
      <c r="E1594" s="196">
        <v>97.233000000000004</v>
      </c>
      <c r="F1594" s="196">
        <v>0.873</v>
      </c>
      <c r="G1594" s="196">
        <v>5.9589999999999996</v>
      </c>
      <c r="H1594" s="196">
        <v>172.755</v>
      </c>
      <c r="I1594" s="196">
        <v>184.73</v>
      </c>
      <c r="J1594" s="196">
        <v>5.6760000000000002</v>
      </c>
      <c r="K1594" s="196"/>
      <c r="L1594" s="200">
        <v>1594</v>
      </c>
      <c r="M1594" s="200">
        <v>2</v>
      </c>
      <c r="N1594" s="200">
        <v>6</v>
      </c>
    </row>
    <row r="1595" spans="1:14" x14ac:dyDescent="0.25">
      <c r="A1595" s="198" t="s">
        <v>2763</v>
      </c>
      <c r="B1595" s="198" t="s">
        <v>9239</v>
      </c>
      <c r="C1595" s="198">
        <v>0</v>
      </c>
      <c r="D1595" s="196">
        <v>121</v>
      </c>
      <c r="E1595" s="196">
        <v>97.5</v>
      </c>
      <c r="F1595" s="196">
        <v>0.59799999999999998</v>
      </c>
      <c r="G1595" s="196">
        <v>23.398</v>
      </c>
      <c r="H1595" s="196">
        <v>348.6</v>
      </c>
      <c r="I1595" s="196">
        <v>327.16800000000001</v>
      </c>
      <c r="J1595" s="196">
        <v>9.6999999999999993</v>
      </c>
      <c r="K1595" s="196"/>
      <c r="L1595" s="200">
        <v>1595</v>
      </c>
      <c r="M1595" s="200">
        <v>2</v>
      </c>
      <c r="N1595" s="200">
        <v>8</v>
      </c>
    </row>
    <row r="1596" spans="1:14" x14ac:dyDescent="0.25">
      <c r="A1596" s="198" t="s">
        <v>2763</v>
      </c>
      <c r="B1596" s="198" t="s">
        <v>9240</v>
      </c>
      <c r="C1596" s="198">
        <v>0</v>
      </c>
      <c r="D1596" s="196">
        <v>212</v>
      </c>
      <c r="E1596" s="196">
        <v>97.941000000000003</v>
      </c>
      <c r="F1596" s="196">
        <v>0.625</v>
      </c>
      <c r="G1596" s="196">
        <v>27.11</v>
      </c>
      <c r="H1596" s="196">
        <v>58.85</v>
      </c>
      <c r="I1596" s="196">
        <v>76.489999999999995</v>
      </c>
      <c r="J1596" s="196">
        <v>352.95</v>
      </c>
      <c r="K1596" s="196"/>
      <c r="L1596" s="200">
        <v>1596</v>
      </c>
      <c r="M1596" s="200">
        <v>2</v>
      </c>
      <c r="N1596" s="200">
        <v>8</v>
      </c>
    </row>
    <row r="1597" spans="1:14" x14ac:dyDescent="0.25">
      <c r="A1597" s="198" t="s">
        <v>1966</v>
      </c>
      <c r="B1597" s="198" t="s">
        <v>9241</v>
      </c>
      <c r="C1597" s="198">
        <v>0</v>
      </c>
      <c r="D1597" s="196">
        <v>78</v>
      </c>
      <c r="E1597" s="196">
        <v>98.03</v>
      </c>
      <c r="F1597" s="196">
        <v>0.70699999999999996</v>
      </c>
      <c r="G1597" s="196">
        <v>21.26</v>
      </c>
      <c r="H1597" s="196">
        <v>170.76</v>
      </c>
      <c r="I1597" s="196">
        <v>343.64</v>
      </c>
      <c r="J1597" s="196">
        <v>2.65</v>
      </c>
      <c r="K1597" s="196"/>
      <c r="L1597" s="200">
        <v>1597</v>
      </c>
      <c r="M1597" s="200">
        <v>2</v>
      </c>
      <c r="N1597" s="200">
        <v>6</v>
      </c>
    </row>
    <row r="1598" spans="1:14" x14ac:dyDescent="0.25">
      <c r="A1598" s="198" t="s">
        <v>2763</v>
      </c>
      <c r="B1598" s="198" t="s">
        <v>9242</v>
      </c>
      <c r="C1598" s="198">
        <v>0</v>
      </c>
      <c r="D1598" s="196">
        <v>125</v>
      </c>
      <c r="E1598" s="196">
        <v>98.68</v>
      </c>
      <c r="F1598" s="196">
        <v>0.61499999999999999</v>
      </c>
      <c r="G1598" s="196">
        <v>24.759</v>
      </c>
      <c r="H1598" s="196">
        <v>20.55</v>
      </c>
      <c r="I1598" s="196">
        <v>107.39</v>
      </c>
      <c r="J1598" s="196">
        <v>1.78</v>
      </c>
      <c r="K1598" s="196"/>
      <c r="L1598" s="200">
        <v>1598</v>
      </c>
      <c r="M1598" s="200">
        <v>2</v>
      </c>
      <c r="N1598" s="200">
        <v>8</v>
      </c>
    </row>
    <row r="1599" spans="1:14" x14ac:dyDescent="0.25">
      <c r="A1599" s="198" t="s">
        <v>2763</v>
      </c>
      <c r="B1599" s="198" t="s">
        <v>9243</v>
      </c>
      <c r="C1599" s="198">
        <v>0</v>
      </c>
      <c r="D1599" s="196">
        <v>198</v>
      </c>
      <c r="E1599" s="196">
        <v>98.988</v>
      </c>
      <c r="F1599" s="196">
        <v>0.59699999999999998</v>
      </c>
      <c r="G1599" s="196">
        <v>21.23</v>
      </c>
      <c r="H1599" s="196">
        <v>324.10000000000002</v>
      </c>
      <c r="I1599" s="196">
        <v>212.6</v>
      </c>
      <c r="J1599" s="196">
        <v>2.99</v>
      </c>
      <c r="K1599" s="196"/>
      <c r="L1599" s="200">
        <v>1599</v>
      </c>
      <c r="M1599" s="200">
        <v>2</v>
      </c>
      <c r="N1599" s="200">
        <v>8</v>
      </c>
    </row>
    <row r="1600" spans="1:14" x14ac:dyDescent="0.25">
      <c r="A1600" s="198" t="s">
        <v>2763</v>
      </c>
      <c r="B1600" s="198" t="s">
        <v>9244</v>
      </c>
      <c r="C1600" s="198">
        <v>0</v>
      </c>
      <c r="D1600" s="196">
        <v>221</v>
      </c>
      <c r="E1600" s="196">
        <v>99</v>
      </c>
      <c r="F1600" s="196">
        <v>0.44800000000000001</v>
      </c>
      <c r="G1600" s="196">
        <v>36.35</v>
      </c>
      <c r="H1600" s="196">
        <v>351.1</v>
      </c>
      <c r="I1600" s="196">
        <v>143.06</v>
      </c>
      <c r="J1600" s="196">
        <v>321</v>
      </c>
      <c r="K1600" s="196"/>
      <c r="L1600" s="200">
        <v>1600</v>
      </c>
      <c r="M1600" s="200">
        <v>2</v>
      </c>
      <c r="N1600" s="200">
        <v>8</v>
      </c>
    </row>
    <row r="1601" spans="1:14" x14ac:dyDescent="0.25">
      <c r="A1601" s="198" t="s">
        <v>2763</v>
      </c>
      <c r="B1601" s="198" t="s">
        <v>9245</v>
      </c>
      <c r="C1601" s="198">
        <v>0</v>
      </c>
      <c r="D1601" s="196">
        <v>94</v>
      </c>
      <c r="E1601" s="196">
        <v>99.626000000000005</v>
      </c>
      <c r="F1601" s="196">
        <v>0.64900000000000002</v>
      </c>
      <c r="G1601" s="196">
        <v>4.28</v>
      </c>
      <c r="H1601" s="196">
        <v>49.902000000000001</v>
      </c>
      <c r="I1601" s="196">
        <v>82.74</v>
      </c>
      <c r="J1601" s="196">
        <v>345.23</v>
      </c>
      <c r="K1601" s="196"/>
      <c r="L1601" s="200">
        <v>1601</v>
      </c>
      <c r="M1601" s="200">
        <v>2</v>
      </c>
      <c r="N1601" s="200">
        <v>8</v>
      </c>
    </row>
    <row r="1602" spans="1:14" x14ac:dyDescent="0.25">
      <c r="A1602" s="198" t="s">
        <v>2763</v>
      </c>
      <c r="B1602" s="198" t="s">
        <v>9246</v>
      </c>
      <c r="C1602" s="198">
        <v>0</v>
      </c>
      <c r="D1602" s="196">
        <v>285</v>
      </c>
      <c r="E1602" s="196">
        <v>99.873999999999995</v>
      </c>
      <c r="F1602" s="196">
        <v>0.57599999999999996</v>
      </c>
      <c r="G1602" s="196">
        <v>20.757999999999999</v>
      </c>
      <c r="H1602" s="196">
        <v>324.64999999999998</v>
      </c>
      <c r="I1602" s="196">
        <v>330.97</v>
      </c>
      <c r="J1602" s="196">
        <v>23.349</v>
      </c>
      <c r="K1602" s="196"/>
      <c r="L1602" s="200">
        <v>1602</v>
      </c>
      <c r="M1602" s="200">
        <v>2</v>
      </c>
      <c r="N1602" s="200">
        <v>8</v>
      </c>
    </row>
    <row r="1603" spans="1:14" x14ac:dyDescent="0.25">
      <c r="A1603" s="198" t="s">
        <v>1966</v>
      </c>
      <c r="B1603" s="198" t="s">
        <v>9247</v>
      </c>
      <c r="C1603" s="198">
        <v>0</v>
      </c>
      <c r="D1603" s="196">
        <v>97</v>
      </c>
      <c r="E1603" s="196">
        <v>100.7</v>
      </c>
      <c r="F1603" s="196">
        <v>0.72399999999999998</v>
      </c>
      <c r="G1603" s="196">
        <v>11.523999999999999</v>
      </c>
      <c r="H1603" s="196">
        <v>294.45</v>
      </c>
      <c r="I1603" s="196">
        <v>258.7</v>
      </c>
      <c r="J1603" s="196">
        <v>358.9</v>
      </c>
      <c r="K1603" s="196"/>
      <c r="L1603" s="200">
        <v>1603</v>
      </c>
      <c r="M1603" s="200">
        <v>2</v>
      </c>
      <c r="N1603" s="200">
        <v>6</v>
      </c>
    </row>
    <row r="1604" spans="1:14" x14ac:dyDescent="0.25">
      <c r="A1604" s="198" t="s">
        <v>2763</v>
      </c>
      <c r="B1604" s="198" t="s">
        <v>9248</v>
      </c>
      <c r="C1604" s="198">
        <v>0</v>
      </c>
      <c r="D1604" s="196">
        <v>105</v>
      </c>
      <c r="E1604" s="196">
        <v>102.4</v>
      </c>
      <c r="F1604" s="196">
        <v>0.63800000000000001</v>
      </c>
      <c r="G1604" s="196">
        <v>28.73</v>
      </c>
      <c r="H1604" s="196">
        <v>220.5</v>
      </c>
      <c r="I1604" s="196">
        <v>35.28</v>
      </c>
      <c r="J1604" s="196">
        <v>14.7</v>
      </c>
      <c r="K1604" s="196"/>
      <c r="L1604" s="200">
        <v>1604</v>
      </c>
      <c r="M1604" s="200">
        <v>2</v>
      </c>
      <c r="N1604" s="200">
        <v>8</v>
      </c>
    </row>
    <row r="1605" spans="1:14" x14ac:dyDescent="0.25">
      <c r="A1605" s="198" t="s">
        <v>2763</v>
      </c>
      <c r="B1605" s="198" t="s">
        <v>9249</v>
      </c>
      <c r="C1605" s="198">
        <v>0</v>
      </c>
      <c r="D1605" s="196">
        <v>126</v>
      </c>
      <c r="E1605" s="196">
        <v>102.61</v>
      </c>
      <c r="F1605" s="196">
        <v>0.61799999999999999</v>
      </c>
      <c r="G1605" s="196">
        <v>25.4</v>
      </c>
      <c r="H1605" s="196">
        <v>287.49</v>
      </c>
      <c r="I1605" s="196">
        <v>239.65</v>
      </c>
      <c r="J1605" s="196">
        <v>358.34</v>
      </c>
      <c r="K1605" s="196"/>
      <c r="L1605" s="200">
        <v>1605</v>
      </c>
      <c r="M1605" s="200">
        <v>2</v>
      </c>
      <c r="N1605" s="200">
        <v>8</v>
      </c>
    </row>
    <row r="1606" spans="1:14" x14ac:dyDescent="0.25">
      <c r="A1606" s="198" t="s">
        <v>1966</v>
      </c>
      <c r="B1606" s="198" t="s">
        <v>3047</v>
      </c>
      <c r="C1606" s="198">
        <v>1</v>
      </c>
      <c r="D1606" s="196">
        <v>112</v>
      </c>
      <c r="E1606" s="196">
        <v>102.79</v>
      </c>
      <c r="F1606" s="196">
        <v>0.82599999999999996</v>
      </c>
      <c r="G1606" s="196">
        <v>22.265999999999998</v>
      </c>
      <c r="H1606" s="196">
        <v>320.08600000000001</v>
      </c>
      <c r="I1606" s="196">
        <v>171.85</v>
      </c>
      <c r="J1606" s="196">
        <v>9.1219999999999999</v>
      </c>
      <c r="K1606" s="196">
        <v>1.37</v>
      </c>
      <c r="L1606" s="200">
        <v>1606</v>
      </c>
      <c r="M1606" s="200">
        <v>1</v>
      </c>
      <c r="N1606" s="200">
        <v>6</v>
      </c>
    </row>
    <row r="1607" spans="1:14" x14ac:dyDescent="0.25">
      <c r="A1607" s="198" t="s">
        <v>32</v>
      </c>
      <c r="B1607" s="198" t="s">
        <v>3053</v>
      </c>
      <c r="C1607" s="198"/>
      <c r="D1607" s="196">
        <v>86</v>
      </c>
      <c r="E1607" s="196"/>
      <c r="F1607" s="196">
        <v>1.4999999999999999E-2</v>
      </c>
      <c r="G1607" s="196"/>
      <c r="H1607" s="196"/>
      <c r="I1607" s="196"/>
      <c r="J1607" s="196"/>
      <c r="K1607" s="196"/>
      <c r="L1607" s="200">
        <v>1607</v>
      </c>
      <c r="M1607" s="200">
        <v>1</v>
      </c>
      <c r="N1607" s="200">
        <v>24</v>
      </c>
    </row>
    <row r="1608" spans="1:14" x14ac:dyDescent="0.25">
      <c r="A1608" s="198" t="s">
        <v>2763</v>
      </c>
      <c r="B1608" s="198" t="s">
        <v>9250</v>
      </c>
      <c r="C1608" s="198">
        <v>0</v>
      </c>
      <c r="D1608" s="196">
        <v>95</v>
      </c>
      <c r="E1608" s="196">
        <v>103.176</v>
      </c>
      <c r="F1608" s="196">
        <v>0.33200000000000002</v>
      </c>
      <c r="G1608" s="196">
        <v>12.71</v>
      </c>
      <c r="H1608" s="196">
        <v>285.14</v>
      </c>
      <c r="I1608" s="196">
        <v>271.68</v>
      </c>
      <c r="J1608" s="196">
        <v>5.75</v>
      </c>
      <c r="K1608" s="196"/>
      <c r="L1608" s="200">
        <v>1608</v>
      </c>
      <c r="M1608" s="200">
        <v>2</v>
      </c>
      <c r="N1608" s="200">
        <v>8</v>
      </c>
    </row>
    <row r="1609" spans="1:14" x14ac:dyDescent="0.25">
      <c r="A1609" s="198" t="s">
        <v>2763</v>
      </c>
      <c r="B1609" s="198" t="s">
        <v>9251</v>
      </c>
      <c r="C1609" s="198">
        <v>0</v>
      </c>
      <c r="D1609" s="196">
        <v>318</v>
      </c>
      <c r="E1609" s="196">
        <v>107.642</v>
      </c>
      <c r="F1609" s="196">
        <v>0.64400000000000002</v>
      </c>
      <c r="G1609" s="196">
        <v>27.79</v>
      </c>
      <c r="H1609" s="196">
        <v>29.989000000000001</v>
      </c>
      <c r="I1609" s="196">
        <v>130.69900000000001</v>
      </c>
      <c r="J1609" s="196">
        <v>320.48200000000003</v>
      </c>
      <c r="K1609" s="196"/>
      <c r="L1609" s="200">
        <v>1609</v>
      </c>
      <c r="M1609" s="200">
        <v>2</v>
      </c>
      <c r="N1609" s="200">
        <v>8</v>
      </c>
    </row>
    <row r="1610" spans="1:14" x14ac:dyDescent="0.25">
      <c r="A1610" s="198" t="s">
        <v>2763</v>
      </c>
      <c r="B1610" s="198" t="s">
        <v>9252</v>
      </c>
      <c r="C1610" s="198">
        <v>0</v>
      </c>
      <c r="D1610" s="196">
        <v>112</v>
      </c>
      <c r="E1610" s="196">
        <v>107.91</v>
      </c>
      <c r="F1610" s="196">
        <v>0.66300000000000003</v>
      </c>
      <c r="G1610" s="196">
        <v>26.71</v>
      </c>
      <c r="H1610" s="196">
        <v>6.36</v>
      </c>
      <c r="I1610" s="196">
        <v>168.05</v>
      </c>
      <c r="J1610" s="196">
        <v>6.43</v>
      </c>
      <c r="K1610" s="196"/>
      <c r="L1610" s="200">
        <v>1610</v>
      </c>
      <c r="M1610" s="200">
        <v>2</v>
      </c>
      <c r="N1610" s="200">
        <v>8</v>
      </c>
    </row>
    <row r="1611" spans="1:14" x14ac:dyDescent="0.25">
      <c r="A1611" s="198" t="s">
        <v>1966</v>
      </c>
      <c r="B1611" s="198" t="s">
        <v>9253</v>
      </c>
      <c r="C1611" s="198">
        <v>0</v>
      </c>
      <c r="D1611" s="196">
        <v>70</v>
      </c>
      <c r="E1611" s="196">
        <v>109.315</v>
      </c>
      <c r="F1611" s="196">
        <v>0.76500000000000001</v>
      </c>
      <c r="G1611" s="196">
        <v>8.8810000000000002</v>
      </c>
      <c r="H1611" s="196">
        <v>86.192999999999998</v>
      </c>
      <c r="I1611" s="196">
        <v>103.139</v>
      </c>
      <c r="J1611" s="196">
        <v>8.8870000000000005</v>
      </c>
      <c r="K1611" s="196"/>
      <c r="L1611" s="200">
        <v>1611</v>
      </c>
      <c r="M1611" s="200">
        <v>2</v>
      </c>
      <c r="N1611" s="200">
        <v>6</v>
      </c>
    </row>
    <row r="1612" spans="1:14" x14ac:dyDescent="0.25">
      <c r="A1612" s="198" t="s">
        <v>2763</v>
      </c>
      <c r="B1612" s="198" t="s">
        <v>9254</v>
      </c>
      <c r="C1612" s="198">
        <v>0</v>
      </c>
      <c r="D1612" s="196">
        <v>208</v>
      </c>
      <c r="E1612" s="196">
        <v>110.51</v>
      </c>
      <c r="F1612" s="196">
        <v>0.66700000000000004</v>
      </c>
      <c r="G1612" s="196">
        <v>14.032</v>
      </c>
      <c r="H1612" s="196">
        <v>223.69</v>
      </c>
      <c r="I1612" s="196">
        <v>78.394999999999996</v>
      </c>
      <c r="J1612" s="196">
        <v>13.853999999999999</v>
      </c>
      <c r="K1612" s="196"/>
      <c r="L1612" s="200">
        <v>1612</v>
      </c>
      <c r="M1612" s="200">
        <v>2</v>
      </c>
      <c r="N1612" s="200">
        <v>8</v>
      </c>
    </row>
    <row r="1613" spans="1:14" x14ac:dyDescent="0.25">
      <c r="A1613" s="198" t="s">
        <v>2763</v>
      </c>
      <c r="B1613" s="198" t="s">
        <v>9255</v>
      </c>
      <c r="C1613" s="198">
        <v>0</v>
      </c>
      <c r="D1613" s="196">
        <v>279</v>
      </c>
      <c r="E1613" s="196">
        <v>111</v>
      </c>
      <c r="F1613" s="196">
        <v>0.44</v>
      </c>
      <c r="G1613" s="196">
        <v>18</v>
      </c>
      <c r="H1613" s="196">
        <v>351</v>
      </c>
      <c r="I1613" s="196">
        <v>116</v>
      </c>
      <c r="J1613" s="196">
        <v>182</v>
      </c>
      <c r="K1613" s="196"/>
      <c r="L1613" s="200">
        <v>1613</v>
      </c>
      <c r="M1613" s="200">
        <v>2</v>
      </c>
      <c r="N1613" s="200">
        <v>8</v>
      </c>
    </row>
    <row r="1614" spans="1:14" x14ac:dyDescent="0.25">
      <c r="A1614" s="198" t="s">
        <v>2763</v>
      </c>
      <c r="B1614" s="198" t="s">
        <v>9256</v>
      </c>
      <c r="C1614" s="198">
        <v>0</v>
      </c>
      <c r="D1614" s="196">
        <v>107</v>
      </c>
      <c r="E1614" s="196">
        <v>111.37</v>
      </c>
      <c r="F1614" s="196">
        <v>0.66500000000000004</v>
      </c>
      <c r="G1614" s="196">
        <v>30.454999999999998</v>
      </c>
      <c r="H1614" s="196">
        <v>125.4</v>
      </c>
      <c r="I1614" s="196">
        <v>69.623999999999995</v>
      </c>
      <c r="J1614" s="196">
        <v>2.0990000000000002</v>
      </c>
      <c r="K1614" s="196"/>
      <c r="L1614" s="200">
        <v>1614</v>
      </c>
      <c r="M1614" s="200">
        <v>2</v>
      </c>
      <c r="N1614" s="200">
        <v>8</v>
      </c>
    </row>
    <row r="1615" spans="1:14" x14ac:dyDescent="0.25">
      <c r="A1615" s="198" t="s">
        <v>2763</v>
      </c>
      <c r="B1615" s="198" t="s">
        <v>9257</v>
      </c>
      <c r="C1615" s="198">
        <v>0</v>
      </c>
      <c r="D1615" s="196">
        <v>121</v>
      </c>
      <c r="E1615" s="196">
        <v>111.809</v>
      </c>
      <c r="F1615" s="196">
        <v>0.67400000000000004</v>
      </c>
      <c r="G1615" s="196">
        <v>31.173999999999999</v>
      </c>
      <c r="H1615" s="196">
        <v>232.25</v>
      </c>
      <c r="I1615" s="196">
        <v>181.12</v>
      </c>
      <c r="J1615" s="196">
        <v>357.65</v>
      </c>
      <c r="K1615" s="196"/>
      <c r="L1615" s="200">
        <v>1615</v>
      </c>
      <c r="M1615" s="200">
        <v>2</v>
      </c>
      <c r="N1615" s="200">
        <v>8</v>
      </c>
    </row>
    <row r="1616" spans="1:14" x14ac:dyDescent="0.25">
      <c r="A1616" s="198" t="s">
        <v>2763</v>
      </c>
      <c r="B1616" s="198" t="s">
        <v>9258</v>
      </c>
      <c r="C1616" s="198">
        <v>0</v>
      </c>
      <c r="D1616" s="196">
        <v>139</v>
      </c>
      <c r="E1616" s="196">
        <v>113.83</v>
      </c>
      <c r="F1616" s="196">
        <v>0.68799999999999994</v>
      </c>
      <c r="G1616" s="196">
        <v>18.169</v>
      </c>
      <c r="H1616" s="196">
        <v>215.37200000000001</v>
      </c>
      <c r="I1616" s="196">
        <v>76.236999999999995</v>
      </c>
      <c r="J1616" s="196">
        <v>9.7370000000000001</v>
      </c>
      <c r="K1616" s="196"/>
      <c r="L1616" s="200">
        <v>1616</v>
      </c>
      <c r="M1616" s="200">
        <v>2</v>
      </c>
      <c r="N1616" s="200">
        <v>8</v>
      </c>
    </row>
    <row r="1617" spans="1:14" x14ac:dyDescent="0.25">
      <c r="A1617" s="198" t="s">
        <v>1966</v>
      </c>
      <c r="B1617" s="198" t="s">
        <v>9259</v>
      </c>
      <c r="C1617" s="198">
        <v>0</v>
      </c>
      <c r="D1617" s="196">
        <v>67</v>
      </c>
      <c r="E1617" s="196">
        <v>118.089</v>
      </c>
      <c r="F1617" s="196">
        <v>0.78200000000000003</v>
      </c>
      <c r="G1617" s="196">
        <v>22.417999999999999</v>
      </c>
      <c r="H1617" s="196">
        <v>113.15900000000001</v>
      </c>
      <c r="I1617" s="196">
        <v>223.078</v>
      </c>
      <c r="J1617" s="196">
        <v>10.132</v>
      </c>
      <c r="K1617" s="196"/>
      <c r="L1617" s="200">
        <v>1617</v>
      </c>
      <c r="M1617" s="200">
        <v>2</v>
      </c>
      <c r="N1617" s="200">
        <v>6</v>
      </c>
    </row>
    <row r="1618" spans="1:14" x14ac:dyDescent="0.25">
      <c r="A1618" s="198" t="s">
        <v>2763</v>
      </c>
      <c r="B1618" s="198" t="s">
        <v>9260</v>
      </c>
      <c r="C1618" s="198">
        <v>0</v>
      </c>
      <c r="D1618" s="196">
        <v>116</v>
      </c>
      <c r="E1618" s="196">
        <v>120.07299999999999</v>
      </c>
      <c r="F1618" s="196">
        <v>0.72</v>
      </c>
      <c r="G1618" s="196">
        <v>18.652999999999999</v>
      </c>
      <c r="H1618" s="196">
        <v>81.873000000000005</v>
      </c>
      <c r="I1618" s="196">
        <v>161.65299999999999</v>
      </c>
      <c r="J1618" s="196">
        <v>3.383</v>
      </c>
      <c r="K1618" s="196"/>
      <c r="L1618" s="200">
        <v>1618</v>
      </c>
      <c r="M1618" s="200">
        <v>2</v>
      </c>
      <c r="N1618" s="200">
        <v>8</v>
      </c>
    </row>
    <row r="1619" spans="1:14" x14ac:dyDescent="0.25">
      <c r="A1619" s="198" t="s">
        <v>2763</v>
      </c>
      <c r="B1619" s="198" t="s">
        <v>9261</v>
      </c>
      <c r="C1619" s="198">
        <v>0</v>
      </c>
      <c r="D1619" s="196">
        <v>87</v>
      </c>
      <c r="E1619" s="196">
        <v>120.97</v>
      </c>
      <c r="F1619" s="196">
        <v>0.69</v>
      </c>
      <c r="G1619" s="196">
        <v>25.99</v>
      </c>
      <c r="H1619" s="196">
        <v>137.86000000000001</v>
      </c>
      <c r="I1619" s="196">
        <v>210.32</v>
      </c>
      <c r="J1619" s="196">
        <v>7.8</v>
      </c>
      <c r="K1619" s="196"/>
      <c r="L1619" s="200">
        <v>1619</v>
      </c>
      <c r="M1619" s="200">
        <v>2</v>
      </c>
      <c r="N1619" s="200">
        <v>8</v>
      </c>
    </row>
    <row r="1620" spans="1:14" x14ac:dyDescent="0.25">
      <c r="A1620" s="198" t="s">
        <v>1966</v>
      </c>
      <c r="B1620" s="198" t="s">
        <v>9262</v>
      </c>
      <c r="C1620" s="198">
        <v>0</v>
      </c>
      <c r="D1620" s="196">
        <v>67</v>
      </c>
      <c r="E1620" s="196">
        <v>120.98</v>
      </c>
      <c r="F1620" s="196">
        <v>0.78400000000000003</v>
      </c>
      <c r="G1620" s="196">
        <v>27.995999999999999</v>
      </c>
      <c r="H1620" s="196">
        <v>158.065</v>
      </c>
      <c r="I1620" s="196">
        <v>17.266999999999999</v>
      </c>
      <c r="J1620" s="196">
        <v>4.3620000000000001</v>
      </c>
      <c r="K1620" s="196"/>
      <c r="L1620" s="200">
        <v>1620</v>
      </c>
      <c r="M1620" s="200">
        <v>2</v>
      </c>
      <c r="N1620" s="200">
        <v>6</v>
      </c>
    </row>
    <row r="1621" spans="1:14" x14ac:dyDescent="0.25">
      <c r="A1621" s="198" t="s">
        <v>2763</v>
      </c>
      <c r="B1621" s="198" t="s">
        <v>9263</v>
      </c>
      <c r="C1621" s="198">
        <v>0</v>
      </c>
      <c r="D1621" s="196">
        <v>145</v>
      </c>
      <c r="E1621" s="196">
        <v>121</v>
      </c>
      <c r="F1621" s="196">
        <v>0.67700000000000005</v>
      </c>
      <c r="G1621" s="196">
        <v>29.57</v>
      </c>
      <c r="H1621" s="196">
        <v>169</v>
      </c>
      <c r="I1621" s="196">
        <v>27.91</v>
      </c>
      <c r="J1621" s="196">
        <v>358.31</v>
      </c>
      <c r="K1621" s="196"/>
      <c r="L1621" s="200">
        <v>1621</v>
      </c>
      <c r="M1621" s="200">
        <v>2</v>
      </c>
      <c r="N1621" s="200">
        <v>8</v>
      </c>
    </row>
    <row r="1622" spans="1:14" x14ac:dyDescent="0.25">
      <c r="A1622" s="198" t="s">
        <v>1966</v>
      </c>
      <c r="B1622" s="198" t="s">
        <v>9264</v>
      </c>
      <c r="C1622" s="198">
        <v>0</v>
      </c>
      <c r="D1622" s="196">
        <v>64</v>
      </c>
      <c r="E1622" s="196">
        <v>122</v>
      </c>
      <c r="F1622" s="196">
        <v>0.76600000000000001</v>
      </c>
      <c r="G1622" s="196">
        <v>5.7190000000000003</v>
      </c>
      <c r="H1622" s="196">
        <v>303.3</v>
      </c>
      <c r="I1622" s="196">
        <v>293.33</v>
      </c>
      <c r="J1622" s="196">
        <v>11.2</v>
      </c>
      <c r="K1622" s="196"/>
      <c r="L1622" s="200">
        <v>1622</v>
      </c>
      <c r="M1622" s="200">
        <v>2</v>
      </c>
      <c r="N1622" s="200">
        <v>6</v>
      </c>
    </row>
    <row r="1623" spans="1:14" x14ac:dyDescent="0.25">
      <c r="A1623" s="198" t="s">
        <v>2763</v>
      </c>
      <c r="B1623" s="198" t="s">
        <v>9265</v>
      </c>
      <c r="C1623" s="198">
        <v>0</v>
      </c>
      <c r="D1623" s="196">
        <v>127</v>
      </c>
      <c r="E1623" s="196">
        <v>123.526</v>
      </c>
      <c r="F1623" s="196">
        <v>0.69499999999999995</v>
      </c>
      <c r="G1623" s="196">
        <v>15.522</v>
      </c>
      <c r="H1623" s="196">
        <v>253.17400000000001</v>
      </c>
      <c r="I1623" s="196">
        <v>96.078000000000003</v>
      </c>
      <c r="J1623" s="196">
        <v>359.52100000000002</v>
      </c>
      <c r="K1623" s="196"/>
      <c r="L1623" s="200">
        <v>1623</v>
      </c>
      <c r="M1623" s="200">
        <v>2</v>
      </c>
      <c r="N1623" s="200">
        <v>8</v>
      </c>
    </row>
    <row r="1624" spans="1:14" x14ac:dyDescent="0.25">
      <c r="A1624" s="198" t="s">
        <v>2763</v>
      </c>
      <c r="B1624" s="198" t="s">
        <v>9266</v>
      </c>
      <c r="C1624" s="198">
        <v>0</v>
      </c>
      <c r="D1624" s="196">
        <v>236</v>
      </c>
      <c r="E1624" s="196">
        <v>138.4</v>
      </c>
      <c r="F1624" s="196">
        <v>0.74199999999999999</v>
      </c>
      <c r="G1624" s="196">
        <v>13.09</v>
      </c>
      <c r="H1624" s="196">
        <v>104.8</v>
      </c>
      <c r="I1624" s="196">
        <v>204.6</v>
      </c>
      <c r="J1624" s="196">
        <v>338</v>
      </c>
      <c r="K1624" s="196"/>
      <c r="L1624" s="200">
        <v>1624</v>
      </c>
      <c r="M1624" s="200">
        <v>2</v>
      </c>
      <c r="N1624" s="200">
        <v>8</v>
      </c>
    </row>
    <row r="1625" spans="1:14" x14ac:dyDescent="0.25">
      <c r="A1625" s="198" t="s">
        <v>2763</v>
      </c>
      <c r="B1625" s="198" t="s">
        <v>9267</v>
      </c>
      <c r="C1625" s="198">
        <v>0</v>
      </c>
      <c r="D1625" s="196">
        <v>141</v>
      </c>
      <c r="E1625" s="196">
        <v>141.83000000000001</v>
      </c>
      <c r="F1625" s="196">
        <v>0.73199999999999998</v>
      </c>
      <c r="G1625" s="196">
        <v>40.71</v>
      </c>
      <c r="H1625" s="196">
        <v>131.74</v>
      </c>
      <c r="I1625" s="196">
        <v>60.77</v>
      </c>
      <c r="J1625" s="196">
        <v>6.31</v>
      </c>
      <c r="K1625" s="196"/>
      <c r="L1625" s="200">
        <v>1625</v>
      </c>
      <c r="M1625" s="200">
        <v>2</v>
      </c>
      <c r="N1625" s="200">
        <v>8</v>
      </c>
    </row>
    <row r="1626" spans="1:14" x14ac:dyDescent="0.25">
      <c r="A1626" s="198" t="s">
        <v>2763</v>
      </c>
      <c r="B1626" s="198" t="s">
        <v>9268</v>
      </c>
      <c r="C1626" s="198">
        <v>0</v>
      </c>
      <c r="D1626" s="196">
        <v>123</v>
      </c>
      <c r="E1626" s="196">
        <v>149.65</v>
      </c>
      <c r="F1626" s="196">
        <v>0.751</v>
      </c>
      <c r="G1626" s="196">
        <v>14.15</v>
      </c>
      <c r="H1626" s="196">
        <v>251.9</v>
      </c>
      <c r="I1626" s="196">
        <v>194.3</v>
      </c>
      <c r="J1626" s="196">
        <v>357.32</v>
      </c>
      <c r="K1626" s="196"/>
      <c r="L1626" s="200">
        <v>1626</v>
      </c>
      <c r="M1626" s="200">
        <v>2</v>
      </c>
      <c r="N1626" s="200">
        <v>8</v>
      </c>
    </row>
    <row r="1627" spans="1:14" x14ac:dyDescent="0.25">
      <c r="A1627" s="198" t="s">
        <v>2763</v>
      </c>
      <c r="B1627" s="198" t="s">
        <v>9269</v>
      </c>
      <c r="C1627" s="198">
        <v>0</v>
      </c>
      <c r="D1627" s="196">
        <v>226</v>
      </c>
      <c r="E1627" s="196">
        <v>150.47999999999999</v>
      </c>
      <c r="F1627" s="196">
        <v>0.77200000000000002</v>
      </c>
      <c r="G1627" s="196">
        <v>4.5110000000000001</v>
      </c>
      <c r="H1627" s="196">
        <v>313.88</v>
      </c>
      <c r="I1627" s="196">
        <v>117.39</v>
      </c>
      <c r="J1627" s="196">
        <v>358</v>
      </c>
      <c r="K1627" s="196"/>
      <c r="L1627" s="200">
        <v>1627</v>
      </c>
      <c r="M1627" s="200">
        <v>2</v>
      </c>
      <c r="N1627" s="200">
        <v>8</v>
      </c>
    </row>
    <row r="1628" spans="1:14" x14ac:dyDescent="0.25">
      <c r="A1628" s="198" t="s">
        <v>2763</v>
      </c>
      <c r="B1628" s="198" t="s">
        <v>9270</v>
      </c>
      <c r="C1628" s="198">
        <v>0</v>
      </c>
      <c r="D1628" s="196">
        <v>106</v>
      </c>
      <c r="E1628" s="196">
        <v>154.76</v>
      </c>
      <c r="F1628" s="196">
        <v>0.73499999999999999</v>
      </c>
      <c r="G1628" s="196">
        <v>33.466999999999999</v>
      </c>
      <c r="H1628" s="196">
        <v>42.316000000000003</v>
      </c>
      <c r="I1628" s="196">
        <v>210.71</v>
      </c>
      <c r="J1628" s="196">
        <v>356.44</v>
      </c>
      <c r="K1628" s="196"/>
      <c r="L1628" s="200">
        <v>1628</v>
      </c>
      <c r="M1628" s="200">
        <v>2</v>
      </c>
      <c r="N1628" s="200">
        <v>8</v>
      </c>
    </row>
    <row r="1629" spans="1:14" x14ac:dyDescent="0.25">
      <c r="A1629" s="198" t="s">
        <v>3082</v>
      </c>
      <c r="B1629" s="198" t="s">
        <v>9271</v>
      </c>
      <c r="C1629" s="198">
        <v>0</v>
      </c>
      <c r="D1629" s="196">
        <v>111</v>
      </c>
      <c r="E1629" s="196">
        <v>161.63</v>
      </c>
      <c r="F1629" s="196">
        <v>0.79500000000000004</v>
      </c>
      <c r="G1629" s="196">
        <v>23.451000000000001</v>
      </c>
      <c r="H1629" s="196">
        <v>354.8</v>
      </c>
      <c r="I1629" s="196">
        <v>33.619</v>
      </c>
      <c r="J1629" s="196">
        <v>3.0000000000000001E-3</v>
      </c>
      <c r="K1629" s="196"/>
      <c r="L1629" s="200">
        <v>1629</v>
      </c>
      <c r="M1629" s="200">
        <v>2</v>
      </c>
      <c r="N1629" s="200">
        <v>9</v>
      </c>
    </row>
    <row r="1630" spans="1:14" x14ac:dyDescent="0.25">
      <c r="A1630" s="198" t="s">
        <v>3082</v>
      </c>
      <c r="B1630" s="198" t="s">
        <v>9272</v>
      </c>
      <c r="C1630" s="198">
        <v>0</v>
      </c>
      <c r="D1630" s="196">
        <v>87</v>
      </c>
      <c r="E1630" s="196">
        <v>166.16</v>
      </c>
      <c r="F1630" s="196">
        <v>0.77100000000000002</v>
      </c>
      <c r="G1630" s="196">
        <v>15.473000000000001</v>
      </c>
      <c r="H1630" s="196">
        <v>11.013</v>
      </c>
      <c r="I1630" s="196">
        <v>197.82</v>
      </c>
      <c r="J1630" s="196">
        <v>1.4259999999999999</v>
      </c>
      <c r="K1630" s="196"/>
      <c r="L1630" s="200">
        <v>1630</v>
      </c>
      <c r="M1630" s="200">
        <v>2</v>
      </c>
      <c r="N1630" s="200">
        <v>9</v>
      </c>
    </row>
    <row r="1631" spans="1:14" x14ac:dyDescent="0.25">
      <c r="A1631" s="198" t="s">
        <v>3082</v>
      </c>
      <c r="B1631" s="198" t="s">
        <v>9273</v>
      </c>
      <c r="C1631" s="198">
        <v>0</v>
      </c>
      <c r="D1631" s="196">
        <v>132</v>
      </c>
      <c r="E1631" s="196">
        <v>169.1</v>
      </c>
      <c r="F1631" s="196">
        <v>0.79</v>
      </c>
      <c r="G1631" s="196">
        <v>21.373000000000001</v>
      </c>
      <c r="H1631" s="196">
        <v>281.02999999999997</v>
      </c>
      <c r="I1631" s="196">
        <v>173.15600000000001</v>
      </c>
      <c r="J1631" s="196">
        <v>355.10700000000003</v>
      </c>
      <c r="K1631" s="196"/>
      <c r="L1631" s="200">
        <v>1631</v>
      </c>
      <c r="M1631" s="200">
        <v>2</v>
      </c>
      <c r="N1631" s="200">
        <v>9</v>
      </c>
    </row>
    <row r="1632" spans="1:14" x14ac:dyDescent="0.25">
      <c r="A1632" s="198" t="s">
        <v>1966</v>
      </c>
      <c r="B1632" s="198" t="s">
        <v>9274</v>
      </c>
      <c r="C1632" s="198">
        <v>0</v>
      </c>
      <c r="D1632" s="196">
        <v>64</v>
      </c>
      <c r="E1632" s="196">
        <v>169.78</v>
      </c>
      <c r="F1632" s="196">
        <v>0.88500000000000001</v>
      </c>
      <c r="G1632" s="196">
        <v>26.23</v>
      </c>
      <c r="H1632" s="196">
        <v>273.22000000000003</v>
      </c>
      <c r="I1632" s="196">
        <v>169.34</v>
      </c>
      <c r="J1632" s="196">
        <v>0.26400000000000001</v>
      </c>
      <c r="K1632" s="196"/>
      <c r="L1632" s="200">
        <v>1632</v>
      </c>
      <c r="M1632" s="200">
        <v>2</v>
      </c>
      <c r="N1632" s="200">
        <v>6</v>
      </c>
    </row>
    <row r="1633" spans="1:14" x14ac:dyDescent="0.25">
      <c r="A1633" s="198" t="s">
        <v>1966</v>
      </c>
      <c r="B1633" s="198" t="s">
        <v>9275</v>
      </c>
      <c r="C1633" s="198">
        <v>0</v>
      </c>
      <c r="D1633" s="196">
        <v>121</v>
      </c>
      <c r="E1633" s="196">
        <v>172.9</v>
      </c>
      <c r="F1633" s="196">
        <v>0.83099999999999996</v>
      </c>
      <c r="G1633" s="196">
        <v>6.18</v>
      </c>
      <c r="H1633" s="196">
        <v>228.11</v>
      </c>
      <c r="I1633" s="196">
        <v>192.47</v>
      </c>
      <c r="J1633" s="196">
        <v>356.01</v>
      </c>
      <c r="K1633" s="196"/>
      <c r="L1633" s="200">
        <v>1633</v>
      </c>
      <c r="M1633" s="200">
        <v>2</v>
      </c>
      <c r="N1633" s="200">
        <v>6</v>
      </c>
    </row>
    <row r="1634" spans="1:14" x14ac:dyDescent="0.25">
      <c r="A1634" s="198" t="s">
        <v>1966</v>
      </c>
      <c r="B1634" s="198" t="s">
        <v>9276</v>
      </c>
      <c r="C1634" s="198">
        <v>0</v>
      </c>
      <c r="D1634" s="196">
        <v>67</v>
      </c>
      <c r="E1634" s="196">
        <v>178.554</v>
      </c>
      <c r="F1634" s="196">
        <v>0.85</v>
      </c>
      <c r="G1634" s="196">
        <v>16.007999999999999</v>
      </c>
      <c r="H1634" s="196">
        <v>150.494</v>
      </c>
      <c r="I1634" s="196">
        <v>98.367000000000004</v>
      </c>
      <c r="J1634" s="196">
        <v>351.21699999999998</v>
      </c>
      <c r="K1634" s="196"/>
      <c r="L1634" s="200">
        <v>1634</v>
      </c>
      <c r="M1634" s="200">
        <v>2</v>
      </c>
      <c r="N1634" s="200">
        <v>6</v>
      </c>
    </row>
    <row r="1635" spans="1:14" x14ac:dyDescent="0.25">
      <c r="A1635" s="198" t="s">
        <v>1966</v>
      </c>
      <c r="B1635" s="198" t="s">
        <v>9277</v>
      </c>
      <c r="C1635" s="198">
        <v>0</v>
      </c>
      <c r="D1635" s="196">
        <v>55</v>
      </c>
      <c r="E1635" s="196">
        <v>180.92</v>
      </c>
      <c r="F1635" s="196">
        <v>0.95199999999999996</v>
      </c>
      <c r="G1635" s="196">
        <v>125.35</v>
      </c>
      <c r="H1635" s="196">
        <v>153.09</v>
      </c>
      <c r="I1635" s="196">
        <v>275.97000000000003</v>
      </c>
      <c r="J1635" s="196">
        <v>359.24</v>
      </c>
      <c r="K1635" s="196"/>
      <c r="L1635" s="200">
        <v>1635</v>
      </c>
      <c r="M1635" s="200">
        <v>2</v>
      </c>
      <c r="N1635" s="200">
        <v>6</v>
      </c>
    </row>
    <row r="1636" spans="1:14" x14ac:dyDescent="0.25">
      <c r="A1636" s="198" t="s">
        <v>3082</v>
      </c>
      <c r="B1636" s="198" t="s">
        <v>9278</v>
      </c>
      <c r="C1636" s="198">
        <v>0</v>
      </c>
      <c r="D1636" s="196">
        <v>113</v>
      </c>
      <c r="E1636" s="196">
        <v>191.06</v>
      </c>
      <c r="F1636" s="196">
        <v>0.81599999999999995</v>
      </c>
      <c r="G1636" s="196">
        <v>11.993</v>
      </c>
      <c r="H1636" s="196">
        <v>338.1</v>
      </c>
      <c r="I1636" s="196">
        <v>24.376999999999999</v>
      </c>
      <c r="J1636" s="196">
        <v>1.833</v>
      </c>
      <c r="K1636" s="196"/>
      <c r="L1636" s="200">
        <v>1636</v>
      </c>
      <c r="M1636" s="200">
        <v>2</v>
      </c>
      <c r="N1636" s="200">
        <v>9</v>
      </c>
    </row>
    <row r="1637" spans="1:14" x14ac:dyDescent="0.25">
      <c r="A1637" s="198" t="s">
        <v>3082</v>
      </c>
      <c r="B1637" s="198" t="s">
        <v>9279</v>
      </c>
      <c r="C1637" s="198">
        <v>0</v>
      </c>
      <c r="D1637" s="196">
        <v>126</v>
      </c>
      <c r="E1637" s="196">
        <v>195.91</v>
      </c>
      <c r="F1637" s="196">
        <v>0.77600000000000002</v>
      </c>
      <c r="G1637" s="196">
        <v>10.682</v>
      </c>
      <c r="H1637" s="196">
        <v>252.4</v>
      </c>
      <c r="I1637" s="196">
        <v>191.97</v>
      </c>
      <c r="J1637" s="196">
        <v>353.5</v>
      </c>
      <c r="K1637" s="196"/>
      <c r="L1637" s="200">
        <v>1637</v>
      </c>
      <c r="M1637" s="200">
        <v>2</v>
      </c>
      <c r="N1637" s="200">
        <v>9</v>
      </c>
    </row>
    <row r="1638" spans="1:14" x14ac:dyDescent="0.25">
      <c r="A1638" s="198" t="s">
        <v>1966</v>
      </c>
      <c r="B1638" s="198" t="s">
        <v>9280</v>
      </c>
      <c r="C1638" s="198">
        <v>0</v>
      </c>
      <c r="D1638" s="196">
        <v>60</v>
      </c>
      <c r="E1638" s="196">
        <v>215.8</v>
      </c>
      <c r="F1638" s="196">
        <v>0.89500000000000002</v>
      </c>
      <c r="G1638" s="196">
        <v>42.03</v>
      </c>
      <c r="H1638" s="196">
        <v>178.05</v>
      </c>
      <c r="I1638" s="196">
        <v>52.56</v>
      </c>
      <c r="J1638" s="196">
        <v>0.34499999999999997</v>
      </c>
      <c r="K1638" s="196"/>
      <c r="L1638" s="200">
        <v>1638</v>
      </c>
      <c r="M1638" s="200">
        <v>2</v>
      </c>
      <c r="N1638" s="200">
        <v>6</v>
      </c>
    </row>
    <row r="1639" spans="1:14" x14ac:dyDescent="0.25">
      <c r="A1639" s="198" t="s">
        <v>1966</v>
      </c>
      <c r="B1639" s="198" t="s">
        <v>9281</v>
      </c>
      <c r="C1639" s="198">
        <v>0</v>
      </c>
      <c r="D1639" s="196">
        <v>87</v>
      </c>
      <c r="E1639" s="196">
        <v>220.68199999999999</v>
      </c>
      <c r="F1639" s="196">
        <v>0.88200000000000001</v>
      </c>
      <c r="G1639" s="196">
        <v>26.117999999999999</v>
      </c>
      <c r="H1639" s="196">
        <v>298.31299999999999</v>
      </c>
      <c r="I1639" s="196">
        <v>148.49</v>
      </c>
      <c r="J1639" s="196">
        <v>358.84100000000001</v>
      </c>
      <c r="K1639" s="196"/>
      <c r="L1639" s="200">
        <v>1639</v>
      </c>
      <c r="M1639" s="200">
        <v>2</v>
      </c>
      <c r="N1639" s="200">
        <v>6</v>
      </c>
    </row>
    <row r="1640" spans="1:14" x14ac:dyDescent="0.25">
      <c r="A1640" s="198" t="s">
        <v>3082</v>
      </c>
      <c r="B1640" s="198" t="s">
        <v>9282</v>
      </c>
      <c r="C1640" s="198">
        <v>0</v>
      </c>
      <c r="D1640" s="196">
        <v>148</v>
      </c>
      <c r="E1640" s="196">
        <v>227.23</v>
      </c>
      <c r="F1640" s="196">
        <v>0.84899999999999998</v>
      </c>
      <c r="G1640" s="196">
        <v>30.763000000000002</v>
      </c>
      <c r="H1640" s="196">
        <v>7.1639999999999997</v>
      </c>
      <c r="I1640" s="196">
        <v>179.31</v>
      </c>
      <c r="J1640" s="196">
        <v>1.429</v>
      </c>
      <c r="K1640" s="196"/>
      <c r="L1640" s="200">
        <v>1640</v>
      </c>
      <c r="M1640" s="200">
        <v>2</v>
      </c>
      <c r="N1640" s="200">
        <v>9</v>
      </c>
    </row>
    <row r="1641" spans="1:14" x14ac:dyDescent="0.25">
      <c r="A1641" s="198" t="s">
        <v>3082</v>
      </c>
      <c r="B1641" s="198" t="s">
        <v>9283</v>
      </c>
      <c r="C1641" s="198">
        <v>0</v>
      </c>
      <c r="D1641" s="196">
        <v>143</v>
      </c>
      <c r="E1641" s="196">
        <v>227.95</v>
      </c>
      <c r="F1641" s="196">
        <v>0.80600000000000005</v>
      </c>
      <c r="G1641" s="196">
        <v>22.718</v>
      </c>
      <c r="H1641" s="196">
        <v>317.21899999999999</v>
      </c>
      <c r="I1641" s="196">
        <v>128.24600000000001</v>
      </c>
      <c r="J1641" s="196">
        <v>5.2830000000000004</v>
      </c>
      <c r="K1641" s="196"/>
      <c r="L1641" s="200">
        <v>1641</v>
      </c>
      <c r="M1641" s="200">
        <v>2</v>
      </c>
      <c r="N1641" s="200">
        <v>9</v>
      </c>
    </row>
    <row r="1642" spans="1:14" x14ac:dyDescent="0.25">
      <c r="A1642" s="198" t="s">
        <v>1966</v>
      </c>
      <c r="B1642" s="198" t="s">
        <v>9284</v>
      </c>
      <c r="C1642" s="198">
        <v>0</v>
      </c>
      <c r="D1642" s="196">
        <v>14</v>
      </c>
      <c r="E1642" s="196">
        <v>244.8</v>
      </c>
      <c r="F1642" s="196">
        <v>0.95</v>
      </c>
      <c r="G1642" s="196">
        <v>175.9</v>
      </c>
      <c r="H1642" s="196">
        <v>44.5</v>
      </c>
      <c r="I1642" s="196">
        <v>52.7</v>
      </c>
      <c r="J1642" s="196">
        <v>0.33500000000000002</v>
      </c>
      <c r="K1642" s="196"/>
      <c r="L1642" s="200">
        <v>1642</v>
      </c>
      <c r="M1642" s="200">
        <v>2</v>
      </c>
      <c r="N1642" s="200">
        <v>6</v>
      </c>
    </row>
    <row r="1643" spans="1:14" x14ac:dyDescent="0.25">
      <c r="A1643" s="198" t="s">
        <v>3082</v>
      </c>
      <c r="B1643" s="198" t="s">
        <v>9285</v>
      </c>
      <c r="C1643" s="198">
        <v>0</v>
      </c>
      <c r="D1643" s="196">
        <v>150</v>
      </c>
      <c r="E1643" s="196">
        <v>252</v>
      </c>
      <c r="F1643" s="196">
        <v>0.73899999999999999</v>
      </c>
      <c r="G1643" s="196">
        <v>10.98</v>
      </c>
      <c r="H1643" s="196">
        <v>198.74</v>
      </c>
      <c r="I1643" s="196">
        <v>72.099999999999994</v>
      </c>
      <c r="J1643" s="196">
        <v>356.56</v>
      </c>
      <c r="K1643" s="196"/>
      <c r="L1643" s="200">
        <v>1643</v>
      </c>
      <c r="M1643" s="200">
        <v>2</v>
      </c>
      <c r="N1643" s="200">
        <v>9</v>
      </c>
    </row>
    <row r="1644" spans="1:14" x14ac:dyDescent="0.25">
      <c r="A1644" s="198" t="s">
        <v>3082</v>
      </c>
      <c r="B1644" s="198" t="s">
        <v>9286</v>
      </c>
      <c r="C1644" s="198">
        <v>0</v>
      </c>
      <c r="D1644" s="196">
        <v>287</v>
      </c>
      <c r="E1644" s="196">
        <v>271.5</v>
      </c>
      <c r="F1644" s="196">
        <v>0.70399999999999996</v>
      </c>
      <c r="G1644" s="196">
        <v>24.056000000000001</v>
      </c>
      <c r="H1644" s="196">
        <v>293.8</v>
      </c>
      <c r="I1644" s="196">
        <v>90.787000000000006</v>
      </c>
      <c r="J1644" s="196">
        <v>3.5</v>
      </c>
      <c r="K1644" s="196"/>
      <c r="L1644" s="200">
        <v>1644</v>
      </c>
      <c r="M1644" s="200">
        <v>2</v>
      </c>
      <c r="N1644" s="200">
        <v>9</v>
      </c>
    </row>
    <row r="1645" spans="1:14" x14ac:dyDescent="0.25">
      <c r="A1645" s="198" t="s">
        <v>3082</v>
      </c>
      <c r="B1645" s="198" t="s">
        <v>9287</v>
      </c>
      <c r="C1645" s="198">
        <v>0</v>
      </c>
      <c r="D1645" s="196">
        <v>40</v>
      </c>
      <c r="E1645" s="196">
        <v>271.89999999999998</v>
      </c>
      <c r="F1645" s="196">
        <v>0.85499999999999998</v>
      </c>
      <c r="G1645" s="196">
        <v>6.8390000000000004</v>
      </c>
      <c r="H1645" s="196">
        <v>43.121000000000002</v>
      </c>
      <c r="I1645" s="196">
        <v>165.875</v>
      </c>
      <c r="J1645" s="196">
        <v>1.9319999999999999</v>
      </c>
      <c r="K1645" s="196"/>
      <c r="L1645" s="200">
        <v>1645</v>
      </c>
      <c r="M1645" s="200">
        <v>2</v>
      </c>
      <c r="N1645" s="200">
        <v>9</v>
      </c>
    </row>
    <row r="1646" spans="1:14" x14ac:dyDescent="0.25">
      <c r="A1646" s="198" t="s">
        <v>1966</v>
      </c>
      <c r="B1646" s="198" t="s">
        <v>9288</v>
      </c>
      <c r="C1646" s="198">
        <v>0</v>
      </c>
      <c r="D1646" s="196">
        <v>23</v>
      </c>
      <c r="E1646" s="196">
        <v>277.83</v>
      </c>
      <c r="F1646" s="196">
        <v>0.94</v>
      </c>
      <c r="G1646" s="196">
        <v>84.739000000000004</v>
      </c>
      <c r="H1646" s="196">
        <v>38.363999999999997</v>
      </c>
      <c r="I1646" s="196">
        <v>246.18</v>
      </c>
      <c r="J1646" s="196">
        <v>0.113</v>
      </c>
      <c r="K1646" s="196"/>
      <c r="L1646" s="200">
        <v>1646</v>
      </c>
      <c r="M1646" s="200">
        <v>2</v>
      </c>
      <c r="N1646" s="200">
        <v>6</v>
      </c>
    </row>
    <row r="1647" spans="1:14" x14ac:dyDescent="0.25">
      <c r="A1647" s="198" t="s">
        <v>1966</v>
      </c>
      <c r="B1647" s="198" t="s">
        <v>9289</v>
      </c>
      <c r="C1647" s="198">
        <v>0</v>
      </c>
      <c r="D1647" s="196">
        <v>26</v>
      </c>
      <c r="E1647" s="196">
        <v>278.33</v>
      </c>
      <c r="F1647" s="196">
        <v>0.96599999999999997</v>
      </c>
      <c r="G1647" s="196">
        <v>140.72999999999999</v>
      </c>
      <c r="H1647" s="196">
        <v>132.72</v>
      </c>
      <c r="I1647" s="196">
        <v>136.09</v>
      </c>
      <c r="J1647" s="196">
        <v>0.82</v>
      </c>
      <c r="K1647" s="196"/>
      <c r="L1647" s="200">
        <v>1647</v>
      </c>
      <c r="M1647" s="200">
        <v>2</v>
      </c>
      <c r="N1647" s="200">
        <v>6</v>
      </c>
    </row>
    <row r="1648" spans="1:14" x14ac:dyDescent="0.25">
      <c r="A1648" s="198" t="s">
        <v>3082</v>
      </c>
      <c r="B1648" s="198" t="s">
        <v>9290</v>
      </c>
      <c r="C1648" s="198">
        <v>0</v>
      </c>
      <c r="D1648" s="196">
        <v>87</v>
      </c>
      <c r="E1648" s="196">
        <v>292</v>
      </c>
      <c r="F1648" s="196">
        <v>0.83699999999999997</v>
      </c>
      <c r="G1648" s="196">
        <v>17.98</v>
      </c>
      <c r="H1648" s="196">
        <v>341.35</v>
      </c>
      <c r="I1648" s="196">
        <v>34.75</v>
      </c>
      <c r="J1648" s="196">
        <v>357.3</v>
      </c>
      <c r="K1648" s="196"/>
      <c r="L1648" s="200">
        <v>1648</v>
      </c>
      <c r="M1648" s="200">
        <v>2</v>
      </c>
      <c r="N1648" s="200">
        <v>9</v>
      </c>
    </row>
    <row r="1649" spans="1:17" x14ac:dyDescent="0.25">
      <c r="A1649" s="198" t="s">
        <v>3082</v>
      </c>
      <c r="B1649" s="198" t="s">
        <v>9291</v>
      </c>
      <c r="C1649" s="198">
        <v>0</v>
      </c>
      <c r="D1649" s="196">
        <v>69</v>
      </c>
      <c r="E1649" s="196">
        <v>296</v>
      </c>
      <c r="F1649" s="196">
        <v>0.86</v>
      </c>
      <c r="G1649" s="196">
        <v>17.3</v>
      </c>
      <c r="H1649" s="196">
        <v>40.200000000000003</v>
      </c>
      <c r="I1649" s="196">
        <v>217.7</v>
      </c>
      <c r="J1649" s="196">
        <v>357.15</v>
      </c>
      <c r="K1649" s="196"/>
      <c r="L1649" s="200">
        <v>1649</v>
      </c>
      <c r="M1649" s="200">
        <v>2</v>
      </c>
      <c r="N1649" s="200">
        <v>9</v>
      </c>
    </row>
    <row r="1650" spans="1:17" x14ac:dyDescent="0.25">
      <c r="A1650" s="198" t="s">
        <v>3082</v>
      </c>
      <c r="B1650" s="198" t="s">
        <v>3123</v>
      </c>
      <c r="C1650" s="198">
        <v>0</v>
      </c>
      <c r="D1650" s="196">
        <v>157</v>
      </c>
      <c r="E1650" s="196">
        <v>328</v>
      </c>
      <c r="F1650" s="196">
        <v>0.85799999999999998</v>
      </c>
      <c r="G1650" s="196">
        <v>25.571999999999999</v>
      </c>
      <c r="H1650" s="196">
        <v>326.72000000000003</v>
      </c>
      <c r="I1650" s="196">
        <v>65.995999999999995</v>
      </c>
      <c r="J1650" s="196">
        <v>0.68200000000000005</v>
      </c>
      <c r="K1650" s="196"/>
      <c r="L1650" s="200">
        <v>1650</v>
      </c>
      <c r="M1650" s="200">
        <v>1</v>
      </c>
      <c r="N1650" s="200">
        <v>9</v>
      </c>
    </row>
    <row r="1651" spans="1:17" x14ac:dyDescent="0.25">
      <c r="A1651" s="198" t="s">
        <v>3082</v>
      </c>
      <c r="B1651" s="198" t="s">
        <v>9292</v>
      </c>
      <c r="C1651" s="198">
        <v>0</v>
      </c>
      <c r="D1651" s="196">
        <v>38</v>
      </c>
      <c r="E1651" s="196">
        <v>335.16899999999998</v>
      </c>
      <c r="F1651" s="196">
        <v>0.88500000000000001</v>
      </c>
      <c r="G1651" s="196">
        <v>8.7789999999999999</v>
      </c>
      <c r="H1651" s="196">
        <v>129.23599999999999</v>
      </c>
      <c r="I1651" s="196">
        <v>46.1</v>
      </c>
      <c r="J1651" s="196">
        <v>1.67</v>
      </c>
      <c r="K1651" s="196"/>
      <c r="L1651" s="200">
        <v>1651</v>
      </c>
      <c r="M1651" s="200">
        <v>2</v>
      </c>
      <c r="N1651" s="200">
        <v>9</v>
      </c>
    </row>
    <row r="1652" spans="1:17" x14ac:dyDescent="0.25">
      <c r="A1652" s="198" t="s">
        <v>1966</v>
      </c>
      <c r="B1652" s="198" t="s">
        <v>9293</v>
      </c>
      <c r="C1652" s="198">
        <v>0</v>
      </c>
      <c r="D1652" s="196">
        <v>45</v>
      </c>
      <c r="E1652" s="196">
        <v>347.6</v>
      </c>
      <c r="F1652" s="196">
        <v>0.96799999999999997</v>
      </c>
      <c r="G1652" s="196">
        <v>68.055999999999997</v>
      </c>
      <c r="H1652" s="196">
        <v>128.67500000000001</v>
      </c>
      <c r="I1652" s="196">
        <v>220.226</v>
      </c>
      <c r="J1652" s="196">
        <v>0.16200000000000001</v>
      </c>
      <c r="K1652" s="196"/>
      <c r="L1652" s="200">
        <v>1652</v>
      </c>
      <c r="M1652" s="200">
        <v>2</v>
      </c>
      <c r="N1652" s="200">
        <v>6</v>
      </c>
    </row>
    <row r="1653" spans="1:17" x14ac:dyDescent="0.25">
      <c r="A1653" s="198" t="s">
        <v>3082</v>
      </c>
      <c r="B1653" s="198" t="s">
        <v>9294</v>
      </c>
      <c r="C1653" s="198">
        <v>0</v>
      </c>
      <c r="D1653" s="196">
        <v>112</v>
      </c>
      <c r="E1653" s="196">
        <v>349</v>
      </c>
      <c r="F1653" s="196">
        <v>0.86899999999999999</v>
      </c>
      <c r="G1653" s="196">
        <v>21.54</v>
      </c>
      <c r="H1653" s="196">
        <v>347.8</v>
      </c>
      <c r="I1653" s="196">
        <v>130.6</v>
      </c>
      <c r="J1653" s="196">
        <v>3.22</v>
      </c>
      <c r="K1653" s="196"/>
      <c r="L1653" s="200">
        <v>1653</v>
      </c>
      <c r="M1653" s="200">
        <v>2</v>
      </c>
      <c r="N1653" s="200">
        <v>9</v>
      </c>
    </row>
    <row r="1654" spans="1:17" x14ac:dyDescent="0.25">
      <c r="A1654" s="198" t="s">
        <v>3082</v>
      </c>
      <c r="B1654" s="198" t="s">
        <v>9295</v>
      </c>
      <c r="C1654" s="198">
        <v>0</v>
      </c>
      <c r="D1654" s="196">
        <v>85</v>
      </c>
      <c r="E1654" s="196">
        <v>364</v>
      </c>
      <c r="F1654" s="196">
        <v>0.89700000000000002</v>
      </c>
      <c r="G1654" s="196">
        <v>29.571999999999999</v>
      </c>
      <c r="H1654" s="196">
        <v>311.8</v>
      </c>
      <c r="I1654" s="196">
        <v>67.596000000000004</v>
      </c>
      <c r="J1654" s="196">
        <v>0.40400000000000003</v>
      </c>
      <c r="K1654" s="196"/>
      <c r="L1654" s="200">
        <v>1654</v>
      </c>
      <c r="M1654" s="200">
        <v>2</v>
      </c>
      <c r="N1654" s="200">
        <v>9</v>
      </c>
    </row>
    <row r="1655" spans="1:17" x14ac:dyDescent="0.25">
      <c r="A1655" s="198" t="s">
        <v>1966</v>
      </c>
      <c r="B1655" s="198" t="s">
        <v>9296</v>
      </c>
      <c r="C1655" s="198">
        <v>0</v>
      </c>
      <c r="D1655" s="196">
        <v>63</v>
      </c>
      <c r="E1655" s="196">
        <v>375.12200000000001</v>
      </c>
      <c r="F1655" s="196">
        <v>0.94099999999999995</v>
      </c>
      <c r="G1655" s="196">
        <v>26.355</v>
      </c>
      <c r="H1655" s="196">
        <v>223.25200000000001</v>
      </c>
      <c r="I1655" s="196">
        <v>8.282</v>
      </c>
      <c r="J1655" s="196">
        <v>1.391</v>
      </c>
      <c r="K1655" s="196"/>
      <c r="L1655" s="200">
        <v>1655</v>
      </c>
      <c r="M1655" s="200">
        <v>2</v>
      </c>
      <c r="N1655" s="200">
        <v>6</v>
      </c>
    </row>
    <row r="1656" spans="1:17" x14ac:dyDescent="0.25">
      <c r="A1656" s="198" t="s">
        <v>1966</v>
      </c>
      <c r="B1656" s="198" t="s">
        <v>9297</v>
      </c>
      <c r="C1656" s="198">
        <v>0</v>
      </c>
      <c r="D1656" s="196">
        <v>89</v>
      </c>
      <c r="E1656" s="196">
        <v>407.964</v>
      </c>
      <c r="F1656" s="196">
        <v>0.93200000000000005</v>
      </c>
      <c r="G1656" s="196">
        <v>6.9379999999999997</v>
      </c>
      <c r="H1656" s="196">
        <v>333.488</v>
      </c>
      <c r="I1656" s="196">
        <v>255.26</v>
      </c>
      <c r="J1656" s="196">
        <v>358.97699999999998</v>
      </c>
      <c r="K1656" s="196"/>
      <c r="L1656" s="200">
        <v>1656</v>
      </c>
      <c r="M1656" s="200">
        <v>2</v>
      </c>
      <c r="N1656" s="200">
        <v>6</v>
      </c>
    </row>
    <row r="1657" spans="1:17" x14ac:dyDescent="0.25">
      <c r="A1657" s="198" t="s">
        <v>3082</v>
      </c>
      <c r="B1657" s="198" t="s">
        <v>9298</v>
      </c>
      <c r="C1657" s="198">
        <v>0</v>
      </c>
      <c r="D1657" s="196">
        <v>125</v>
      </c>
      <c r="E1657" s="196">
        <v>416.89</v>
      </c>
      <c r="F1657" s="196">
        <v>0.89100000000000001</v>
      </c>
      <c r="G1657" s="196">
        <v>12.144</v>
      </c>
      <c r="H1657" s="196">
        <v>65.123999999999995</v>
      </c>
      <c r="I1657" s="196">
        <v>8.5990000000000002</v>
      </c>
      <c r="J1657" s="196">
        <v>358.03</v>
      </c>
      <c r="K1657" s="196"/>
      <c r="L1657" s="200">
        <v>1657</v>
      </c>
      <c r="M1657" s="200">
        <v>2</v>
      </c>
      <c r="N1657" s="200">
        <v>9</v>
      </c>
    </row>
    <row r="1658" spans="1:17" x14ac:dyDescent="0.25">
      <c r="A1658" s="198" t="s">
        <v>3082</v>
      </c>
      <c r="B1658" s="198" t="s">
        <v>9299</v>
      </c>
      <c r="C1658" s="198">
        <v>0</v>
      </c>
      <c r="D1658" s="196">
        <v>262</v>
      </c>
      <c r="E1658" s="196">
        <v>428.03</v>
      </c>
      <c r="F1658" s="196">
        <v>0.91800000000000004</v>
      </c>
      <c r="G1658" s="196">
        <v>54.125</v>
      </c>
      <c r="H1658" s="196">
        <v>348.37</v>
      </c>
      <c r="I1658" s="196">
        <v>135.11000000000001</v>
      </c>
      <c r="J1658" s="196">
        <v>358.39</v>
      </c>
      <c r="K1658" s="196"/>
      <c r="L1658" s="200">
        <v>1658</v>
      </c>
      <c r="M1658" s="200">
        <v>2</v>
      </c>
      <c r="N1658" s="200">
        <v>9</v>
      </c>
    </row>
    <row r="1659" spans="1:17" x14ac:dyDescent="0.25">
      <c r="A1659" s="198" t="s">
        <v>3082</v>
      </c>
      <c r="B1659" s="198" t="s">
        <v>9300</v>
      </c>
      <c r="C1659" s="198">
        <v>0</v>
      </c>
      <c r="D1659" s="196">
        <v>133</v>
      </c>
      <c r="E1659" s="196">
        <v>457.51299999999998</v>
      </c>
      <c r="F1659" s="196">
        <v>0.9</v>
      </c>
      <c r="G1659" s="196">
        <v>12.404999999999999</v>
      </c>
      <c r="H1659" s="196">
        <v>262.84100000000001</v>
      </c>
      <c r="I1659" s="196">
        <v>104.682</v>
      </c>
      <c r="J1659" s="196">
        <v>359.29199999999997</v>
      </c>
      <c r="K1659" s="196"/>
      <c r="L1659" s="200">
        <v>1659</v>
      </c>
      <c r="M1659" s="200">
        <v>2</v>
      </c>
      <c r="N1659" s="200">
        <v>9</v>
      </c>
    </row>
    <row r="1660" spans="1:17" x14ac:dyDescent="0.25">
      <c r="A1660" s="198" t="s">
        <v>1966</v>
      </c>
      <c r="B1660" s="198" t="s">
        <v>9301</v>
      </c>
      <c r="C1660" s="198">
        <v>0</v>
      </c>
      <c r="D1660" s="196">
        <v>61</v>
      </c>
      <c r="E1660" s="196">
        <v>457.89699999999999</v>
      </c>
      <c r="F1660" s="196">
        <v>0.95899999999999996</v>
      </c>
      <c r="G1660" s="196">
        <v>47.195</v>
      </c>
      <c r="H1660" s="196">
        <v>311.971</v>
      </c>
      <c r="I1660" s="196">
        <v>158.06100000000001</v>
      </c>
      <c r="J1660" s="196">
        <v>359.791</v>
      </c>
      <c r="K1660" s="196"/>
      <c r="L1660" s="200">
        <v>1660</v>
      </c>
      <c r="M1660" s="200">
        <v>2</v>
      </c>
      <c r="N1660" s="200">
        <v>6</v>
      </c>
    </row>
    <row r="1661" spans="1:17" x14ac:dyDescent="0.25">
      <c r="A1661" s="198" t="s">
        <v>3082</v>
      </c>
      <c r="B1661" s="198" t="s">
        <v>9302</v>
      </c>
      <c r="C1661" s="198">
        <v>0</v>
      </c>
      <c r="D1661" s="196">
        <v>111</v>
      </c>
      <c r="E1661" s="196">
        <v>472.77</v>
      </c>
      <c r="F1661" s="196">
        <v>0.92500000000000004</v>
      </c>
      <c r="G1661" s="196">
        <v>18.62</v>
      </c>
      <c r="H1661" s="196">
        <v>285.54000000000002</v>
      </c>
      <c r="I1661" s="196">
        <v>112.84</v>
      </c>
      <c r="J1661" s="196">
        <v>0.44700000000000001</v>
      </c>
      <c r="K1661" s="196"/>
      <c r="L1661" s="200">
        <v>1661</v>
      </c>
      <c r="M1661" s="200">
        <v>2</v>
      </c>
      <c r="N1661" s="200">
        <v>9</v>
      </c>
    </row>
    <row r="1662" spans="1:17" x14ac:dyDescent="0.25">
      <c r="A1662" s="198" t="s">
        <v>1966</v>
      </c>
      <c r="B1662" s="198" t="s">
        <v>9303</v>
      </c>
      <c r="C1662" s="198">
        <v>0</v>
      </c>
      <c r="D1662" s="196">
        <v>35</v>
      </c>
      <c r="E1662" s="196">
        <v>484.5</v>
      </c>
      <c r="F1662" s="196">
        <v>0.98699999999999999</v>
      </c>
      <c r="G1662" s="196">
        <v>143.91300000000001</v>
      </c>
      <c r="H1662" s="196">
        <v>179.06</v>
      </c>
      <c r="I1662" s="196">
        <v>176.01</v>
      </c>
      <c r="J1662" s="196">
        <v>0.125</v>
      </c>
      <c r="K1662" s="196"/>
      <c r="L1662" s="200">
        <v>1662</v>
      </c>
      <c r="M1662" s="200">
        <v>2</v>
      </c>
      <c r="N1662" s="200">
        <v>6</v>
      </c>
    </row>
    <row r="1663" spans="1:17" x14ac:dyDescent="0.25">
      <c r="A1663" s="199" t="s">
        <v>3173</v>
      </c>
      <c r="B1663" s="198" t="s">
        <v>3174</v>
      </c>
      <c r="C1663" s="198">
        <v>0</v>
      </c>
      <c r="D1663" s="196">
        <v>453</v>
      </c>
      <c r="E1663" s="196">
        <v>506</v>
      </c>
      <c r="F1663" s="196">
        <v>0.85</v>
      </c>
      <c r="G1663" s="196">
        <v>11.930999999999999</v>
      </c>
      <c r="H1663" s="196">
        <v>311.35199999999998</v>
      </c>
      <c r="I1663" s="196">
        <v>144.24799999999999</v>
      </c>
      <c r="J1663" s="196">
        <v>358.11700000000002</v>
      </c>
      <c r="K1663" s="196"/>
      <c r="L1663" s="200">
        <v>1663</v>
      </c>
      <c r="M1663" s="200">
        <v>1</v>
      </c>
      <c r="N1663" s="200">
        <v>2</v>
      </c>
      <c r="O1663" s="194" t="s">
        <v>3174</v>
      </c>
      <c r="P1663" s="194" t="s">
        <v>9584</v>
      </c>
      <c r="Q1663" s="200" t="s">
        <v>8068</v>
      </c>
    </row>
    <row r="1664" spans="1:17" x14ac:dyDescent="0.25">
      <c r="A1664" s="198" t="s">
        <v>1966</v>
      </c>
      <c r="B1664" s="198" t="s">
        <v>9304</v>
      </c>
      <c r="C1664" s="198">
        <v>0</v>
      </c>
      <c r="D1664" s="196">
        <v>38</v>
      </c>
      <c r="E1664" s="196">
        <v>519.9</v>
      </c>
      <c r="F1664" s="196">
        <v>0.96799999999999997</v>
      </c>
      <c r="G1664" s="196">
        <v>169.26</v>
      </c>
      <c r="H1664" s="196">
        <v>154.386</v>
      </c>
      <c r="I1664" s="196">
        <v>214.38499999999999</v>
      </c>
      <c r="J1664" s="196">
        <v>359.85500000000002</v>
      </c>
      <c r="K1664" s="196"/>
      <c r="L1664" s="200">
        <v>1664</v>
      </c>
      <c r="M1664" s="200">
        <v>2</v>
      </c>
      <c r="N1664" s="200">
        <v>6</v>
      </c>
    </row>
    <row r="1665" spans="1:14" x14ac:dyDescent="0.25">
      <c r="A1665" s="198" t="s">
        <v>1966</v>
      </c>
      <c r="B1665" s="198" t="s">
        <v>9305</v>
      </c>
      <c r="C1665" s="198">
        <v>0</v>
      </c>
      <c r="D1665" s="196">
        <v>51</v>
      </c>
      <c r="E1665" s="196">
        <v>610.09</v>
      </c>
      <c r="F1665" s="196">
        <v>0.96099999999999997</v>
      </c>
      <c r="G1665" s="196">
        <v>32.08</v>
      </c>
      <c r="H1665" s="196">
        <v>206.58</v>
      </c>
      <c r="I1665" s="196">
        <v>23.47</v>
      </c>
      <c r="J1665" s="196">
        <v>359.85</v>
      </c>
      <c r="K1665" s="196"/>
      <c r="L1665" s="200">
        <v>1665</v>
      </c>
      <c r="M1665" s="200">
        <v>2</v>
      </c>
      <c r="N1665" s="200">
        <v>6</v>
      </c>
    </row>
    <row r="1666" spans="1:14" x14ac:dyDescent="0.25">
      <c r="A1666" s="198" t="s">
        <v>3082</v>
      </c>
      <c r="B1666" s="198" t="s">
        <v>9306</v>
      </c>
      <c r="C1666" s="198">
        <v>0</v>
      </c>
      <c r="D1666" s="196">
        <v>51</v>
      </c>
      <c r="E1666" s="196">
        <v>679.81600000000003</v>
      </c>
      <c r="F1666" s="196">
        <v>0.94</v>
      </c>
      <c r="G1666" s="196">
        <v>13.994</v>
      </c>
      <c r="H1666" s="196">
        <v>32.097000000000001</v>
      </c>
      <c r="I1666" s="196">
        <v>219.10300000000001</v>
      </c>
      <c r="J1666" s="196">
        <v>1.4E-2</v>
      </c>
      <c r="K1666" s="196"/>
      <c r="L1666" s="200">
        <v>1666</v>
      </c>
      <c r="M1666" s="200">
        <v>2</v>
      </c>
      <c r="N1666" s="200">
        <v>9</v>
      </c>
    </row>
    <row r="1667" spans="1:14" x14ac:dyDescent="0.25">
      <c r="A1667" s="198" t="s">
        <v>3082</v>
      </c>
      <c r="B1667" s="198" t="s">
        <v>9307</v>
      </c>
      <c r="C1667" s="198">
        <v>0</v>
      </c>
      <c r="D1667" s="196">
        <v>125</v>
      </c>
      <c r="E1667" s="196">
        <v>690.4</v>
      </c>
      <c r="F1667" s="196">
        <v>0.92700000000000005</v>
      </c>
      <c r="G1667" s="196">
        <v>4.2279999999999998</v>
      </c>
      <c r="H1667" s="196">
        <v>32.036999999999999</v>
      </c>
      <c r="I1667" s="196">
        <v>29.492999999999999</v>
      </c>
      <c r="J1667" s="196">
        <v>359.29199999999997</v>
      </c>
      <c r="K1667" s="196"/>
      <c r="L1667" s="200">
        <v>1667</v>
      </c>
      <c r="M1667" s="200">
        <v>2</v>
      </c>
      <c r="N1667" s="200">
        <v>9</v>
      </c>
    </row>
    <row r="1668" spans="1:14" x14ac:dyDescent="0.25">
      <c r="A1668" s="198" t="s">
        <v>3082</v>
      </c>
      <c r="B1668" s="198" t="s">
        <v>9308</v>
      </c>
      <c r="C1668" s="198">
        <v>0</v>
      </c>
      <c r="D1668" s="196">
        <v>351</v>
      </c>
      <c r="E1668" s="196">
        <v>840</v>
      </c>
      <c r="F1668" s="196">
        <v>0.94599999999999995</v>
      </c>
      <c r="G1668" s="196">
        <v>16.21</v>
      </c>
      <c r="H1668" s="196">
        <v>338.2</v>
      </c>
      <c r="I1668" s="196">
        <v>328.7</v>
      </c>
      <c r="J1668" s="196">
        <v>1.3</v>
      </c>
      <c r="K1668" s="196"/>
      <c r="L1668" s="200">
        <v>1668</v>
      </c>
      <c r="M1668" s="200">
        <v>2</v>
      </c>
      <c r="N1668" s="200">
        <v>9</v>
      </c>
    </row>
    <row r="1669" spans="1:14" x14ac:dyDescent="0.25">
      <c r="A1669" s="198" t="s">
        <v>1966</v>
      </c>
      <c r="B1669" s="198" t="s">
        <v>9309</v>
      </c>
      <c r="C1669" s="198">
        <v>0</v>
      </c>
      <c r="D1669" s="196">
        <v>58</v>
      </c>
      <c r="E1669" s="196">
        <v>905.01199999999994</v>
      </c>
      <c r="F1669" s="196">
        <v>0.97299999999999998</v>
      </c>
      <c r="G1669" s="196">
        <v>19.495999999999999</v>
      </c>
      <c r="H1669" s="196">
        <v>122.28</v>
      </c>
      <c r="I1669" s="196">
        <v>197.34</v>
      </c>
      <c r="J1669" s="196">
        <v>0.18</v>
      </c>
      <c r="K1669" s="196"/>
      <c r="L1669" s="200">
        <v>1669</v>
      </c>
      <c r="M1669" s="200">
        <v>2</v>
      </c>
      <c r="N1669" s="200">
        <v>6</v>
      </c>
    </row>
    <row r="1670" spans="1:14" x14ac:dyDescent="0.25">
      <c r="A1670" s="198" t="s">
        <v>1966</v>
      </c>
      <c r="B1670" s="198" t="s">
        <v>9310</v>
      </c>
      <c r="C1670" s="198">
        <v>0</v>
      </c>
      <c r="D1670" s="196">
        <v>28</v>
      </c>
      <c r="E1670" s="196">
        <v>1080</v>
      </c>
      <c r="F1670" s="196">
        <v>0.99199999999999999</v>
      </c>
      <c r="G1670" s="196">
        <v>98.613</v>
      </c>
      <c r="H1670" s="196">
        <v>165.96</v>
      </c>
      <c r="I1670" s="196">
        <v>180.2</v>
      </c>
      <c r="J1670" s="196">
        <v>4.9000000000000002E-2</v>
      </c>
      <c r="K1670" s="196"/>
      <c r="L1670" s="200">
        <v>1670</v>
      </c>
      <c r="M1670" s="200">
        <v>2</v>
      </c>
      <c r="N1670" s="200">
        <v>6</v>
      </c>
    </row>
    <row r="1671" spans="1:14" x14ac:dyDescent="0.25">
      <c r="A1671" s="198" t="s">
        <v>3082</v>
      </c>
      <c r="B1671" s="198" t="s">
        <v>3205</v>
      </c>
      <c r="C1671" s="198">
        <v>0</v>
      </c>
      <c r="D1671" s="196">
        <v>110</v>
      </c>
      <c r="E1671" s="196">
        <v>1085</v>
      </c>
      <c r="F1671" s="196">
        <v>0.94</v>
      </c>
      <c r="G1671" s="196">
        <v>11.654</v>
      </c>
      <c r="H1671" s="196">
        <v>117.77800000000001</v>
      </c>
      <c r="I1671" s="196">
        <v>300.77999999999997</v>
      </c>
      <c r="J1671" s="196">
        <v>359.41800000000001</v>
      </c>
      <c r="K1671" s="196"/>
      <c r="L1671" s="200">
        <v>1671</v>
      </c>
      <c r="M1671" s="200">
        <v>1</v>
      </c>
      <c r="N1671" s="200">
        <v>9</v>
      </c>
    </row>
    <row r="1672" spans="1:14" x14ac:dyDescent="0.25">
      <c r="A1672" s="198" t="s">
        <v>1966</v>
      </c>
      <c r="B1672" s="198" t="s">
        <v>9311</v>
      </c>
      <c r="C1672" s="198">
        <v>0</v>
      </c>
      <c r="D1672" s="196">
        <v>93</v>
      </c>
      <c r="E1672" s="196">
        <v>1603</v>
      </c>
      <c r="F1672" s="196">
        <v>0.99099999999999999</v>
      </c>
      <c r="G1672" s="196">
        <v>77.986000000000004</v>
      </c>
      <c r="H1672" s="196">
        <v>195.57</v>
      </c>
      <c r="I1672" s="196">
        <v>341.48</v>
      </c>
      <c r="J1672" s="196">
        <v>4.4999999999999998E-2</v>
      </c>
      <c r="K1672" s="196"/>
      <c r="L1672" s="200">
        <v>1672</v>
      </c>
      <c r="M1672" s="200">
        <v>2</v>
      </c>
      <c r="N1672" s="200">
        <v>6</v>
      </c>
    </row>
    <row r="1673" spans="1:14" x14ac:dyDescent="0.25">
      <c r="A1673" s="198" t="s">
        <v>3082</v>
      </c>
      <c r="B1673" s="198" t="s">
        <v>9312</v>
      </c>
      <c r="C1673" s="198">
        <v>0</v>
      </c>
      <c r="D1673" s="196">
        <v>135</v>
      </c>
      <c r="E1673" s="196">
        <v>2045</v>
      </c>
      <c r="F1673" s="196">
        <v>0.98199999999999998</v>
      </c>
      <c r="G1673" s="196">
        <v>20.632999999999999</v>
      </c>
      <c r="H1673" s="196">
        <v>133.92099999999999</v>
      </c>
      <c r="I1673" s="196">
        <v>336.82900000000001</v>
      </c>
      <c r="J1673" s="196">
        <v>0.219</v>
      </c>
      <c r="K1673" s="196"/>
      <c r="L1673" s="200">
        <v>1673</v>
      </c>
      <c r="M1673" s="200">
        <v>2</v>
      </c>
      <c r="N1673" s="200">
        <v>9</v>
      </c>
    </row>
  </sheetData>
  <sortState xmlns:xlrd2="http://schemas.microsoft.com/office/spreadsheetml/2017/richdata2" ref="A2:Q1673">
    <sortCondition ref="L2:L1673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Solar System</vt:lpstr>
      <vt:lpstr>Color Key</vt:lpstr>
      <vt:lpstr>Orbital Plotter</vt:lpstr>
      <vt:lpstr>Sorting Data</vt:lpstr>
      <vt:lpstr>'Solar System'!Print_Titles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Shane Bianchini</dc:creator>
  <cp:lastModifiedBy>Shane Bianchini</cp:lastModifiedBy>
  <cp:lastPrinted>2025-09-01T02:00:08Z</cp:lastPrinted>
  <dcterms:created xsi:type="dcterms:W3CDTF">2024-12-24T22:16:31Z</dcterms:created>
  <dcterms:modified xsi:type="dcterms:W3CDTF">2025-09-20T18:36:36Z</dcterms:modified>
</cp:coreProperties>
</file>